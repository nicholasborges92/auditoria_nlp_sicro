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4855" windowHeight="12540"/>
  </bookViews>
  <sheets>
    <sheet name="CORRESPONDENCIA" sheetId="1" r:id="rId1"/>
    <sheet name="insumos terrapl" sheetId="8" r:id="rId2"/>
    <sheet name="DATASET_NLP" sheetId="6" r:id="rId3"/>
  </sheets>
  <definedNames>
    <definedName name="_xlnm._FilterDatabase" localSheetId="2" hidden="1">DATASET_NLP!$G$2:$G$277</definedName>
    <definedName name="_xlnm._FilterDatabase" localSheetId="1" hidden="1">'insumos terrapl'!$E$1:$K$59</definedName>
  </definedNames>
  <calcPr calcId="124519"/>
</workbook>
</file>

<file path=xl/calcChain.xml><?xml version="1.0" encoding="utf-8"?>
<calcChain xmlns="http://schemas.openxmlformats.org/spreadsheetml/2006/main">
  <c r="G4" i="6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6" s="1"/>
  <c r="G24"/>
  <c r="G25"/>
  <c r="G27" s="1"/>
  <c r="G28"/>
  <c r="G29" s="1"/>
  <c r="G30" s="1"/>
  <c r="G31" s="1"/>
  <c r="G32" s="1"/>
  <c r="G33" s="1"/>
  <c r="G34" s="1"/>
  <c r="G35"/>
  <c r="G36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5" s="1"/>
  <c r="G66" s="1"/>
  <c r="G67" s="1"/>
  <c r="G68" s="1"/>
  <c r="G69" s="1"/>
  <c r="G70" s="1"/>
  <c r="G71" s="1"/>
  <c r="G72" s="1"/>
  <c r="G73" s="1"/>
  <c r="G74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64"/>
  <c r="G75"/>
  <c r="G98"/>
  <c r="G99" s="1"/>
  <c r="G101" s="1"/>
  <c r="G103" s="1"/>
  <c r="G104" s="1"/>
  <c r="G105" s="1"/>
  <c r="G192"/>
  <c r="G193"/>
  <c r="G194" s="1"/>
  <c r="G195" s="1"/>
  <c r="G196" s="1"/>
  <c r="G197" s="1"/>
  <c r="G198" s="1"/>
  <c r="G199" s="1"/>
  <c r="G200" s="1"/>
  <c r="G201" s="1"/>
  <c r="G202" s="1"/>
  <c r="G203" s="1"/>
  <c r="G204" s="1"/>
  <c r="G205" s="1"/>
  <c r="G206" s="1"/>
  <c r="G207" s="1"/>
  <c r="G208" s="1"/>
  <c r="G209" s="1"/>
  <c r="G210" s="1"/>
  <c r="G211" s="1"/>
  <c r="G212" s="1"/>
  <c r="G213" s="1"/>
  <c r="G214" s="1"/>
  <c r="G215" s="1"/>
  <c r="G216" s="1"/>
  <c r="G217" s="1"/>
  <c r="G218" s="1"/>
  <c r="G219" s="1"/>
  <c r="G220" s="1"/>
  <c r="G221" s="1"/>
  <c r="G222" s="1"/>
  <c r="G223" s="1"/>
  <c r="G224" s="1"/>
  <c r="G225" s="1"/>
  <c r="G226" s="1"/>
  <c r="G227" s="1"/>
  <c r="G228" s="1"/>
  <c r="G229" s="1"/>
  <c r="G230" s="1"/>
  <c r="G231" s="1"/>
  <c r="G232"/>
  <c r="G233"/>
  <c r="G234"/>
  <c r="G235" s="1"/>
  <c r="G236" s="1"/>
  <c r="G237" s="1"/>
  <c r="G238" s="1"/>
  <c r="G239" s="1"/>
  <c r="G240" s="1"/>
  <c r="G241" s="1"/>
  <c r="G242" s="1"/>
  <c r="G243" s="1"/>
  <c r="G244" s="1"/>
  <c r="G245" s="1"/>
  <c r="G246" s="1"/>
  <c r="G247" s="1"/>
  <c r="G248" s="1"/>
  <c r="G249" s="1"/>
  <c r="G250" s="1"/>
  <c r="G251" s="1"/>
  <c r="G252" s="1"/>
  <c r="G253" s="1"/>
  <c r="G254" s="1"/>
  <c r="G255" s="1"/>
  <c r="G256" s="1"/>
  <c r="G257" s="1"/>
  <c r="G258" s="1"/>
  <c r="G259" s="1"/>
  <c r="G260" s="1"/>
  <c r="G261" s="1"/>
  <c r="G262" s="1"/>
  <c r="G263" s="1"/>
  <c r="G264" s="1"/>
  <c r="G265" s="1"/>
  <c r="G266" s="1"/>
  <c r="G267" s="1"/>
  <c r="G268" s="1"/>
  <c r="G269" s="1"/>
  <c r="G270" s="1"/>
  <c r="G271" s="1"/>
  <c r="G272"/>
  <c r="G273"/>
  <c r="G274"/>
  <c r="G275"/>
  <c r="G276"/>
  <c r="G277" s="1"/>
  <c r="I7" i="1"/>
  <c r="J7"/>
  <c r="K7"/>
  <c r="L7"/>
  <c r="M7"/>
  <c r="N7"/>
  <c r="O7"/>
  <c r="I10"/>
  <c r="J10"/>
  <c r="K10"/>
  <c r="L10"/>
  <c r="M10"/>
  <c r="N10"/>
  <c r="O10"/>
  <c r="I11"/>
  <c r="J11"/>
  <c r="K11"/>
  <c r="L11"/>
  <c r="M11"/>
  <c r="N11"/>
  <c r="O11"/>
  <c r="I14"/>
  <c r="J14"/>
  <c r="K14"/>
  <c r="L14"/>
  <c r="M14"/>
  <c r="N14"/>
  <c r="O14"/>
  <c r="I15"/>
  <c r="J15"/>
  <c r="K15"/>
  <c r="L15"/>
  <c r="M15"/>
  <c r="N15"/>
  <c r="O15"/>
  <c r="I18"/>
  <c r="J18"/>
  <c r="K18"/>
  <c r="L18"/>
  <c r="M18"/>
  <c r="N18"/>
  <c r="O18"/>
  <c r="I19"/>
  <c r="J19"/>
  <c r="K19"/>
  <c r="L19"/>
  <c r="M19"/>
  <c r="N19"/>
  <c r="O19"/>
  <c r="I21"/>
  <c r="J21"/>
  <c r="K21"/>
  <c r="L21"/>
  <c r="M21"/>
  <c r="N21"/>
  <c r="O21"/>
  <c r="I22"/>
  <c r="J22"/>
  <c r="K22"/>
  <c r="L22"/>
  <c r="M22"/>
  <c r="N22"/>
  <c r="O22"/>
  <c r="I25"/>
  <c r="J25"/>
  <c r="K25"/>
  <c r="L25"/>
  <c r="M25"/>
  <c r="N25"/>
  <c r="O25"/>
  <c r="I28"/>
  <c r="J28"/>
  <c r="K28"/>
  <c r="L28"/>
  <c r="M28"/>
  <c r="N28"/>
  <c r="O28"/>
  <c r="I31"/>
  <c r="J31"/>
  <c r="K31"/>
  <c r="L31"/>
  <c r="M31"/>
  <c r="N31"/>
  <c r="O31"/>
  <c r="I32"/>
  <c r="J32"/>
  <c r="K32"/>
  <c r="L32"/>
  <c r="M32"/>
  <c r="N32"/>
  <c r="O32"/>
  <c r="I35"/>
  <c r="J35"/>
  <c r="K35"/>
  <c r="L35"/>
  <c r="M35"/>
  <c r="N35"/>
  <c r="O35"/>
  <c r="I36"/>
  <c r="J36"/>
  <c r="K36"/>
  <c r="L36"/>
  <c r="M36"/>
  <c r="N36"/>
  <c r="O36"/>
  <c r="I37"/>
  <c r="J37"/>
  <c r="K37"/>
  <c r="L37"/>
  <c r="M37"/>
  <c r="N37"/>
  <c r="O37"/>
  <c r="I40"/>
  <c r="J40"/>
  <c r="K40"/>
  <c r="L40"/>
  <c r="M40"/>
  <c r="N40"/>
  <c r="O40"/>
  <c r="I41"/>
  <c r="J41"/>
  <c r="K41"/>
  <c r="L41"/>
  <c r="M41"/>
  <c r="N41"/>
  <c r="O41"/>
  <c r="I42"/>
  <c r="J42"/>
  <c r="K42"/>
  <c r="L42"/>
  <c r="M42"/>
  <c r="N42"/>
  <c r="O42"/>
  <c r="I45"/>
  <c r="J45"/>
  <c r="K45"/>
  <c r="L45"/>
  <c r="M45"/>
  <c r="N45"/>
  <c r="O45"/>
  <c r="I46"/>
  <c r="J46"/>
  <c r="K46"/>
  <c r="L46"/>
  <c r="M46"/>
  <c r="N46"/>
  <c r="O46"/>
  <c r="I47"/>
  <c r="J47"/>
  <c r="K47"/>
  <c r="L47"/>
  <c r="M47"/>
  <c r="N47"/>
  <c r="O47"/>
  <c r="I50"/>
  <c r="J50"/>
  <c r="K50"/>
  <c r="L50"/>
  <c r="M50"/>
  <c r="N50"/>
  <c r="O50"/>
  <c r="I51"/>
  <c r="J51"/>
  <c r="K51"/>
  <c r="L51"/>
  <c r="M51"/>
  <c r="N51"/>
  <c r="O51"/>
  <c r="I52"/>
  <c r="J52"/>
  <c r="K52"/>
  <c r="L52"/>
  <c r="M52"/>
  <c r="N52"/>
  <c r="O52"/>
  <c r="I55"/>
  <c r="J55"/>
  <c r="K55"/>
  <c r="L55"/>
  <c r="M55"/>
  <c r="N55"/>
  <c r="O55"/>
  <c r="I56"/>
  <c r="J56"/>
  <c r="K56"/>
  <c r="L56"/>
  <c r="M56"/>
  <c r="N56"/>
  <c r="O56"/>
  <c r="I57"/>
  <c r="J57"/>
  <c r="K57"/>
  <c r="L57"/>
  <c r="M57"/>
  <c r="N57"/>
  <c r="O57"/>
  <c r="I60"/>
  <c r="J60"/>
  <c r="K60"/>
  <c r="L60"/>
  <c r="M60"/>
  <c r="N60"/>
  <c r="O60"/>
  <c r="I61"/>
  <c r="J61"/>
  <c r="K61"/>
  <c r="L61"/>
  <c r="M61"/>
  <c r="N61"/>
  <c r="O61"/>
  <c r="I62"/>
  <c r="J62"/>
  <c r="K62"/>
  <c r="L62"/>
  <c r="M62"/>
  <c r="N62"/>
  <c r="O62"/>
  <c r="I65"/>
  <c r="J65"/>
  <c r="K65"/>
  <c r="L65"/>
  <c r="M65"/>
  <c r="N65"/>
  <c r="O65"/>
  <c r="I66"/>
  <c r="J66"/>
  <c r="K66"/>
  <c r="L66"/>
  <c r="M66"/>
  <c r="N66"/>
  <c r="O66"/>
  <c r="I67"/>
  <c r="J67"/>
  <c r="K67"/>
  <c r="L67"/>
  <c r="M67"/>
  <c r="N67"/>
  <c r="O67"/>
  <c r="I70"/>
  <c r="J70"/>
  <c r="K70"/>
  <c r="L70"/>
  <c r="M70"/>
  <c r="N70"/>
  <c r="O70"/>
  <c r="I71"/>
  <c r="J71"/>
  <c r="K71"/>
  <c r="L71"/>
  <c r="M71"/>
  <c r="N71"/>
  <c r="O71"/>
  <c r="I72"/>
  <c r="J72"/>
  <c r="K72"/>
  <c r="L72"/>
  <c r="M72"/>
  <c r="N72"/>
  <c r="O72"/>
  <c r="I75"/>
  <c r="J75"/>
  <c r="K75"/>
  <c r="L75"/>
  <c r="M75"/>
  <c r="N75"/>
  <c r="O75"/>
  <c r="I76"/>
  <c r="J76"/>
  <c r="K76"/>
  <c r="L76"/>
  <c r="M76"/>
  <c r="N76"/>
  <c r="O76"/>
  <c r="I77"/>
  <c r="J77"/>
  <c r="K77"/>
  <c r="L77"/>
  <c r="M77"/>
  <c r="N77"/>
  <c r="O77"/>
  <c r="I80"/>
  <c r="J80"/>
  <c r="K80"/>
  <c r="L80"/>
  <c r="M80"/>
  <c r="N80"/>
  <c r="O80"/>
  <c r="I81"/>
  <c r="J81"/>
  <c r="K81"/>
  <c r="L81"/>
  <c r="M81"/>
  <c r="N81"/>
  <c r="O81"/>
  <c r="I82"/>
  <c r="J82"/>
  <c r="K82"/>
  <c r="L82"/>
  <c r="M82"/>
  <c r="N82"/>
  <c r="O82"/>
  <c r="I85"/>
  <c r="J85"/>
  <c r="K85"/>
  <c r="L85"/>
  <c r="M85"/>
  <c r="N85"/>
  <c r="O85"/>
  <c r="I86"/>
  <c r="J86"/>
  <c r="K86"/>
  <c r="L86"/>
  <c r="M86"/>
  <c r="N86"/>
  <c r="O86"/>
  <c r="I87"/>
  <c r="J87"/>
  <c r="K87"/>
  <c r="L87"/>
  <c r="M87"/>
  <c r="N87"/>
  <c r="O87"/>
  <c r="I90"/>
  <c r="J90"/>
  <c r="K90"/>
  <c r="L90"/>
  <c r="M90"/>
  <c r="N90"/>
  <c r="O90"/>
  <c r="I91"/>
  <c r="J91"/>
  <c r="K91"/>
  <c r="L91"/>
  <c r="M91"/>
  <c r="N91"/>
  <c r="O91"/>
  <c r="I92"/>
  <c r="J92"/>
  <c r="K92"/>
  <c r="L92"/>
  <c r="M92"/>
  <c r="N92"/>
  <c r="O92"/>
  <c r="I93"/>
  <c r="J93"/>
  <c r="K93"/>
  <c r="L93"/>
  <c r="M93"/>
  <c r="N93"/>
  <c r="O93"/>
  <c r="I94"/>
  <c r="J94"/>
  <c r="K94"/>
  <c r="L94"/>
  <c r="M94"/>
  <c r="N94"/>
  <c r="O94"/>
  <c r="I95"/>
  <c r="J95"/>
  <c r="K95"/>
  <c r="L95"/>
  <c r="M95"/>
  <c r="N95"/>
  <c r="O95"/>
  <c r="I96"/>
  <c r="J96"/>
  <c r="K96"/>
  <c r="L96"/>
  <c r="M96"/>
  <c r="N96"/>
  <c r="O96"/>
  <c r="I97"/>
  <c r="J97"/>
  <c r="K97"/>
  <c r="L97"/>
  <c r="M97"/>
  <c r="N97"/>
  <c r="O97"/>
  <c r="I98"/>
  <c r="J98"/>
  <c r="K98"/>
  <c r="L98"/>
  <c r="M98"/>
  <c r="N98"/>
  <c r="O98"/>
  <c r="I99"/>
  <c r="J99"/>
  <c r="K99"/>
  <c r="L99"/>
  <c r="M99"/>
  <c r="N99"/>
  <c r="O99"/>
  <c r="I101"/>
  <c r="J101"/>
  <c r="K101"/>
  <c r="L101"/>
  <c r="M101"/>
  <c r="N101"/>
  <c r="O101"/>
  <c r="I102"/>
  <c r="J102"/>
  <c r="K102"/>
  <c r="L102"/>
  <c r="M102"/>
  <c r="N102"/>
  <c r="O102"/>
  <c r="I103"/>
  <c r="J103"/>
  <c r="K103"/>
  <c r="L103"/>
  <c r="M103"/>
  <c r="N103"/>
  <c r="O103"/>
  <c r="I104"/>
  <c r="J104"/>
  <c r="K104"/>
  <c r="L104"/>
  <c r="M104"/>
  <c r="N104"/>
  <c r="O104"/>
  <c r="I107"/>
  <c r="J107"/>
  <c r="K107"/>
  <c r="L107"/>
  <c r="M107"/>
  <c r="N107"/>
  <c r="O107"/>
  <c r="I108"/>
  <c r="J108"/>
  <c r="K108"/>
  <c r="L108"/>
  <c r="M108"/>
  <c r="N108"/>
  <c r="O108"/>
  <c r="I109"/>
  <c r="J109"/>
  <c r="K109"/>
  <c r="L109"/>
  <c r="M109"/>
  <c r="N109"/>
  <c r="O109"/>
  <c r="I110"/>
  <c r="J110"/>
  <c r="K110"/>
  <c r="L110"/>
  <c r="M110"/>
  <c r="N110"/>
  <c r="O110"/>
  <c r="I111"/>
  <c r="J111"/>
  <c r="K111"/>
  <c r="L111"/>
  <c r="M111"/>
  <c r="N111"/>
  <c r="O111"/>
  <c r="I112"/>
  <c r="J112"/>
  <c r="K112"/>
  <c r="L112"/>
  <c r="M112"/>
  <c r="N112"/>
  <c r="O112"/>
  <c r="I115"/>
  <c r="J115"/>
  <c r="K115"/>
  <c r="L115"/>
  <c r="M115"/>
  <c r="N115"/>
  <c r="O115"/>
  <c r="I116"/>
  <c r="J116"/>
  <c r="K116"/>
  <c r="L116"/>
  <c r="M116"/>
  <c r="N116"/>
  <c r="O116"/>
  <c r="I117"/>
  <c r="J117"/>
  <c r="K117"/>
  <c r="L117"/>
  <c r="M117"/>
  <c r="N117"/>
  <c r="O117"/>
  <c r="I118"/>
  <c r="J118"/>
  <c r="K118"/>
  <c r="L118"/>
  <c r="M118"/>
  <c r="N118"/>
  <c r="O118"/>
  <c r="I119"/>
  <c r="J119"/>
  <c r="K119"/>
  <c r="L119"/>
  <c r="M119"/>
  <c r="N119"/>
  <c r="O119"/>
  <c r="I121"/>
  <c r="J121"/>
  <c r="K121"/>
  <c r="L121"/>
  <c r="M121"/>
  <c r="N121"/>
  <c r="O121"/>
  <c r="I124"/>
  <c r="J124"/>
  <c r="K124"/>
  <c r="L124"/>
  <c r="M124"/>
  <c r="N124"/>
  <c r="O124"/>
  <c r="I125"/>
  <c r="J125"/>
  <c r="K125"/>
  <c r="L125"/>
  <c r="M125"/>
  <c r="N125"/>
  <c r="O125"/>
  <c r="I126"/>
  <c r="J126"/>
  <c r="K126"/>
  <c r="L126"/>
  <c r="M126"/>
  <c r="N126"/>
  <c r="O126"/>
  <c r="I127"/>
  <c r="J127"/>
  <c r="K127"/>
  <c r="L127"/>
  <c r="M127"/>
  <c r="N127"/>
  <c r="O127"/>
  <c r="I128"/>
  <c r="J128"/>
  <c r="K128"/>
  <c r="L128"/>
  <c r="M128"/>
  <c r="N128"/>
  <c r="O128"/>
  <c r="I129"/>
  <c r="J129"/>
  <c r="K129"/>
  <c r="L129"/>
  <c r="M129"/>
  <c r="N129"/>
  <c r="O129"/>
  <c r="I130"/>
  <c r="J130"/>
  <c r="K130"/>
  <c r="L130"/>
  <c r="M130"/>
  <c r="N130"/>
  <c r="O130"/>
  <c r="I131"/>
  <c r="J131"/>
  <c r="K131"/>
  <c r="L131"/>
  <c r="M131"/>
  <c r="N131"/>
  <c r="O131"/>
  <c r="I132"/>
  <c r="J132"/>
  <c r="K132"/>
  <c r="L132"/>
  <c r="M132"/>
  <c r="N132"/>
  <c r="O132"/>
  <c r="I133"/>
  <c r="J133"/>
  <c r="K133"/>
  <c r="L133"/>
  <c r="M133"/>
  <c r="N133"/>
  <c r="O133"/>
  <c r="I134"/>
  <c r="J134"/>
  <c r="K134"/>
  <c r="L134"/>
  <c r="M134"/>
  <c r="N134"/>
  <c r="O134"/>
  <c r="I137"/>
  <c r="J137"/>
  <c r="K137"/>
  <c r="L137"/>
  <c r="M137"/>
  <c r="N137"/>
  <c r="O137"/>
  <c r="I138"/>
  <c r="J138"/>
  <c r="K138"/>
  <c r="L138"/>
  <c r="M138"/>
  <c r="N138"/>
  <c r="O138"/>
  <c r="I139"/>
  <c r="J139"/>
  <c r="K139"/>
  <c r="L139"/>
  <c r="M139"/>
  <c r="N139"/>
  <c r="O139"/>
  <c r="I140"/>
  <c r="J140"/>
  <c r="K140"/>
  <c r="L140"/>
  <c r="M140"/>
  <c r="N140"/>
  <c r="O140"/>
  <c r="I143"/>
  <c r="J143"/>
  <c r="K143"/>
  <c r="L143"/>
  <c r="M143"/>
  <c r="N143"/>
  <c r="O143"/>
  <c r="I144"/>
  <c r="J144"/>
  <c r="K144"/>
  <c r="L144"/>
  <c r="M144"/>
  <c r="N144"/>
  <c r="O144"/>
  <c r="I145"/>
  <c r="J145"/>
  <c r="K145"/>
  <c r="L145"/>
  <c r="M145"/>
  <c r="N145"/>
  <c r="O145"/>
  <c r="I148"/>
  <c r="J148"/>
  <c r="K148"/>
  <c r="L148"/>
  <c r="M148"/>
  <c r="N148"/>
  <c r="O148"/>
  <c r="I149"/>
  <c r="J149"/>
  <c r="K149"/>
  <c r="L149"/>
  <c r="M149"/>
  <c r="N149"/>
  <c r="O149"/>
  <c r="I150"/>
  <c r="J150"/>
  <c r="K150"/>
  <c r="L150"/>
  <c r="M150"/>
  <c r="N150"/>
  <c r="O150"/>
  <c r="I153"/>
  <c r="J153"/>
  <c r="K153"/>
  <c r="L153"/>
  <c r="M153"/>
  <c r="N153"/>
  <c r="O153"/>
  <c r="I154"/>
  <c r="J154"/>
  <c r="K154"/>
  <c r="L154"/>
  <c r="M154"/>
  <c r="N154"/>
  <c r="O154"/>
  <c r="I155"/>
  <c r="J155"/>
  <c r="K155"/>
  <c r="L155"/>
  <c r="M155"/>
  <c r="N155"/>
  <c r="O155"/>
  <c r="I158"/>
  <c r="J158"/>
  <c r="K158"/>
  <c r="L158"/>
  <c r="M158"/>
  <c r="N158"/>
  <c r="O158"/>
  <c r="I159"/>
  <c r="J159"/>
  <c r="K159"/>
  <c r="L159"/>
  <c r="M159"/>
  <c r="N159"/>
  <c r="O159"/>
  <c r="I160"/>
  <c r="J160"/>
  <c r="K160"/>
  <c r="L160"/>
  <c r="M160"/>
  <c r="N160"/>
  <c r="O160"/>
  <c r="I163"/>
  <c r="J163"/>
  <c r="K163"/>
  <c r="L163"/>
  <c r="M163"/>
  <c r="N163"/>
  <c r="O163"/>
  <c r="I164"/>
  <c r="J164"/>
  <c r="K164"/>
  <c r="L164"/>
  <c r="M164"/>
  <c r="N164"/>
  <c r="O164"/>
  <c r="I165"/>
  <c r="J165"/>
  <c r="K165"/>
  <c r="L165"/>
  <c r="M165"/>
  <c r="N165"/>
  <c r="O165"/>
  <c r="I168"/>
  <c r="J168"/>
  <c r="K168"/>
  <c r="L168"/>
  <c r="M168"/>
  <c r="N168"/>
  <c r="O168"/>
  <c r="I169"/>
  <c r="J169"/>
  <c r="K169"/>
  <c r="L169"/>
  <c r="M169"/>
  <c r="N169"/>
  <c r="O169"/>
  <c r="I170"/>
  <c r="J170"/>
  <c r="K170"/>
  <c r="L170"/>
  <c r="M170"/>
  <c r="N170"/>
  <c r="O170"/>
  <c r="I173"/>
  <c r="J173"/>
  <c r="K173"/>
  <c r="L173"/>
  <c r="M173"/>
  <c r="N173"/>
  <c r="O173"/>
  <c r="I174"/>
  <c r="J174"/>
  <c r="K174"/>
  <c r="L174"/>
  <c r="M174"/>
  <c r="N174"/>
  <c r="O174"/>
  <c r="I175"/>
  <c r="J175"/>
  <c r="K175"/>
  <c r="L175"/>
  <c r="M175"/>
  <c r="N175"/>
  <c r="O175"/>
  <c r="I178"/>
  <c r="J178"/>
  <c r="K178"/>
  <c r="L178"/>
  <c r="M178"/>
  <c r="N178"/>
  <c r="O178"/>
  <c r="I179"/>
  <c r="J179"/>
  <c r="K179"/>
  <c r="L179"/>
  <c r="M179"/>
  <c r="N179"/>
  <c r="O179"/>
  <c r="I182"/>
  <c r="J182"/>
  <c r="K182"/>
  <c r="L182"/>
  <c r="M182"/>
  <c r="N182"/>
  <c r="O182"/>
  <c r="I183"/>
  <c r="J183"/>
  <c r="K183"/>
  <c r="L183"/>
  <c r="M183"/>
  <c r="N183"/>
  <c r="O183"/>
  <c r="I184"/>
  <c r="J184"/>
  <c r="K184"/>
  <c r="L184"/>
  <c r="M184"/>
  <c r="N184"/>
  <c r="O184"/>
  <c r="I185"/>
  <c r="J185"/>
  <c r="K185"/>
  <c r="L185"/>
  <c r="M185"/>
  <c r="N185"/>
  <c r="O185"/>
  <c r="I187"/>
  <c r="J187"/>
  <c r="K187"/>
  <c r="L187"/>
  <c r="M187"/>
  <c r="N187"/>
  <c r="O187"/>
  <c r="I188"/>
  <c r="J188"/>
  <c r="K188"/>
  <c r="L188"/>
  <c r="M188"/>
  <c r="N188"/>
  <c r="O188"/>
  <c r="I189"/>
  <c r="J189"/>
  <c r="K189"/>
  <c r="L189"/>
  <c r="M189"/>
  <c r="N189"/>
  <c r="O189"/>
  <c r="I190"/>
  <c r="J190"/>
  <c r="K190"/>
  <c r="L190"/>
  <c r="M190"/>
  <c r="N190"/>
  <c r="O190"/>
  <c r="I193"/>
  <c r="J193"/>
  <c r="K193"/>
  <c r="L193"/>
  <c r="M193"/>
  <c r="N193"/>
  <c r="O193"/>
  <c r="I194"/>
  <c r="J194"/>
  <c r="K194"/>
  <c r="L194"/>
  <c r="M194"/>
  <c r="N194"/>
  <c r="O194"/>
  <c r="I195"/>
  <c r="J195"/>
  <c r="K195"/>
  <c r="L195"/>
  <c r="M195"/>
  <c r="N195"/>
  <c r="O195"/>
  <c r="I196"/>
  <c r="J196"/>
  <c r="K196"/>
  <c r="L196"/>
  <c r="M196"/>
  <c r="N196"/>
  <c r="O196"/>
  <c r="I199"/>
  <c r="J199"/>
  <c r="K199"/>
  <c r="L199"/>
  <c r="M199"/>
  <c r="N199"/>
  <c r="O199"/>
  <c r="I200"/>
  <c r="J200"/>
  <c r="K200"/>
  <c r="L200"/>
  <c r="M200"/>
  <c r="N200"/>
  <c r="O200"/>
  <c r="I201"/>
  <c r="J201"/>
  <c r="K201"/>
  <c r="L201"/>
  <c r="M201"/>
  <c r="N201"/>
  <c r="O201"/>
  <c r="I202"/>
  <c r="J202"/>
  <c r="K202"/>
  <c r="L202"/>
  <c r="M202"/>
  <c r="N202"/>
  <c r="O202"/>
  <c r="I205"/>
  <c r="J205"/>
  <c r="K205"/>
  <c r="L205"/>
  <c r="M205"/>
  <c r="N205"/>
  <c r="O205"/>
  <c r="I206"/>
  <c r="J206"/>
  <c r="K206"/>
  <c r="L206"/>
  <c r="M206"/>
  <c r="N206"/>
  <c r="O206"/>
  <c r="I207"/>
  <c r="J207"/>
  <c r="K207"/>
  <c r="L207"/>
  <c r="M207"/>
  <c r="N207"/>
  <c r="O207"/>
  <c r="I208"/>
  <c r="J208"/>
  <c r="K208"/>
  <c r="L208"/>
  <c r="M208"/>
  <c r="N208"/>
  <c r="O208"/>
  <c r="I211"/>
  <c r="J211"/>
  <c r="K211"/>
  <c r="L211"/>
  <c r="M211"/>
  <c r="N211"/>
  <c r="O211"/>
  <c r="I212"/>
  <c r="J212"/>
  <c r="K212"/>
  <c r="L212"/>
  <c r="M212"/>
  <c r="N212"/>
  <c r="O212"/>
  <c r="I213"/>
  <c r="J213"/>
  <c r="K213"/>
  <c r="L213"/>
  <c r="M213"/>
  <c r="N213"/>
  <c r="O213"/>
  <c r="I214"/>
  <c r="J214"/>
  <c r="K214"/>
  <c r="L214"/>
  <c r="M214"/>
  <c r="N214"/>
  <c r="O214"/>
  <c r="I217"/>
  <c r="J217"/>
  <c r="K217"/>
  <c r="L217"/>
  <c r="M217"/>
  <c r="N217"/>
  <c r="O217"/>
  <c r="I218"/>
  <c r="J218"/>
  <c r="K218"/>
  <c r="L218"/>
  <c r="M218"/>
  <c r="N218"/>
  <c r="O218"/>
  <c r="I219"/>
  <c r="J219"/>
  <c r="K219"/>
  <c r="L219"/>
  <c r="M219"/>
  <c r="N219"/>
  <c r="O219"/>
  <c r="I220"/>
  <c r="J220"/>
  <c r="K220"/>
  <c r="L220"/>
  <c r="M220"/>
  <c r="N220"/>
  <c r="O220"/>
  <c r="I223"/>
  <c r="J223"/>
  <c r="K223"/>
  <c r="L223"/>
  <c r="M223"/>
  <c r="N223"/>
  <c r="O223"/>
  <c r="I224"/>
  <c r="J224"/>
  <c r="K224"/>
  <c r="L224"/>
  <c r="M224"/>
  <c r="N224"/>
  <c r="O224"/>
  <c r="I225"/>
  <c r="J225"/>
  <c r="K225"/>
  <c r="L225"/>
  <c r="M225"/>
  <c r="N225"/>
  <c r="O225"/>
  <c r="I226"/>
  <c r="J226"/>
  <c r="K226"/>
  <c r="L226"/>
  <c r="M226"/>
  <c r="N226"/>
  <c r="O226"/>
  <c r="I229"/>
  <c r="J229"/>
  <c r="K229"/>
  <c r="L229"/>
  <c r="M229"/>
  <c r="N229"/>
  <c r="O229"/>
  <c r="I230"/>
  <c r="J230"/>
  <c r="K230"/>
  <c r="L230"/>
  <c r="M230"/>
  <c r="N230"/>
  <c r="O230"/>
  <c r="I231"/>
  <c r="J231"/>
  <c r="K231"/>
  <c r="L231"/>
  <c r="M231"/>
  <c r="N231"/>
  <c r="O231"/>
  <c r="I232"/>
  <c r="J232"/>
  <c r="K232"/>
  <c r="L232"/>
  <c r="M232"/>
  <c r="N232"/>
  <c r="O232"/>
  <c r="I235"/>
  <c r="J235"/>
  <c r="K235"/>
  <c r="L235"/>
  <c r="M235"/>
  <c r="N235"/>
  <c r="O235"/>
  <c r="I236"/>
  <c r="J236"/>
  <c r="K236"/>
  <c r="L236"/>
  <c r="M236"/>
  <c r="N236"/>
  <c r="O236"/>
  <c r="I237"/>
  <c r="J237"/>
  <c r="K237"/>
  <c r="L237"/>
  <c r="M237"/>
  <c r="N237"/>
  <c r="O237"/>
  <c r="I238"/>
  <c r="J238"/>
  <c r="K238"/>
  <c r="L238"/>
  <c r="M238"/>
  <c r="N238"/>
  <c r="O238"/>
  <c r="I241"/>
  <c r="J241"/>
  <c r="K241"/>
  <c r="L241"/>
  <c r="M241"/>
  <c r="N241"/>
  <c r="O241"/>
  <c r="I242"/>
  <c r="J242"/>
  <c r="K242"/>
  <c r="L242"/>
  <c r="M242"/>
  <c r="N242"/>
  <c r="O242"/>
  <c r="I243"/>
  <c r="J243"/>
  <c r="K243"/>
  <c r="L243"/>
  <c r="M243"/>
  <c r="N243"/>
  <c r="O243"/>
  <c r="I244"/>
  <c r="J244"/>
  <c r="K244"/>
  <c r="L244"/>
  <c r="M244"/>
  <c r="N244"/>
  <c r="O244"/>
  <c r="I247"/>
  <c r="J247"/>
  <c r="K247"/>
  <c r="L247"/>
  <c r="M247"/>
  <c r="N247"/>
  <c r="O247"/>
  <c r="I248"/>
  <c r="J248"/>
  <c r="K248"/>
  <c r="L248"/>
  <c r="M248"/>
  <c r="N248"/>
  <c r="O248"/>
  <c r="I249"/>
  <c r="J249"/>
  <c r="K249"/>
  <c r="L249"/>
  <c r="M249"/>
  <c r="N249"/>
  <c r="O249"/>
  <c r="I250"/>
  <c r="J250"/>
  <c r="K250"/>
  <c r="L250"/>
  <c r="M250"/>
  <c r="N250"/>
  <c r="O250"/>
  <c r="I253"/>
  <c r="J253"/>
  <c r="K253"/>
  <c r="L253"/>
  <c r="M253"/>
  <c r="N253"/>
  <c r="O253"/>
  <c r="I254"/>
  <c r="J254"/>
  <c r="K254"/>
  <c r="L254"/>
  <c r="M254"/>
  <c r="N254"/>
  <c r="O254"/>
  <c r="I255"/>
  <c r="J255"/>
  <c r="K255"/>
  <c r="L255"/>
  <c r="M255"/>
  <c r="N255"/>
  <c r="O255"/>
  <c r="I256"/>
  <c r="J256"/>
  <c r="K256"/>
  <c r="L256"/>
  <c r="M256"/>
  <c r="N256"/>
  <c r="O256"/>
  <c r="I259"/>
  <c r="J259"/>
  <c r="K259"/>
  <c r="L259"/>
  <c r="M259"/>
  <c r="N259"/>
  <c r="O259"/>
  <c r="I260"/>
  <c r="J260"/>
  <c r="K260"/>
  <c r="L260"/>
  <c r="M260"/>
  <c r="N260"/>
  <c r="O260"/>
  <c r="I261"/>
  <c r="J261"/>
  <c r="K261"/>
  <c r="L261"/>
  <c r="M261"/>
  <c r="N261"/>
  <c r="O261"/>
  <c r="I262"/>
  <c r="J262"/>
  <c r="K262"/>
  <c r="L262"/>
  <c r="M262"/>
  <c r="N262"/>
  <c r="O262"/>
  <c r="I265"/>
  <c r="J265"/>
  <c r="K265"/>
  <c r="L265"/>
  <c r="M265"/>
  <c r="N265"/>
  <c r="O265"/>
  <c r="I266"/>
  <c r="J266"/>
  <c r="K266"/>
  <c r="L266"/>
  <c r="M266"/>
  <c r="N266"/>
  <c r="O266"/>
  <c r="I267"/>
  <c r="J267"/>
  <c r="K267"/>
  <c r="L267"/>
  <c r="M267"/>
  <c r="N267"/>
  <c r="O267"/>
  <c r="I268"/>
  <c r="J268"/>
  <c r="K268"/>
  <c r="L268"/>
  <c r="M268"/>
  <c r="N268"/>
  <c r="O268"/>
  <c r="I271"/>
  <c r="J271"/>
  <c r="K271"/>
  <c r="L271"/>
  <c r="M271"/>
  <c r="N271"/>
  <c r="O271"/>
  <c r="I272"/>
  <c r="J272"/>
  <c r="K272"/>
  <c r="L272"/>
  <c r="M272"/>
  <c r="N272"/>
  <c r="O272"/>
  <c r="I273"/>
  <c r="J273"/>
  <c r="K273"/>
  <c r="L273"/>
  <c r="M273"/>
  <c r="N273"/>
  <c r="O273"/>
  <c r="I274"/>
  <c r="J274"/>
  <c r="K274"/>
  <c r="L274"/>
  <c r="M274"/>
  <c r="N274"/>
  <c r="O274"/>
  <c r="I277"/>
  <c r="J277"/>
  <c r="K277"/>
  <c r="L277"/>
  <c r="M277"/>
  <c r="N277"/>
  <c r="O277"/>
  <c r="I278"/>
  <c r="J278"/>
  <c r="K278"/>
  <c r="L278"/>
  <c r="M278"/>
  <c r="N278"/>
  <c r="O278"/>
  <c r="I279"/>
  <c r="J279"/>
  <c r="K279"/>
  <c r="L279"/>
  <c r="M279"/>
  <c r="N279"/>
  <c r="O279"/>
  <c r="I280"/>
  <c r="J280"/>
  <c r="K280"/>
  <c r="L280"/>
  <c r="M280"/>
  <c r="N280"/>
  <c r="O280"/>
  <c r="I283"/>
  <c r="J283"/>
  <c r="K283"/>
  <c r="L283"/>
  <c r="M283"/>
  <c r="N283"/>
  <c r="O283"/>
  <c r="I284"/>
  <c r="J284"/>
  <c r="K284"/>
  <c r="L284"/>
  <c r="M284"/>
  <c r="N284"/>
  <c r="O284"/>
  <c r="I285"/>
  <c r="J285"/>
  <c r="K285"/>
  <c r="L285"/>
  <c r="M285"/>
  <c r="N285"/>
  <c r="O285"/>
  <c r="I286"/>
  <c r="J286"/>
  <c r="K286"/>
  <c r="L286"/>
  <c r="M286"/>
  <c r="N286"/>
  <c r="O286"/>
  <c r="I289"/>
  <c r="J289"/>
  <c r="K289"/>
  <c r="L289"/>
  <c r="M289"/>
  <c r="N289"/>
  <c r="O289"/>
  <c r="I290"/>
  <c r="J290"/>
  <c r="K290"/>
  <c r="L290"/>
  <c r="M290"/>
  <c r="N290"/>
  <c r="O290"/>
  <c r="I291"/>
  <c r="J291"/>
  <c r="K291"/>
  <c r="L291"/>
  <c r="M291"/>
  <c r="N291"/>
  <c r="O291"/>
  <c r="I292"/>
  <c r="J292"/>
  <c r="K292"/>
  <c r="L292"/>
  <c r="M292"/>
  <c r="N292"/>
  <c r="O292"/>
  <c r="I295"/>
  <c r="J295"/>
  <c r="K295"/>
  <c r="L295"/>
  <c r="M295"/>
  <c r="N295"/>
  <c r="O295"/>
  <c r="I296"/>
  <c r="J296"/>
  <c r="K296"/>
  <c r="L296"/>
  <c r="M296"/>
  <c r="N296"/>
  <c r="O296"/>
  <c r="I297"/>
  <c r="J297"/>
  <c r="K297"/>
  <c r="L297"/>
  <c r="M297"/>
  <c r="N297"/>
  <c r="O297"/>
  <c r="I298"/>
  <c r="J298"/>
  <c r="K298"/>
  <c r="L298"/>
  <c r="M298"/>
  <c r="N298"/>
  <c r="O298"/>
  <c r="I301"/>
  <c r="J301"/>
  <c r="K301"/>
  <c r="L301"/>
  <c r="M301"/>
  <c r="N301"/>
  <c r="O301"/>
  <c r="I302"/>
  <c r="J302"/>
  <c r="K302"/>
  <c r="L302"/>
  <c r="M302"/>
  <c r="N302"/>
  <c r="O302"/>
  <c r="I303"/>
  <c r="J303"/>
  <c r="K303"/>
  <c r="L303"/>
  <c r="M303"/>
  <c r="N303"/>
  <c r="O303"/>
  <c r="I304"/>
  <c r="J304"/>
  <c r="K304"/>
  <c r="L304"/>
  <c r="M304"/>
  <c r="N304"/>
  <c r="O304"/>
  <c r="I307"/>
  <c r="J307"/>
  <c r="K307"/>
  <c r="L307"/>
  <c r="M307"/>
  <c r="N307"/>
  <c r="O307"/>
  <c r="I308"/>
  <c r="J308"/>
  <c r="K308"/>
  <c r="L308"/>
  <c r="M308"/>
  <c r="N308"/>
  <c r="O308"/>
  <c r="I309"/>
  <c r="J309"/>
  <c r="K309"/>
  <c r="L309"/>
  <c r="M309"/>
  <c r="N309"/>
  <c r="O309"/>
  <c r="I310"/>
  <c r="J310"/>
  <c r="K310"/>
  <c r="L310"/>
  <c r="M310"/>
  <c r="N310"/>
  <c r="O310"/>
  <c r="I313"/>
  <c r="J313"/>
  <c r="K313"/>
  <c r="L313"/>
  <c r="M313"/>
  <c r="N313"/>
  <c r="O313"/>
  <c r="I314"/>
  <c r="J314"/>
  <c r="K314"/>
  <c r="L314"/>
  <c r="M314"/>
  <c r="N314"/>
  <c r="O314"/>
  <c r="I315"/>
  <c r="J315"/>
  <c r="K315"/>
  <c r="L315"/>
  <c r="M315"/>
  <c r="N315"/>
  <c r="O315"/>
  <c r="I316"/>
  <c r="J316"/>
  <c r="K316"/>
  <c r="L316"/>
  <c r="M316"/>
  <c r="N316"/>
  <c r="O316"/>
  <c r="I319"/>
  <c r="J319"/>
  <c r="K319"/>
  <c r="L319"/>
  <c r="M319"/>
  <c r="N319"/>
  <c r="O319"/>
  <c r="I320"/>
  <c r="J320"/>
  <c r="K320"/>
  <c r="L320"/>
  <c r="M320"/>
  <c r="N320"/>
  <c r="O320"/>
  <c r="I321"/>
  <c r="J321"/>
  <c r="K321"/>
  <c r="L321"/>
  <c r="M321"/>
  <c r="N321"/>
  <c r="O321"/>
  <c r="I322"/>
  <c r="J322"/>
  <c r="K322"/>
  <c r="L322"/>
  <c r="M322"/>
  <c r="N322"/>
  <c r="O322"/>
  <c r="I325"/>
  <c r="J325"/>
  <c r="K325"/>
  <c r="L325"/>
  <c r="M325"/>
  <c r="N325"/>
  <c r="O325"/>
  <c r="I326"/>
  <c r="J326"/>
  <c r="K326"/>
  <c r="L326"/>
  <c r="M326"/>
  <c r="N326"/>
  <c r="O326"/>
  <c r="I327"/>
  <c r="J327"/>
  <c r="K327"/>
  <c r="L327"/>
  <c r="M327"/>
  <c r="N327"/>
  <c r="O327"/>
  <c r="I328"/>
  <c r="J328"/>
  <c r="K328"/>
  <c r="L328"/>
  <c r="M328"/>
  <c r="N328"/>
  <c r="O328"/>
  <c r="I331"/>
  <c r="J331"/>
  <c r="K331"/>
  <c r="L331"/>
  <c r="M331"/>
  <c r="N331"/>
  <c r="O331"/>
  <c r="I332"/>
  <c r="J332"/>
  <c r="K332"/>
  <c r="L332"/>
  <c r="M332"/>
  <c r="N332"/>
  <c r="O332"/>
  <c r="I333"/>
  <c r="J333"/>
  <c r="K333"/>
  <c r="L333"/>
  <c r="M333"/>
  <c r="N333"/>
  <c r="O333"/>
  <c r="I334"/>
  <c r="J334"/>
  <c r="K334"/>
  <c r="L334"/>
  <c r="M334"/>
  <c r="N334"/>
  <c r="O334"/>
  <c r="I337"/>
  <c r="J337"/>
  <c r="K337"/>
  <c r="L337"/>
  <c r="M337"/>
  <c r="N337"/>
  <c r="O337"/>
  <c r="I338"/>
  <c r="J338"/>
  <c r="K338"/>
  <c r="L338"/>
  <c r="M338"/>
  <c r="N338"/>
  <c r="O338"/>
  <c r="I339"/>
  <c r="J339"/>
  <c r="K339"/>
  <c r="L339"/>
  <c r="M339"/>
  <c r="N339"/>
  <c r="O339"/>
  <c r="I340"/>
  <c r="J340"/>
  <c r="K340"/>
  <c r="L340"/>
  <c r="M340"/>
  <c r="N340"/>
  <c r="O340"/>
  <c r="I343"/>
  <c r="J343"/>
  <c r="K343"/>
  <c r="L343"/>
  <c r="M343"/>
  <c r="N343"/>
  <c r="O343"/>
  <c r="I344"/>
  <c r="J344"/>
  <c r="K344"/>
  <c r="L344"/>
  <c r="M344"/>
  <c r="N344"/>
  <c r="O344"/>
  <c r="I345"/>
  <c r="J345"/>
  <c r="K345"/>
  <c r="L345"/>
  <c r="M345"/>
  <c r="N345"/>
  <c r="O345"/>
  <c r="I346"/>
  <c r="J346"/>
  <c r="K346"/>
  <c r="L346"/>
  <c r="M346"/>
  <c r="N346"/>
  <c r="O346"/>
  <c r="I349"/>
  <c r="J349"/>
  <c r="K349"/>
  <c r="L349"/>
  <c r="M349"/>
  <c r="N349"/>
  <c r="O349"/>
  <c r="I350"/>
  <c r="J350"/>
  <c r="K350"/>
  <c r="L350"/>
  <c r="M350"/>
  <c r="N350"/>
  <c r="O350"/>
  <c r="I351"/>
  <c r="J351"/>
  <c r="K351"/>
  <c r="L351"/>
  <c r="M351"/>
  <c r="N351"/>
  <c r="O351"/>
  <c r="I352"/>
  <c r="J352"/>
  <c r="K352"/>
  <c r="L352"/>
  <c r="M352"/>
  <c r="N352"/>
  <c r="O352"/>
  <c r="I355"/>
  <c r="J355"/>
  <c r="K355"/>
  <c r="L355"/>
  <c r="M355"/>
  <c r="N355"/>
  <c r="O355"/>
  <c r="I356"/>
  <c r="J356"/>
  <c r="K356"/>
  <c r="L356"/>
  <c r="M356"/>
  <c r="N356"/>
  <c r="O356"/>
  <c r="I357"/>
  <c r="J357"/>
  <c r="K357"/>
  <c r="L357"/>
  <c r="M357"/>
  <c r="N357"/>
  <c r="O357"/>
  <c r="I358"/>
  <c r="J358"/>
  <c r="K358"/>
  <c r="L358"/>
  <c r="M358"/>
  <c r="N358"/>
  <c r="O358"/>
  <c r="I361"/>
  <c r="J361"/>
  <c r="K361"/>
  <c r="L361"/>
  <c r="M361"/>
  <c r="N361"/>
  <c r="O361"/>
  <c r="I362"/>
  <c r="J362"/>
  <c r="K362"/>
  <c r="L362"/>
  <c r="M362"/>
  <c r="N362"/>
  <c r="O362"/>
  <c r="I363"/>
  <c r="J363"/>
  <c r="K363"/>
  <c r="L363"/>
  <c r="M363"/>
  <c r="N363"/>
  <c r="O363"/>
  <c r="I364"/>
  <c r="J364"/>
  <c r="K364"/>
  <c r="L364"/>
  <c r="M364"/>
  <c r="N364"/>
  <c r="O364"/>
  <c r="I367"/>
  <c r="J367"/>
  <c r="K367"/>
  <c r="L367"/>
  <c r="M367"/>
  <c r="N367"/>
  <c r="O367"/>
  <c r="I368"/>
  <c r="J368"/>
  <c r="K368"/>
  <c r="L368"/>
  <c r="M368"/>
  <c r="N368"/>
  <c r="O368"/>
  <c r="I369"/>
  <c r="J369"/>
  <c r="K369"/>
  <c r="L369"/>
  <c r="M369"/>
  <c r="N369"/>
  <c r="O369"/>
  <c r="I370"/>
  <c r="J370"/>
  <c r="K370"/>
  <c r="L370"/>
  <c r="M370"/>
  <c r="N370"/>
  <c r="O370"/>
  <c r="I373"/>
  <c r="J373"/>
  <c r="K373"/>
  <c r="L373"/>
  <c r="M373"/>
  <c r="N373"/>
  <c r="O373"/>
  <c r="I374"/>
  <c r="J374"/>
  <c r="K374"/>
  <c r="L374"/>
  <c r="M374"/>
  <c r="N374"/>
  <c r="O374"/>
  <c r="I375"/>
  <c r="J375"/>
  <c r="K375"/>
  <c r="L375"/>
  <c r="M375"/>
  <c r="N375"/>
  <c r="O375"/>
  <c r="I376"/>
  <c r="J376"/>
  <c r="K376"/>
  <c r="L376"/>
  <c r="M376"/>
  <c r="N376"/>
  <c r="O376"/>
  <c r="I379"/>
  <c r="J379"/>
  <c r="K379"/>
  <c r="L379"/>
  <c r="M379"/>
  <c r="N379"/>
  <c r="O379"/>
  <c r="I380"/>
  <c r="J380"/>
  <c r="K380"/>
  <c r="L380"/>
  <c r="M380"/>
  <c r="N380"/>
  <c r="O380"/>
  <c r="I381"/>
  <c r="J381"/>
  <c r="K381"/>
  <c r="L381"/>
  <c r="M381"/>
  <c r="N381"/>
  <c r="O381"/>
  <c r="I382"/>
  <c r="J382"/>
  <c r="K382"/>
  <c r="L382"/>
  <c r="M382"/>
  <c r="N382"/>
  <c r="O382"/>
  <c r="I385"/>
  <c r="J385"/>
  <c r="K385"/>
  <c r="L385"/>
  <c r="M385"/>
  <c r="N385"/>
  <c r="O385"/>
  <c r="I386"/>
  <c r="J386"/>
  <c r="K386"/>
  <c r="L386"/>
  <c r="M386"/>
  <c r="N386"/>
  <c r="O386"/>
  <c r="I387"/>
  <c r="J387"/>
  <c r="K387"/>
  <c r="L387"/>
  <c r="M387"/>
  <c r="N387"/>
  <c r="O387"/>
  <c r="I388"/>
  <c r="J388"/>
  <c r="K388"/>
  <c r="L388"/>
  <c r="M388"/>
  <c r="N388"/>
  <c r="O388"/>
  <c r="I391"/>
  <c r="J391"/>
  <c r="K391"/>
  <c r="L391"/>
  <c r="M391"/>
  <c r="N391"/>
  <c r="O391"/>
  <c r="I392"/>
  <c r="J392"/>
  <c r="K392"/>
  <c r="L392"/>
  <c r="M392"/>
  <c r="N392"/>
  <c r="O392"/>
  <c r="I393"/>
  <c r="J393"/>
  <c r="K393"/>
  <c r="L393"/>
  <c r="M393"/>
  <c r="N393"/>
  <c r="O393"/>
  <c r="I394"/>
  <c r="J394"/>
  <c r="K394"/>
  <c r="L394"/>
  <c r="M394"/>
  <c r="N394"/>
  <c r="O394"/>
  <c r="I397"/>
  <c r="J397"/>
  <c r="K397"/>
  <c r="L397"/>
  <c r="M397"/>
  <c r="N397"/>
  <c r="O397"/>
  <c r="I398"/>
  <c r="J398"/>
  <c r="K398"/>
  <c r="L398"/>
  <c r="M398"/>
  <c r="N398"/>
  <c r="O398"/>
  <c r="I399"/>
  <c r="J399"/>
  <c r="K399"/>
  <c r="L399"/>
  <c r="M399"/>
  <c r="N399"/>
  <c r="O399"/>
  <c r="I400"/>
  <c r="J400"/>
  <c r="K400"/>
  <c r="L400"/>
  <c r="M400"/>
  <c r="N400"/>
  <c r="O400"/>
  <c r="I403"/>
  <c r="J403"/>
  <c r="K403"/>
  <c r="L403"/>
  <c r="M403"/>
  <c r="N403"/>
  <c r="O403"/>
  <c r="I404"/>
  <c r="J404"/>
  <c r="K404"/>
  <c r="L404"/>
  <c r="M404"/>
  <c r="N404"/>
  <c r="O404"/>
  <c r="I405"/>
  <c r="J405"/>
  <c r="K405"/>
  <c r="L405"/>
  <c r="M405"/>
  <c r="N405"/>
  <c r="O405"/>
  <c r="I406"/>
  <c r="J406"/>
  <c r="K406"/>
  <c r="L406"/>
  <c r="M406"/>
  <c r="N406"/>
  <c r="O406"/>
  <c r="I409"/>
  <c r="J409"/>
  <c r="K409"/>
  <c r="L409"/>
  <c r="M409"/>
  <c r="N409"/>
  <c r="O409"/>
  <c r="I410"/>
  <c r="J410"/>
  <c r="K410"/>
  <c r="L410"/>
  <c r="M410"/>
  <c r="N410"/>
  <c r="O410"/>
  <c r="I411"/>
  <c r="J411"/>
  <c r="K411"/>
  <c r="L411"/>
  <c r="M411"/>
  <c r="N411"/>
  <c r="O411"/>
  <c r="I412"/>
  <c r="J412"/>
  <c r="K412"/>
  <c r="L412"/>
  <c r="M412"/>
  <c r="N412"/>
  <c r="O412"/>
  <c r="I415"/>
  <c r="J415"/>
  <c r="K415"/>
  <c r="L415"/>
  <c r="M415"/>
  <c r="N415"/>
  <c r="O415"/>
  <c r="I416"/>
  <c r="J416"/>
  <c r="K416"/>
  <c r="L416"/>
  <c r="M416"/>
  <c r="N416"/>
  <c r="O416"/>
  <c r="I417"/>
  <c r="J417"/>
  <c r="K417"/>
  <c r="L417"/>
  <c r="M417"/>
  <c r="N417"/>
  <c r="O417"/>
  <c r="I420"/>
  <c r="J420"/>
  <c r="K420"/>
  <c r="L420"/>
  <c r="M420"/>
  <c r="N420"/>
  <c r="O420"/>
  <c r="I421"/>
  <c r="J421"/>
  <c r="K421"/>
  <c r="L421"/>
  <c r="M421"/>
  <c r="N421"/>
  <c r="O421"/>
  <c r="I422"/>
  <c r="J422"/>
  <c r="K422"/>
  <c r="L422"/>
  <c r="M422"/>
  <c r="N422"/>
  <c r="O422"/>
  <c r="I423"/>
  <c r="J423"/>
  <c r="K423"/>
  <c r="L423"/>
  <c r="M423"/>
  <c r="N423"/>
  <c r="O423"/>
  <c r="I424"/>
  <c r="J424"/>
  <c r="K424"/>
  <c r="L424"/>
  <c r="M424"/>
  <c r="N424"/>
  <c r="O424"/>
  <c r="I427"/>
  <c r="J427"/>
  <c r="K427"/>
  <c r="L427"/>
  <c r="M427"/>
  <c r="N427"/>
  <c r="O427"/>
  <c r="I428"/>
  <c r="J428"/>
  <c r="K428"/>
  <c r="L428"/>
  <c r="M428"/>
  <c r="N428"/>
  <c r="O428"/>
  <c r="I429"/>
  <c r="J429"/>
  <c r="K429"/>
  <c r="L429"/>
  <c r="M429"/>
  <c r="N429"/>
  <c r="O429"/>
  <c r="I430"/>
  <c r="J430"/>
  <c r="K430"/>
  <c r="L430"/>
  <c r="M430"/>
  <c r="N430"/>
  <c r="O430"/>
  <c r="I431"/>
  <c r="J431"/>
  <c r="K431"/>
  <c r="L431"/>
  <c r="M431"/>
  <c r="N431"/>
  <c r="O431"/>
  <c r="I434"/>
  <c r="J434"/>
  <c r="K434"/>
  <c r="L434"/>
  <c r="M434"/>
  <c r="N434"/>
  <c r="O434"/>
  <c r="I435"/>
  <c r="J435"/>
  <c r="K435"/>
  <c r="L435"/>
  <c r="M435"/>
  <c r="N435"/>
  <c r="O435"/>
  <c r="I436"/>
  <c r="J436"/>
  <c r="K436"/>
  <c r="L436"/>
  <c r="M436"/>
  <c r="N436"/>
  <c r="O436"/>
  <c r="I437"/>
  <c r="J437"/>
  <c r="K437"/>
  <c r="L437"/>
  <c r="M437"/>
  <c r="N437"/>
  <c r="O437"/>
  <c r="I438"/>
  <c r="J438"/>
  <c r="K438"/>
  <c r="L438"/>
  <c r="M438"/>
  <c r="N438"/>
  <c r="O438"/>
  <c r="I441"/>
  <c r="J441"/>
  <c r="K441"/>
  <c r="L441"/>
  <c r="M441"/>
  <c r="N441"/>
  <c r="O441"/>
  <c r="I442"/>
  <c r="J442"/>
  <c r="K442"/>
  <c r="L442"/>
  <c r="M442"/>
  <c r="N442"/>
  <c r="O442"/>
  <c r="I443"/>
  <c r="J443"/>
  <c r="K443"/>
  <c r="L443"/>
  <c r="M443"/>
  <c r="N443"/>
  <c r="O443"/>
  <c r="I444"/>
  <c r="J444"/>
  <c r="K444"/>
  <c r="L444"/>
  <c r="M444"/>
  <c r="N444"/>
  <c r="O444"/>
  <c r="I445"/>
  <c r="J445"/>
  <c r="K445"/>
  <c r="L445"/>
  <c r="M445"/>
  <c r="N445"/>
  <c r="O445"/>
  <c r="I448"/>
  <c r="J448"/>
  <c r="K448"/>
  <c r="L448"/>
  <c r="M448"/>
  <c r="N448"/>
  <c r="O448"/>
  <c r="I449"/>
  <c r="J449"/>
  <c r="K449"/>
  <c r="L449"/>
  <c r="M449"/>
  <c r="N449"/>
  <c r="O449"/>
  <c r="I450"/>
  <c r="J450"/>
  <c r="K450"/>
  <c r="L450"/>
  <c r="M450"/>
  <c r="N450"/>
  <c r="O450"/>
  <c r="I451"/>
  <c r="J451"/>
  <c r="K451"/>
  <c r="L451"/>
  <c r="M451"/>
  <c r="N451"/>
  <c r="O451"/>
  <c r="I452"/>
  <c r="J452"/>
  <c r="K452"/>
  <c r="L452"/>
  <c r="M452"/>
  <c r="N452"/>
  <c r="O452"/>
  <c r="I455"/>
  <c r="J455"/>
  <c r="K455"/>
  <c r="L455"/>
  <c r="M455"/>
  <c r="N455"/>
  <c r="O455"/>
  <c r="I456"/>
  <c r="J456"/>
  <c r="K456"/>
  <c r="L456"/>
  <c r="M456"/>
  <c r="N456"/>
  <c r="O456"/>
  <c r="I457"/>
  <c r="J457"/>
  <c r="K457"/>
  <c r="L457"/>
  <c r="M457"/>
  <c r="N457"/>
  <c r="O457"/>
  <c r="I458"/>
  <c r="J458"/>
  <c r="K458"/>
  <c r="L458"/>
  <c r="M458"/>
  <c r="N458"/>
  <c r="O458"/>
  <c r="I459"/>
  <c r="J459"/>
  <c r="K459"/>
  <c r="L459"/>
  <c r="M459"/>
  <c r="N459"/>
  <c r="O459"/>
  <c r="I462"/>
  <c r="J462"/>
  <c r="K462"/>
  <c r="L462"/>
  <c r="M462"/>
  <c r="N462"/>
  <c r="O462"/>
  <c r="I463"/>
  <c r="J463"/>
  <c r="K463"/>
  <c r="L463"/>
  <c r="M463"/>
  <c r="N463"/>
  <c r="O463"/>
  <c r="I464"/>
  <c r="J464"/>
  <c r="K464"/>
  <c r="L464"/>
  <c r="M464"/>
  <c r="N464"/>
  <c r="O464"/>
  <c r="I465"/>
  <c r="J465"/>
  <c r="K465"/>
  <c r="L465"/>
  <c r="M465"/>
  <c r="N465"/>
  <c r="O465"/>
  <c r="I466"/>
  <c r="J466"/>
  <c r="K466"/>
  <c r="L466"/>
  <c r="M466"/>
  <c r="N466"/>
  <c r="O466"/>
  <c r="I469"/>
  <c r="J469"/>
  <c r="K469"/>
  <c r="L469"/>
  <c r="M469"/>
  <c r="N469"/>
  <c r="O469"/>
  <c r="I470"/>
  <c r="J470"/>
  <c r="K470"/>
  <c r="L470"/>
  <c r="M470"/>
  <c r="N470"/>
  <c r="O470"/>
  <c r="I471"/>
  <c r="J471"/>
  <c r="K471"/>
  <c r="L471"/>
  <c r="M471"/>
  <c r="N471"/>
  <c r="O471"/>
  <c r="I472"/>
  <c r="J472"/>
  <c r="K472"/>
  <c r="L472"/>
  <c r="M472"/>
  <c r="N472"/>
  <c r="O472"/>
  <c r="I473"/>
  <c r="J473"/>
  <c r="K473"/>
  <c r="L473"/>
  <c r="M473"/>
  <c r="N473"/>
  <c r="O473"/>
  <c r="I476"/>
  <c r="J476"/>
  <c r="K476"/>
  <c r="L476"/>
  <c r="M476"/>
  <c r="N476"/>
  <c r="O476"/>
  <c r="I477"/>
  <c r="J477"/>
  <c r="K477"/>
  <c r="L477"/>
  <c r="M477"/>
  <c r="N477"/>
  <c r="O477"/>
  <c r="I478"/>
  <c r="J478"/>
  <c r="K478"/>
  <c r="L478"/>
  <c r="M478"/>
  <c r="N478"/>
  <c r="O478"/>
  <c r="I479"/>
  <c r="J479"/>
  <c r="K479"/>
  <c r="L479"/>
  <c r="M479"/>
  <c r="N479"/>
  <c r="O479"/>
  <c r="I480"/>
  <c r="J480"/>
  <c r="K480"/>
  <c r="L480"/>
  <c r="M480"/>
  <c r="N480"/>
  <c r="O480"/>
  <c r="I483"/>
  <c r="J483"/>
  <c r="K483"/>
  <c r="L483"/>
  <c r="M483"/>
  <c r="N483"/>
  <c r="O483"/>
  <c r="I484"/>
  <c r="J484"/>
  <c r="K484"/>
  <c r="L484"/>
  <c r="M484"/>
  <c r="N484"/>
  <c r="O484"/>
  <c r="I485"/>
  <c r="J485"/>
  <c r="K485"/>
  <c r="L485"/>
  <c r="M485"/>
  <c r="N485"/>
  <c r="O485"/>
  <c r="I486"/>
  <c r="J486"/>
  <c r="K486"/>
  <c r="L486"/>
  <c r="M486"/>
  <c r="N486"/>
  <c r="O486"/>
  <c r="I487"/>
  <c r="J487"/>
  <c r="K487"/>
  <c r="L487"/>
  <c r="M487"/>
  <c r="N487"/>
  <c r="O487"/>
  <c r="I490"/>
  <c r="J490"/>
  <c r="K490"/>
  <c r="L490"/>
  <c r="M490"/>
  <c r="N490"/>
  <c r="O490"/>
  <c r="I491"/>
  <c r="J491"/>
  <c r="K491"/>
  <c r="L491"/>
  <c r="M491"/>
  <c r="N491"/>
  <c r="O491"/>
  <c r="I492"/>
  <c r="J492"/>
  <c r="K492"/>
  <c r="L492"/>
  <c r="M492"/>
  <c r="N492"/>
  <c r="O492"/>
  <c r="I493"/>
  <c r="J493"/>
  <c r="K493"/>
  <c r="L493"/>
  <c r="M493"/>
  <c r="N493"/>
  <c r="O493"/>
  <c r="I494"/>
  <c r="J494"/>
  <c r="K494"/>
  <c r="L494"/>
  <c r="M494"/>
  <c r="N494"/>
  <c r="O494"/>
  <c r="I497"/>
  <c r="J497"/>
  <c r="K497"/>
  <c r="L497"/>
  <c r="M497"/>
  <c r="N497"/>
  <c r="O497"/>
  <c r="I498"/>
  <c r="J498"/>
  <c r="K498"/>
  <c r="L498"/>
  <c r="M498"/>
  <c r="N498"/>
  <c r="O498"/>
  <c r="I499"/>
  <c r="J499"/>
  <c r="K499"/>
  <c r="L499"/>
  <c r="M499"/>
  <c r="N499"/>
  <c r="O499"/>
  <c r="I500"/>
  <c r="J500"/>
  <c r="K500"/>
  <c r="L500"/>
  <c r="M500"/>
  <c r="N500"/>
  <c r="O500"/>
  <c r="I501"/>
  <c r="J501"/>
  <c r="K501"/>
  <c r="L501"/>
  <c r="M501"/>
  <c r="N501"/>
  <c r="O501"/>
  <c r="I504"/>
  <c r="J504"/>
  <c r="K504"/>
  <c r="L504"/>
  <c r="M504"/>
  <c r="N504"/>
  <c r="O504"/>
  <c r="I505"/>
  <c r="J505"/>
  <c r="K505"/>
  <c r="L505"/>
  <c r="M505"/>
  <c r="N505"/>
  <c r="O505"/>
  <c r="I506"/>
  <c r="J506"/>
  <c r="K506"/>
  <c r="L506"/>
  <c r="M506"/>
  <c r="N506"/>
  <c r="O506"/>
  <c r="I507"/>
  <c r="J507"/>
  <c r="K507"/>
  <c r="L507"/>
  <c r="M507"/>
  <c r="N507"/>
  <c r="O507"/>
  <c r="I508"/>
  <c r="J508"/>
  <c r="K508"/>
  <c r="L508"/>
  <c r="M508"/>
  <c r="N508"/>
  <c r="O508"/>
  <c r="I511"/>
  <c r="J511"/>
  <c r="K511"/>
  <c r="L511"/>
  <c r="M511"/>
  <c r="N511"/>
  <c r="O511"/>
  <c r="I512"/>
  <c r="J512"/>
  <c r="K512"/>
  <c r="L512"/>
  <c r="M512"/>
  <c r="N512"/>
  <c r="O512"/>
  <c r="I513"/>
  <c r="J513"/>
  <c r="K513"/>
  <c r="L513"/>
  <c r="M513"/>
  <c r="N513"/>
  <c r="O513"/>
  <c r="I514"/>
  <c r="J514"/>
  <c r="K514"/>
  <c r="L514"/>
  <c r="M514"/>
  <c r="N514"/>
  <c r="O514"/>
  <c r="I515"/>
  <c r="J515"/>
  <c r="K515"/>
  <c r="L515"/>
  <c r="M515"/>
  <c r="N515"/>
  <c r="O515"/>
  <c r="I518"/>
  <c r="J518"/>
  <c r="K518"/>
  <c r="L518"/>
  <c r="M518"/>
  <c r="N518"/>
  <c r="O518"/>
  <c r="I519"/>
  <c r="J519"/>
  <c r="K519"/>
  <c r="L519"/>
  <c r="M519"/>
  <c r="N519"/>
  <c r="O519"/>
  <c r="I520"/>
  <c r="J520"/>
  <c r="K520"/>
  <c r="L520"/>
  <c r="M520"/>
  <c r="N520"/>
  <c r="O520"/>
  <c r="I521"/>
  <c r="J521"/>
  <c r="K521"/>
  <c r="L521"/>
  <c r="M521"/>
  <c r="N521"/>
  <c r="O521"/>
  <c r="I522"/>
  <c r="J522"/>
  <c r="K522"/>
  <c r="L522"/>
  <c r="M522"/>
  <c r="N522"/>
  <c r="O522"/>
  <c r="I525"/>
  <c r="J525"/>
  <c r="K525"/>
  <c r="L525"/>
  <c r="M525"/>
  <c r="N525"/>
  <c r="O525"/>
  <c r="I526"/>
  <c r="J526"/>
  <c r="K526"/>
  <c r="L526"/>
  <c r="M526"/>
  <c r="N526"/>
  <c r="O526"/>
  <c r="I527"/>
  <c r="J527"/>
  <c r="K527"/>
  <c r="L527"/>
  <c r="M527"/>
  <c r="N527"/>
  <c r="O527"/>
  <c r="I528"/>
  <c r="J528"/>
  <c r="K528"/>
  <c r="L528"/>
  <c r="M528"/>
  <c r="N528"/>
  <c r="O528"/>
  <c r="I529"/>
  <c r="J529"/>
  <c r="K529"/>
  <c r="L529"/>
  <c r="M529"/>
  <c r="N529"/>
  <c r="O529"/>
  <c r="I532"/>
  <c r="J532"/>
  <c r="K532"/>
  <c r="L532"/>
  <c r="M532"/>
  <c r="N532"/>
  <c r="O532"/>
  <c r="I533"/>
  <c r="J533"/>
  <c r="K533"/>
  <c r="L533"/>
  <c r="M533"/>
  <c r="N533"/>
  <c r="O533"/>
  <c r="I534"/>
  <c r="J534"/>
  <c r="K534"/>
  <c r="L534"/>
  <c r="M534"/>
  <c r="N534"/>
  <c r="O534"/>
  <c r="I535"/>
  <c r="J535"/>
  <c r="K535"/>
  <c r="L535"/>
  <c r="M535"/>
  <c r="N535"/>
  <c r="O535"/>
  <c r="I536"/>
  <c r="J536"/>
  <c r="K536"/>
  <c r="L536"/>
  <c r="M536"/>
  <c r="N536"/>
  <c r="O536"/>
  <c r="I539"/>
  <c r="J539"/>
  <c r="K539"/>
  <c r="L539"/>
  <c r="M539"/>
  <c r="N539"/>
  <c r="O539"/>
  <c r="I540"/>
  <c r="J540"/>
  <c r="K540"/>
  <c r="L540"/>
  <c r="M540"/>
  <c r="N540"/>
  <c r="O540"/>
  <c r="I541"/>
  <c r="J541"/>
  <c r="K541"/>
  <c r="L541"/>
  <c r="M541"/>
  <c r="N541"/>
  <c r="O541"/>
  <c r="I542"/>
  <c r="J542"/>
  <c r="K542"/>
  <c r="L542"/>
  <c r="M542"/>
  <c r="N542"/>
  <c r="O542"/>
  <c r="I543"/>
  <c r="J543"/>
  <c r="K543"/>
  <c r="L543"/>
  <c r="M543"/>
  <c r="N543"/>
  <c r="O543"/>
  <c r="I546"/>
  <c r="J546"/>
  <c r="K546"/>
  <c r="L546"/>
  <c r="M546"/>
  <c r="N546"/>
  <c r="O546"/>
  <c r="I547"/>
  <c r="J547"/>
  <c r="K547"/>
  <c r="L547"/>
  <c r="M547"/>
  <c r="N547"/>
  <c r="O547"/>
  <c r="I548"/>
  <c r="J548"/>
  <c r="K548"/>
  <c r="L548"/>
  <c r="M548"/>
  <c r="N548"/>
  <c r="O548"/>
  <c r="I549"/>
  <c r="J549"/>
  <c r="K549"/>
  <c r="L549"/>
  <c r="M549"/>
  <c r="N549"/>
  <c r="O549"/>
  <c r="I550"/>
  <c r="J550"/>
  <c r="K550"/>
  <c r="L550"/>
  <c r="M550"/>
  <c r="N550"/>
  <c r="O550"/>
  <c r="I553"/>
  <c r="J553"/>
  <c r="K553"/>
  <c r="L553"/>
  <c r="M553"/>
  <c r="N553"/>
  <c r="O553"/>
  <c r="I554"/>
  <c r="J554"/>
  <c r="K554"/>
  <c r="L554"/>
  <c r="M554"/>
  <c r="N554"/>
  <c r="O554"/>
  <c r="I555"/>
  <c r="J555"/>
  <c r="K555"/>
  <c r="L555"/>
  <c r="M555"/>
  <c r="N555"/>
  <c r="O555"/>
  <c r="I556"/>
  <c r="J556"/>
  <c r="K556"/>
  <c r="L556"/>
  <c r="M556"/>
  <c r="N556"/>
  <c r="O556"/>
  <c r="I557"/>
  <c r="J557"/>
  <c r="K557"/>
  <c r="L557"/>
  <c r="M557"/>
  <c r="N557"/>
  <c r="O557"/>
  <c r="I560"/>
  <c r="J560"/>
  <c r="K560"/>
  <c r="L560"/>
  <c r="M560"/>
  <c r="N560"/>
  <c r="O560"/>
  <c r="I561"/>
  <c r="J561"/>
  <c r="K561"/>
  <c r="L561"/>
  <c r="M561"/>
  <c r="N561"/>
  <c r="O561"/>
  <c r="I562"/>
  <c r="J562"/>
  <c r="K562"/>
  <c r="L562"/>
  <c r="M562"/>
  <c r="N562"/>
  <c r="O562"/>
  <c r="I563"/>
  <c r="J563"/>
  <c r="K563"/>
  <c r="L563"/>
  <c r="M563"/>
  <c r="N563"/>
  <c r="O563"/>
  <c r="I564"/>
  <c r="J564"/>
  <c r="K564"/>
  <c r="L564"/>
  <c r="M564"/>
  <c r="N564"/>
  <c r="O564"/>
  <c r="I567"/>
  <c r="J567"/>
  <c r="K567"/>
  <c r="L567"/>
  <c r="M567"/>
  <c r="N567"/>
  <c r="O567"/>
  <c r="I568"/>
  <c r="J568"/>
  <c r="K568"/>
  <c r="L568"/>
  <c r="M568"/>
  <c r="N568"/>
  <c r="O568"/>
  <c r="I569"/>
  <c r="J569"/>
  <c r="K569"/>
  <c r="L569"/>
  <c r="M569"/>
  <c r="N569"/>
  <c r="O569"/>
  <c r="I570"/>
  <c r="J570"/>
  <c r="K570"/>
  <c r="L570"/>
  <c r="M570"/>
  <c r="N570"/>
  <c r="O570"/>
  <c r="I571"/>
  <c r="J571"/>
  <c r="K571"/>
  <c r="L571"/>
  <c r="M571"/>
  <c r="N571"/>
  <c r="O571"/>
  <c r="I574"/>
  <c r="J574"/>
  <c r="K574"/>
  <c r="L574"/>
  <c r="M574"/>
  <c r="N574"/>
  <c r="O574"/>
  <c r="I575"/>
  <c r="J575"/>
  <c r="K575"/>
  <c r="L575"/>
  <c r="M575"/>
  <c r="N575"/>
  <c r="O575"/>
  <c r="I576"/>
  <c r="J576"/>
  <c r="K576"/>
  <c r="L576"/>
  <c r="M576"/>
  <c r="N576"/>
  <c r="O576"/>
  <c r="I577"/>
  <c r="J577"/>
  <c r="K577"/>
  <c r="L577"/>
  <c r="M577"/>
  <c r="N577"/>
  <c r="O577"/>
  <c r="I578"/>
  <c r="J578"/>
  <c r="K578"/>
  <c r="L578"/>
  <c r="M578"/>
  <c r="N578"/>
  <c r="O578"/>
  <c r="I581"/>
  <c r="J581"/>
  <c r="K581"/>
  <c r="L581"/>
  <c r="M581"/>
  <c r="N581"/>
  <c r="O581"/>
  <c r="I582"/>
  <c r="J582"/>
  <c r="K582"/>
  <c r="L582"/>
  <c r="M582"/>
  <c r="N582"/>
  <c r="O582"/>
  <c r="I583"/>
  <c r="J583"/>
  <c r="K583"/>
  <c r="L583"/>
  <c r="M583"/>
  <c r="N583"/>
  <c r="O583"/>
  <c r="I584"/>
  <c r="J584"/>
  <c r="K584"/>
  <c r="L584"/>
  <c r="M584"/>
  <c r="N584"/>
  <c r="O584"/>
  <c r="I585"/>
  <c r="J585"/>
  <c r="K585"/>
  <c r="L585"/>
  <c r="M585"/>
  <c r="N585"/>
  <c r="O585"/>
  <c r="I588"/>
  <c r="J588"/>
  <c r="K588"/>
  <c r="L588"/>
  <c r="M588"/>
  <c r="N588"/>
  <c r="O588"/>
  <c r="I589"/>
  <c r="J589"/>
  <c r="K589"/>
  <c r="L589"/>
  <c r="M589"/>
  <c r="N589"/>
  <c r="O589"/>
  <c r="I590"/>
  <c r="J590"/>
  <c r="K590"/>
  <c r="L590"/>
  <c r="M590"/>
  <c r="N590"/>
  <c r="O590"/>
  <c r="I591"/>
  <c r="J591"/>
  <c r="K591"/>
  <c r="L591"/>
  <c r="M591"/>
  <c r="N591"/>
  <c r="O591"/>
  <c r="I592"/>
  <c r="J592"/>
  <c r="K592"/>
  <c r="L592"/>
  <c r="M592"/>
  <c r="N592"/>
  <c r="O592"/>
  <c r="I595"/>
  <c r="J595"/>
  <c r="K595"/>
  <c r="L595"/>
  <c r="M595"/>
  <c r="N595"/>
  <c r="O595"/>
  <c r="I596"/>
  <c r="J596"/>
  <c r="K596"/>
  <c r="L596"/>
  <c r="M596"/>
  <c r="N596"/>
  <c r="O596"/>
  <c r="I597"/>
  <c r="J597"/>
  <c r="K597"/>
  <c r="L597"/>
  <c r="M597"/>
  <c r="N597"/>
  <c r="O597"/>
  <c r="I598"/>
  <c r="J598"/>
  <c r="K598"/>
  <c r="L598"/>
  <c r="M598"/>
  <c r="N598"/>
  <c r="O598"/>
  <c r="I599"/>
  <c r="J599"/>
  <c r="K599"/>
  <c r="L599"/>
  <c r="M599"/>
  <c r="N599"/>
  <c r="O599"/>
  <c r="I602"/>
  <c r="J602"/>
  <c r="K602"/>
  <c r="L602"/>
  <c r="M602"/>
  <c r="N602"/>
  <c r="O602"/>
  <c r="I603"/>
  <c r="J603"/>
  <c r="K603"/>
  <c r="L603"/>
  <c r="M603"/>
  <c r="N603"/>
  <c r="O603"/>
  <c r="I604"/>
  <c r="J604"/>
  <c r="K604"/>
  <c r="L604"/>
  <c r="M604"/>
  <c r="N604"/>
  <c r="O604"/>
  <c r="I605"/>
  <c r="J605"/>
  <c r="K605"/>
  <c r="L605"/>
  <c r="M605"/>
  <c r="N605"/>
  <c r="O605"/>
  <c r="I606"/>
  <c r="J606"/>
  <c r="K606"/>
  <c r="L606"/>
  <c r="M606"/>
  <c r="N606"/>
  <c r="O606"/>
  <c r="I609"/>
  <c r="J609"/>
  <c r="K609"/>
  <c r="L609"/>
  <c r="M609"/>
  <c r="N609"/>
  <c r="O609"/>
  <c r="I610"/>
  <c r="J610"/>
  <c r="K610"/>
  <c r="L610"/>
  <c r="M610"/>
  <c r="N610"/>
  <c r="O610"/>
  <c r="I611"/>
  <c r="J611"/>
  <c r="K611"/>
  <c r="L611"/>
  <c r="M611"/>
  <c r="N611"/>
  <c r="O611"/>
  <c r="I612"/>
  <c r="J612"/>
  <c r="K612"/>
  <c r="L612"/>
  <c r="M612"/>
  <c r="N612"/>
  <c r="O612"/>
  <c r="I613"/>
  <c r="J613"/>
  <c r="K613"/>
  <c r="L613"/>
  <c r="M613"/>
  <c r="N613"/>
  <c r="O613"/>
  <c r="I616"/>
  <c r="J616"/>
  <c r="K616"/>
  <c r="L616"/>
  <c r="M616"/>
  <c r="N616"/>
  <c r="O616"/>
  <c r="I617"/>
  <c r="J617"/>
  <c r="K617"/>
  <c r="L617"/>
  <c r="M617"/>
  <c r="N617"/>
  <c r="O617"/>
  <c r="I618"/>
  <c r="J618"/>
  <c r="K618"/>
  <c r="L618"/>
  <c r="M618"/>
  <c r="N618"/>
  <c r="O618"/>
  <c r="I619"/>
  <c r="J619"/>
  <c r="K619"/>
  <c r="L619"/>
  <c r="M619"/>
  <c r="N619"/>
  <c r="O619"/>
  <c r="I620"/>
  <c r="J620"/>
  <c r="K620"/>
  <c r="L620"/>
  <c r="M620"/>
  <c r="N620"/>
  <c r="O620"/>
  <c r="I623"/>
  <c r="J623"/>
  <c r="K623"/>
  <c r="L623"/>
  <c r="M623"/>
  <c r="N623"/>
  <c r="O623"/>
  <c r="I624"/>
  <c r="J624"/>
  <c r="K624"/>
  <c r="L624"/>
  <c r="M624"/>
  <c r="N624"/>
  <c r="O624"/>
  <c r="I625"/>
  <c r="J625"/>
  <c r="K625"/>
  <c r="L625"/>
  <c r="M625"/>
  <c r="N625"/>
  <c r="O625"/>
  <c r="I626"/>
  <c r="J626"/>
  <c r="K626"/>
  <c r="L626"/>
  <c r="M626"/>
  <c r="N626"/>
  <c r="O626"/>
  <c r="I627"/>
  <c r="J627"/>
  <c r="K627"/>
  <c r="L627"/>
  <c r="M627"/>
  <c r="N627"/>
  <c r="O627"/>
  <c r="I630"/>
  <c r="J630"/>
  <c r="K630"/>
  <c r="L630"/>
  <c r="M630"/>
  <c r="N630"/>
  <c r="O630"/>
  <c r="I631"/>
  <c r="J631"/>
  <c r="K631"/>
  <c r="L631"/>
  <c r="M631"/>
  <c r="N631"/>
  <c r="O631"/>
  <c r="I632"/>
  <c r="J632"/>
  <c r="K632"/>
  <c r="L632"/>
  <c r="M632"/>
  <c r="N632"/>
  <c r="O632"/>
  <c r="I633"/>
  <c r="J633"/>
  <c r="K633"/>
  <c r="L633"/>
  <c r="M633"/>
  <c r="N633"/>
  <c r="O633"/>
  <c r="I634"/>
  <c r="J634"/>
  <c r="K634"/>
  <c r="L634"/>
  <c r="M634"/>
  <c r="N634"/>
  <c r="O634"/>
  <c r="I637"/>
  <c r="J637"/>
  <c r="K637"/>
  <c r="L637"/>
  <c r="M637"/>
  <c r="N637"/>
  <c r="O637"/>
  <c r="I638"/>
  <c r="J638"/>
  <c r="K638"/>
  <c r="L638"/>
  <c r="M638"/>
  <c r="N638"/>
  <c r="O638"/>
  <c r="I639"/>
  <c r="J639"/>
  <c r="K639"/>
  <c r="L639"/>
  <c r="M639"/>
  <c r="N639"/>
  <c r="O639"/>
  <c r="I640"/>
  <c r="J640"/>
  <c r="K640"/>
  <c r="L640"/>
  <c r="M640"/>
  <c r="N640"/>
  <c r="O640"/>
  <c r="I641"/>
  <c r="J641"/>
  <c r="K641"/>
  <c r="L641"/>
  <c r="M641"/>
  <c r="N641"/>
  <c r="O641"/>
  <c r="I644"/>
  <c r="J644"/>
  <c r="K644"/>
  <c r="L644"/>
  <c r="M644"/>
  <c r="N644"/>
  <c r="O644"/>
  <c r="I645"/>
  <c r="J645"/>
  <c r="K645"/>
  <c r="L645"/>
  <c r="M645"/>
  <c r="N645"/>
  <c r="O645"/>
  <c r="I646"/>
  <c r="J646"/>
  <c r="K646"/>
  <c r="L646"/>
  <c r="M646"/>
  <c r="N646"/>
  <c r="O646"/>
  <c r="I647"/>
  <c r="J647"/>
  <c r="K647"/>
  <c r="L647"/>
  <c r="M647"/>
  <c r="N647"/>
  <c r="O647"/>
  <c r="I648"/>
  <c r="J648"/>
  <c r="K648"/>
  <c r="L648"/>
  <c r="M648"/>
  <c r="N648"/>
  <c r="O648"/>
  <c r="I651"/>
  <c r="J651"/>
  <c r="K651"/>
  <c r="L651"/>
  <c r="M651"/>
  <c r="N651"/>
  <c r="O651"/>
  <c r="I652"/>
  <c r="J652"/>
  <c r="K652"/>
  <c r="L652"/>
  <c r="M652"/>
  <c r="N652"/>
  <c r="O652"/>
  <c r="I653"/>
  <c r="J653"/>
  <c r="K653"/>
  <c r="L653"/>
  <c r="M653"/>
  <c r="N653"/>
  <c r="O653"/>
  <c r="I654"/>
  <c r="J654"/>
  <c r="K654"/>
  <c r="L654"/>
  <c r="M654"/>
  <c r="N654"/>
  <c r="O654"/>
  <c r="I655"/>
  <c r="J655"/>
  <c r="K655"/>
  <c r="L655"/>
  <c r="M655"/>
  <c r="N655"/>
  <c r="O655"/>
  <c r="I658"/>
  <c r="J658"/>
  <c r="K658"/>
  <c r="L658"/>
  <c r="M658"/>
  <c r="N658"/>
  <c r="O658"/>
  <c r="I659"/>
  <c r="J659"/>
  <c r="K659"/>
  <c r="L659"/>
  <c r="M659"/>
  <c r="N659"/>
  <c r="O659"/>
  <c r="I660"/>
  <c r="J660"/>
  <c r="K660"/>
  <c r="L660"/>
  <c r="M660"/>
  <c r="N660"/>
  <c r="O660"/>
  <c r="I661"/>
  <c r="J661"/>
  <c r="K661"/>
  <c r="L661"/>
  <c r="M661"/>
  <c r="N661"/>
  <c r="O661"/>
  <c r="I662"/>
  <c r="J662"/>
  <c r="K662"/>
  <c r="L662"/>
  <c r="M662"/>
  <c r="N662"/>
  <c r="O662"/>
  <c r="I665"/>
  <c r="J665"/>
  <c r="K665"/>
  <c r="L665"/>
  <c r="M665"/>
  <c r="N665"/>
  <c r="O665"/>
  <c r="I666"/>
  <c r="J666"/>
  <c r="K666"/>
  <c r="L666"/>
  <c r="M666"/>
  <c r="N666"/>
  <c r="O666"/>
  <c r="I667"/>
  <c r="J667"/>
  <c r="K667"/>
  <c r="L667"/>
  <c r="M667"/>
  <c r="N667"/>
  <c r="O667"/>
  <c r="I668"/>
  <c r="J668"/>
  <c r="K668"/>
  <c r="L668"/>
  <c r="M668"/>
  <c r="N668"/>
  <c r="O668"/>
  <c r="I669"/>
  <c r="J669"/>
  <c r="K669"/>
  <c r="L669"/>
  <c r="M669"/>
  <c r="N669"/>
  <c r="O669"/>
  <c r="I672"/>
  <c r="J672"/>
  <c r="K672"/>
  <c r="L672"/>
  <c r="M672"/>
  <c r="N672"/>
  <c r="O672"/>
  <c r="I673"/>
  <c r="J673"/>
  <c r="K673"/>
  <c r="L673"/>
  <c r="M673"/>
  <c r="N673"/>
  <c r="O673"/>
  <c r="I674"/>
  <c r="J674"/>
  <c r="K674"/>
  <c r="L674"/>
  <c r="M674"/>
  <c r="N674"/>
  <c r="O674"/>
  <c r="I675"/>
  <c r="J675"/>
  <c r="K675"/>
  <c r="L675"/>
  <c r="M675"/>
  <c r="N675"/>
  <c r="O675"/>
  <c r="I676"/>
  <c r="J676"/>
  <c r="K676"/>
  <c r="L676"/>
  <c r="M676"/>
  <c r="N676"/>
  <c r="O676"/>
  <c r="I679"/>
  <c r="J679"/>
  <c r="K679"/>
  <c r="L679"/>
  <c r="M679"/>
  <c r="N679"/>
  <c r="O679"/>
  <c r="I680"/>
  <c r="J680"/>
  <c r="K680"/>
  <c r="L680"/>
  <c r="M680"/>
  <c r="N680"/>
  <c r="O680"/>
  <c r="I681"/>
  <c r="J681"/>
  <c r="K681"/>
  <c r="L681"/>
  <c r="M681"/>
  <c r="N681"/>
  <c r="O681"/>
  <c r="I682"/>
  <c r="J682"/>
  <c r="K682"/>
  <c r="L682"/>
  <c r="M682"/>
  <c r="N682"/>
  <c r="O682"/>
  <c r="I683"/>
  <c r="J683"/>
  <c r="K683"/>
  <c r="L683"/>
  <c r="M683"/>
  <c r="N683"/>
  <c r="O683"/>
  <c r="I686"/>
  <c r="J686"/>
  <c r="K686"/>
  <c r="L686"/>
  <c r="M686"/>
  <c r="N686"/>
  <c r="O686"/>
  <c r="I687"/>
  <c r="J687"/>
  <c r="K687"/>
  <c r="L687"/>
  <c r="M687"/>
  <c r="N687"/>
  <c r="O687"/>
  <c r="I688"/>
  <c r="J688"/>
  <c r="K688"/>
  <c r="L688"/>
  <c r="M688"/>
  <c r="N688"/>
  <c r="O688"/>
  <c r="I689"/>
  <c r="J689"/>
  <c r="K689"/>
  <c r="L689"/>
  <c r="M689"/>
  <c r="N689"/>
  <c r="O689"/>
  <c r="I690"/>
  <c r="J690"/>
  <c r="K690"/>
  <c r="L690"/>
  <c r="M690"/>
  <c r="N690"/>
  <c r="O690"/>
  <c r="I693"/>
  <c r="J693"/>
  <c r="K693"/>
  <c r="L693"/>
  <c r="M693"/>
  <c r="N693"/>
  <c r="O693"/>
  <c r="I694"/>
  <c r="J694"/>
  <c r="K694"/>
  <c r="L694"/>
  <c r="M694"/>
  <c r="N694"/>
  <c r="O694"/>
  <c r="I695"/>
  <c r="J695"/>
  <c r="K695"/>
  <c r="L695"/>
  <c r="M695"/>
  <c r="N695"/>
  <c r="O695"/>
  <c r="I698"/>
  <c r="J698"/>
  <c r="K698"/>
  <c r="L698"/>
  <c r="M698"/>
  <c r="N698"/>
  <c r="O698"/>
  <c r="I699"/>
  <c r="J699"/>
  <c r="K699"/>
  <c r="L699"/>
  <c r="M699"/>
  <c r="N699"/>
  <c r="O699"/>
  <c r="I700"/>
  <c r="J700"/>
  <c r="K700"/>
  <c r="L700"/>
  <c r="M700"/>
  <c r="N700"/>
  <c r="O700"/>
  <c r="I703"/>
  <c r="J703"/>
  <c r="K703"/>
  <c r="L703"/>
  <c r="M703"/>
  <c r="N703"/>
  <c r="O703"/>
  <c r="I704"/>
  <c r="J704"/>
  <c r="K704"/>
  <c r="L704"/>
  <c r="M704"/>
  <c r="N704"/>
  <c r="O704"/>
  <c r="I705"/>
  <c r="J705"/>
  <c r="K705"/>
  <c r="L705"/>
  <c r="M705"/>
  <c r="N705"/>
  <c r="O705"/>
  <c r="I708"/>
  <c r="J708"/>
  <c r="K708"/>
  <c r="L708"/>
  <c r="M708"/>
  <c r="N708"/>
  <c r="O708"/>
  <c r="I709"/>
  <c r="J709"/>
  <c r="K709"/>
  <c r="L709"/>
  <c r="M709"/>
  <c r="N709"/>
  <c r="O709"/>
  <c r="I710"/>
  <c r="J710"/>
  <c r="K710"/>
  <c r="L710"/>
  <c r="M710"/>
  <c r="N710"/>
  <c r="O710"/>
  <c r="I713"/>
  <c r="J713"/>
  <c r="K713"/>
  <c r="L713"/>
  <c r="M713"/>
  <c r="N713"/>
  <c r="O713"/>
  <c r="I714"/>
  <c r="J714"/>
  <c r="K714"/>
  <c r="L714"/>
  <c r="M714"/>
  <c r="N714"/>
  <c r="O714"/>
  <c r="I715"/>
  <c r="J715"/>
  <c r="K715"/>
  <c r="L715"/>
  <c r="M715"/>
  <c r="N715"/>
  <c r="O715"/>
  <c r="I718"/>
  <c r="J718"/>
  <c r="K718"/>
  <c r="L718"/>
  <c r="M718"/>
  <c r="N718"/>
  <c r="O718"/>
  <c r="I719"/>
  <c r="J719"/>
  <c r="K719"/>
  <c r="L719"/>
  <c r="M719"/>
  <c r="N719"/>
  <c r="O719"/>
  <c r="I720"/>
  <c r="J720"/>
  <c r="K720"/>
  <c r="L720"/>
  <c r="M720"/>
  <c r="N720"/>
  <c r="O720"/>
  <c r="I723"/>
  <c r="J723"/>
  <c r="K723"/>
  <c r="L723"/>
  <c r="M723"/>
  <c r="N723"/>
  <c r="O723"/>
  <c r="I724"/>
  <c r="J724"/>
  <c r="K724"/>
  <c r="L724"/>
  <c r="M724"/>
  <c r="N724"/>
  <c r="O724"/>
  <c r="I725"/>
  <c r="J725"/>
  <c r="K725"/>
  <c r="L725"/>
  <c r="M725"/>
  <c r="N725"/>
  <c r="O725"/>
  <c r="I728"/>
  <c r="J728"/>
  <c r="K728"/>
  <c r="L728"/>
  <c r="M728"/>
  <c r="N728"/>
  <c r="O728"/>
  <c r="I729"/>
  <c r="J729"/>
  <c r="K729"/>
  <c r="L729"/>
  <c r="M729"/>
  <c r="N729"/>
  <c r="O729"/>
  <c r="I730"/>
  <c r="J730"/>
  <c r="K730"/>
  <c r="L730"/>
  <c r="M730"/>
  <c r="N730"/>
  <c r="O730"/>
  <c r="I733"/>
  <c r="J733"/>
  <c r="K733"/>
  <c r="L733"/>
  <c r="M733"/>
  <c r="N733"/>
  <c r="O733"/>
  <c r="I734"/>
  <c r="J734"/>
  <c r="K734"/>
  <c r="L734"/>
  <c r="M734"/>
  <c r="N734"/>
  <c r="O734"/>
  <c r="I735"/>
  <c r="J735"/>
  <c r="K735"/>
  <c r="L735"/>
  <c r="M735"/>
  <c r="N735"/>
  <c r="O735"/>
  <c r="I738"/>
  <c r="J738"/>
  <c r="K738"/>
  <c r="L738"/>
  <c r="M738"/>
  <c r="N738"/>
  <c r="O738"/>
  <c r="I739"/>
  <c r="J739"/>
  <c r="K739"/>
  <c r="L739"/>
  <c r="M739"/>
  <c r="N739"/>
  <c r="O739"/>
  <c r="I740"/>
  <c r="J740"/>
  <c r="K740"/>
  <c r="L740"/>
  <c r="M740"/>
  <c r="N740"/>
  <c r="O740"/>
  <c r="I743"/>
  <c r="J743"/>
  <c r="K743"/>
  <c r="L743"/>
  <c r="M743"/>
  <c r="N743"/>
  <c r="O743"/>
  <c r="I744"/>
  <c r="J744"/>
  <c r="K744"/>
  <c r="L744"/>
  <c r="M744"/>
  <c r="N744"/>
  <c r="O744"/>
  <c r="I745"/>
  <c r="J745"/>
  <c r="K745"/>
  <c r="L745"/>
  <c r="M745"/>
  <c r="N745"/>
  <c r="O745"/>
  <c r="I748"/>
  <c r="J748"/>
  <c r="K748"/>
  <c r="L748"/>
  <c r="M748"/>
  <c r="N748"/>
  <c r="O748"/>
  <c r="I749"/>
  <c r="J749"/>
  <c r="K749"/>
  <c r="L749"/>
  <c r="M749"/>
  <c r="N749"/>
  <c r="O749"/>
  <c r="I750"/>
  <c r="J750"/>
  <c r="K750"/>
  <c r="L750"/>
  <c r="M750"/>
  <c r="N750"/>
  <c r="O750"/>
  <c r="I753"/>
  <c r="J753"/>
  <c r="K753"/>
  <c r="L753"/>
  <c r="M753"/>
  <c r="N753"/>
  <c r="O753"/>
  <c r="I754"/>
  <c r="J754"/>
  <c r="K754"/>
  <c r="L754"/>
  <c r="M754"/>
  <c r="N754"/>
  <c r="O754"/>
  <c r="I755"/>
  <c r="J755"/>
  <c r="K755"/>
  <c r="L755"/>
  <c r="M755"/>
  <c r="N755"/>
  <c r="O755"/>
  <c r="I758"/>
  <c r="J758"/>
  <c r="K758"/>
  <c r="L758"/>
  <c r="M758"/>
  <c r="N758"/>
  <c r="O758"/>
  <c r="I759"/>
  <c r="J759"/>
  <c r="K759"/>
  <c r="L759"/>
  <c r="M759"/>
  <c r="N759"/>
  <c r="O759"/>
  <c r="I760"/>
  <c r="J760"/>
  <c r="K760"/>
  <c r="L760"/>
  <c r="M760"/>
  <c r="N760"/>
  <c r="O760"/>
  <c r="I763"/>
  <c r="J763"/>
  <c r="K763"/>
  <c r="L763"/>
  <c r="M763"/>
  <c r="N763"/>
  <c r="O763"/>
  <c r="I764"/>
  <c r="J764"/>
  <c r="K764"/>
  <c r="L764"/>
  <c r="M764"/>
  <c r="N764"/>
  <c r="O764"/>
  <c r="I765"/>
  <c r="J765"/>
  <c r="K765"/>
  <c r="L765"/>
  <c r="M765"/>
  <c r="N765"/>
  <c r="O765"/>
  <c r="I768"/>
  <c r="J768"/>
  <c r="K768"/>
  <c r="L768"/>
  <c r="M768"/>
  <c r="N768"/>
  <c r="O768"/>
  <c r="I769"/>
  <c r="J769"/>
  <c r="K769"/>
  <c r="L769"/>
  <c r="M769"/>
  <c r="N769"/>
  <c r="O769"/>
  <c r="I770"/>
  <c r="J770"/>
  <c r="K770"/>
  <c r="L770"/>
  <c r="M770"/>
  <c r="N770"/>
  <c r="O770"/>
  <c r="I773"/>
  <c r="J773"/>
  <c r="K773"/>
  <c r="L773"/>
  <c r="M773"/>
  <c r="N773"/>
  <c r="O773"/>
  <c r="I774"/>
  <c r="J774"/>
  <c r="K774"/>
  <c r="L774"/>
  <c r="M774"/>
  <c r="N774"/>
  <c r="O774"/>
  <c r="I775"/>
  <c r="J775"/>
  <c r="K775"/>
  <c r="L775"/>
  <c r="M775"/>
  <c r="N775"/>
  <c r="O775"/>
  <c r="I778"/>
  <c r="J778"/>
  <c r="K778"/>
  <c r="L778"/>
  <c r="M778"/>
  <c r="N778"/>
  <c r="O778"/>
  <c r="I779"/>
  <c r="J779"/>
  <c r="K779"/>
  <c r="L779"/>
  <c r="M779"/>
  <c r="N779"/>
  <c r="O779"/>
  <c r="I780"/>
  <c r="J780"/>
  <c r="K780"/>
  <c r="L780"/>
  <c r="M780"/>
  <c r="N780"/>
  <c r="O780"/>
  <c r="I783"/>
  <c r="J783"/>
  <c r="K783"/>
  <c r="L783"/>
  <c r="M783"/>
  <c r="N783"/>
  <c r="O783"/>
  <c r="I784"/>
  <c r="J784"/>
  <c r="K784"/>
  <c r="L784"/>
  <c r="M784"/>
  <c r="N784"/>
  <c r="O784"/>
  <c r="I785"/>
  <c r="J785"/>
  <c r="K785"/>
  <c r="L785"/>
  <c r="M785"/>
  <c r="N785"/>
  <c r="O785"/>
  <c r="I788"/>
  <c r="J788"/>
  <c r="K788"/>
  <c r="L788"/>
  <c r="M788"/>
  <c r="N788"/>
  <c r="O788"/>
  <c r="I789"/>
  <c r="J789"/>
  <c r="K789"/>
  <c r="L789"/>
  <c r="M789"/>
  <c r="N789"/>
  <c r="O789"/>
  <c r="I790"/>
  <c r="J790"/>
  <c r="K790"/>
  <c r="L790"/>
  <c r="M790"/>
  <c r="N790"/>
  <c r="O790"/>
  <c r="I793"/>
  <c r="J793"/>
  <c r="K793"/>
  <c r="L793"/>
  <c r="M793"/>
  <c r="N793"/>
  <c r="O793"/>
  <c r="I794"/>
  <c r="J794"/>
  <c r="K794"/>
  <c r="L794"/>
  <c r="M794"/>
  <c r="N794"/>
  <c r="O794"/>
  <c r="I795"/>
  <c r="J795"/>
  <c r="K795"/>
  <c r="L795"/>
  <c r="M795"/>
  <c r="N795"/>
  <c r="O795"/>
  <c r="I798"/>
  <c r="J798"/>
  <c r="K798"/>
  <c r="L798"/>
  <c r="M798"/>
  <c r="N798"/>
  <c r="O798"/>
  <c r="I799"/>
  <c r="J799"/>
  <c r="K799"/>
  <c r="L799"/>
  <c r="M799"/>
  <c r="N799"/>
  <c r="O799"/>
  <c r="I800"/>
  <c r="J800"/>
  <c r="K800"/>
  <c r="L800"/>
  <c r="M800"/>
  <c r="N800"/>
  <c r="O800"/>
  <c r="I803"/>
  <c r="J803"/>
  <c r="K803"/>
  <c r="L803"/>
  <c r="M803"/>
  <c r="N803"/>
  <c r="O803"/>
  <c r="I804"/>
  <c r="J804"/>
  <c r="K804"/>
  <c r="L804"/>
  <c r="M804"/>
  <c r="N804"/>
  <c r="O804"/>
  <c r="I805"/>
  <c r="J805"/>
  <c r="K805"/>
  <c r="L805"/>
  <c r="M805"/>
  <c r="N805"/>
  <c r="O805"/>
  <c r="I808"/>
  <c r="J808"/>
  <c r="K808"/>
  <c r="L808"/>
  <c r="M808"/>
  <c r="N808"/>
  <c r="O808"/>
  <c r="I809"/>
  <c r="J809"/>
  <c r="K809"/>
  <c r="L809"/>
  <c r="M809"/>
  <c r="N809"/>
  <c r="O809"/>
  <c r="I810"/>
  <c r="J810"/>
  <c r="K810"/>
  <c r="L810"/>
  <c r="M810"/>
  <c r="N810"/>
  <c r="O810"/>
  <c r="I813"/>
  <c r="J813"/>
  <c r="K813"/>
  <c r="L813"/>
  <c r="M813"/>
  <c r="N813"/>
  <c r="O813"/>
  <c r="I814"/>
  <c r="J814"/>
  <c r="K814"/>
  <c r="L814"/>
  <c r="M814"/>
  <c r="N814"/>
  <c r="O814"/>
  <c r="I815"/>
  <c r="J815"/>
  <c r="K815"/>
  <c r="L815"/>
  <c r="M815"/>
  <c r="N815"/>
  <c r="O815"/>
  <c r="I818"/>
  <c r="J818"/>
  <c r="K818"/>
  <c r="L818"/>
  <c r="M818"/>
  <c r="N818"/>
  <c r="O818"/>
  <c r="I819"/>
  <c r="J819"/>
  <c r="K819"/>
  <c r="L819"/>
  <c r="M819"/>
  <c r="N819"/>
  <c r="O819"/>
  <c r="I820"/>
  <c r="J820"/>
  <c r="K820"/>
  <c r="L820"/>
  <c r="M820"/>
  <c r="N820"/>
  <c r="O820"/>
  <c r="I823"/>
  <c r="J823"/>
  <c r="K823"/>
  <c r="L823"/>
  <c r="M823"/>
  <c r="N823"/>
  <c r="O823"/>
  <c r="I824"/>
  <c r="J824"/>
  <c r="K824"/>
  <c r="L824"/>
  <c r="M824"/>
  <c r="N824"/>
  <c r="O824"/>
  <c r="I825"/>
  <c r="J825"/>
  <c r="K825"/>
  <c r="L825"/>
  <c r="M825"/>
  <c r="N825"/>
  <c r="O825"/>
  <c r="I828"/>
  <c r="J828"/>
  <c r="K828"/>
  <c r="L828"/>
  <c r="M828"/>
  <c r="N828"/>
  <c r="O828"/>
  <c r="I829"/>
  <c r="J829"/>
  <c r="K829"/>
  <c r="L829"/>
  <c r="M829"/>
  <c r="N829"/>
  <c r="O829"/>
  <c r="I830"/>
  <c r="J830"/>
  <c r="K830"/>
  <c r="L830"/>
  <c r="M830"/>
  <c r="N830"/>
  <c r="O830"/>
  <c r="I833"/>
  <c r="J833"/>
  <c r="K833"/>
  <c r="L833"/>
  <c r="M833"/>
  <c r="N833"/>
  <c r="O833"/>
  <c r="I834"/>
  <c r="J834"/>
  <c r="K834"/>
  <c r="L834"/>
  <c r="M834"/>
  <c r="N834"/>
  <c r="O834"/>
  <c r="I835"/>
  <c r="J835"/>
  <c r="K835"/>
  <c r="L835"/>
  <c r="M835"/>
  <c r="N835"/>
  <c r="O835"/>
  <c r="I838"/>
  <c r="J838"/>
  <c r="K838"/>
  <c r="L838"/>
  <c r="M838"/>
  <c r="N838"/>
  <c r="O838"/>
  <c r="I839"/>
  <c r="J839"/>
  <c r="K839"/>
  <c r="L839"/>
  <c r="M839"/>
  <c r="N839"/>
  <c r="O839"/>
  <c r="I840"/>
  <c r="J840"/>
  <c r="K840"/>
  <c r="L840"/>
  <c r="M840"/>
  <c r="N840"/>
  <c r="O840"/>
  <c r="I843"/>
  <c r="J843"/>
  <c r="K843"/>
  <c r="L843"/>
  <c r="M843"/>
  <c r="N843"/>
  <c r="O843"/>
  <c r="I844"/>
  <c r="J844"/>
  <c r="K844"/>
  <c r="L844"/>
  <c r="M844"/>
  <c r="N844"/>
  <c r="O844"/>
  <c r="I845"/>
  <c r="J845"/>
  <c r="K845"/>
  <c r="L845"/>
  <c r="M845"/>
  <c r="N845"/>
  <c r="O845"/>
  <c r="I848"/>
  <c r="J848"/>
  <c r="K848"/>
  <c r="L848"/>
  <c r="M848"/>
  <c r="N848"/>
  <c r="O848"/>
  <c r="I849"/>
  <c r="J849"/>
  <c r="K849"/>
  <c r="L849"/>
  <c r="M849"/>
  <c r="N849"/>
  <c r="O849"/>
  <c r="I850"/>
  <c r="J850"/>
  <c r="K850"/>
  <c r="L850"/>
  <c r="M850"/>
  <c r="N850"/>
  <c r="O850"/>
  <c r="I853"/>
  <c r="J853"/>
  <c r="K853"/>
  <c r="L853"/>
  <c r="M853"/>
  <c r="N853"/>
  <c r="O853"/>
  <c r="I854"/>
  <c r="J854"/>
  <c r="K854"/>
  <c r="L854"/>
  <c r="M854"/>
  <c r="N854"/>
  <c r="O854"/>
  <c r="I855"/>
  <c r="J855"/>
  <c r="K855"/>
  <c r="L855"/>
  <c r="M855"/>
  <c r="N855"/>
  <c r="O855"/>
  <c r="I858"/>
  <c r="J858"/>
  <c r="K858"/>
  <c r="L858"/>
  <c r="M858"/>
  <c r="N858"/>
  <c r="O858"/>
  <c r="I859"/>
  <c r="J859"/>
  <c r="K859"/>
  <c r="L859"/>
  <c r="M859"/>
  <c r="N859"/>
  <c r="O859"/>
  <c r="I860"/>
  <c r="J860"/>
  <c r="K860"/>
  <c r="L860"/>
  <c r="M860"/>
  <c r="N860"/>
  <c r="O860"/>
  <c r="I863"/>
  <c r="J863"/>
  <c r="K863"/>
  <c r="L863"/>
  <c r="M863"/>
  <c r="N863"/>
  <c r="O863"/>
  <c r="I864"/>
  <c r="J864"/>
  <c r="K864"/>
  <c r="L864"/>
  <c r="M864"/>
  <c r="N864"/>
  <c r="O864"/>
  <c r="I865"/>
  <c r="J865"/>
  <c r="K865"/>
  <c r="L865"/>
  <c r="M865"/>
  <c r="N865"/>
  <c r="O865"/>
  <c r="I868"/>
  <c r="J868"/>
  <c r="K868"/>
  <c r="L868"/>
  <c r="M868"/>
  <c r="N868"/>
  <c r="O868"/>
  <c r="I869"/>
  <c r="J869"/>
  <c r="K869"/>
  <c r="L869"/>
  <c r="M869"/>
  <c r="N869"/>
  <c r="O869"/>
  <c r="I870"/>
  <c r="J870"/>
  <c r="K870"/>
  <c r="L870"/>
  <c r="M870"/>
  <c r="N870"/>
  <c r="O870"/>
  <c r="I873"/>
  <c r="J873"/>
  <c r="K873"/>
  <c r="L873"/>
  <c r="M873"/>
  <c r="N873"/>
  <c r="O873"/>
  <c r="I874"/>
  <c r="J874"/>
  <c r="K874"/>
  <c r="L874"/>
  <c r="M874"/>
  <c r="N874"/>
  <c r="O874"/>
  <c r="I875"/>
  <c r="J875"/>
  <c r="K875"/>
  <c r="L875"/>
  <c r="M875"/>
  <c r="N875"/>
  <c r="O875"/>
  <c r="I878"/>
  <c r="J878"/>
  <c r="K878"/>
  <c r="L878"/>
  <c r="M878"/>
  <c r="N878"/>
  <c r="O878"/>
  <c r="I879"/>
  <c r="J879"/>
  <c r="K879"/>
  <c r="L879"/>
  <c r="M879"/>
  <c r="N879"/>
  <c r="O879"/>
  <c r="I880"/>
  <c r="J880"/>
  <c r="K880"/>
  <c r="L880"/>
  <c r="M880"/>
  <c r="N880"/>
  <c r="O880"/>
  <c r="I883"/>
  <c r="J883"/>
  <c r="K883"/>
  <c r="L883"/>
  <c r="M883"/>
  <c r="N883"/>
  <c r="O883"/>
  <c r="I884"/>
  <c r="J884"/>
  <c r="K884"/>
  <c r="L884"/>
  <c r="M884"/>
  <c r="N884"/>
  <c r="O884"/>
  <c r="I885"/>
  <c r="J885"/>
  <c r="K885"/>
  <c r="L885"/>
  <c r="M885"/>
  <c r="N885"/>
  <c r="O885"/>
  <c r="I888"/>
  <c r="J888"/>
  <c r="K888"/>
  <c r="L888"/>
  <c r="M888"/>
  <c r="N888"/>
  <c r="O888"/>
  <c r="I889"/>
  <c r="J889"/>
  <c r="K889"/>
  <c r="L889"/>
  <c r="M889"/>
  <c r="N889"/>
  <c r="O889"/>
  <c r="I890"/>
  <c r="J890"/>
  <c r="K890"/>
  <c r="L890"/>
  <c r="M890"/>
  <c r="N890"/>
  <c r="O890"/>
  <c r="I893"/>
  <c r="J893"/>
  <c r="K893"/>
  <c r="L893"/>
  <c r="M893"/>
  <c r="N893"/>
  <c r="O893"/>
  <c r="I894"/>
  <c r="J894"/>
  <c r="K894"/>
  <c r="L894"/>
  <c r="M894"/>
  <c r="N894"/>
  <c r="O894"/>
  <c r="I895"/>
  <c r="J895"/>
  <c r="K895"/>
  <c r="L895"/>
  <c r="M895"/>
  <c r="N895"/>
  <c r="O895"/>
  <c r="I898"/>
  <c r="J898"/>
  <c r="K898"/>
  <c r="L898"/>
  <c r="M898"/>
  <c r="N898"/>
  <c r="O898"/>
  <c r="I899"/>
  <c r="J899"/>
  <c r="K899"/>
  <c r="L899"/>
  <c r="M899"/>
  <c r="N899"/>
  <c r="O899"/>
  <c r="I900"/>
  <c r="J900"/>
  <c r="K900"/>
  <c r="L900"/>
  <c r="M900"/>
  <c r="N900"/>
  <c r="O900"/>
  <c r="I903"/>
  <c r="J903"/>
  <c r="K903"/>
  <c r="L903"/>
  <c r="M903"/>
  <c r="N903"/>
  <c r="O903"/>
  <c r="I904"/>
  <c r="J904"/>
  <c r="K904"/>
  <c r="L904"/>
  <c r="M904"/>
  <c r="N904"/>
  <c r="O904"/>
  <c r="I905"/>
  <c r="J905"/>
  <c r="K905"/>
  <c r="L905"/>
  <c r="M905"/>
  <c r="N905"/>
  <c r="O905"/>
  <c r="I908"/>
  <c r="J908"/>
  <c r="K908"/>
  <c r="L908"/>
  <c r="M908"/>
  <c r="N908"/>
  <c r="O908"/>
  <c r="I909"/>
  <c r="J909"/>
  <c r="K909"/>
  <c r="L909"/>
  <c r="M909"/>
  <c r="N909"/>
  <c r="O909"/>
  <c r="I910"/>
  <c r="J910"/>
  <c r="K910"/>
  <c r="L910"/>
  <c r="M910"/>
  <c r="N910"/>
  <c r="O910"/>
  <c r="I913"/>
  <c r="J913"/>
  <c r="K913"/>
  <c r="L913"/>
  <c r="M913"/>
  <c r="N913"/>
  <c r="O913"/>
  <c r="I914"/>
  <c r="J914"/>
  <c r="K914"/>
  <c r="L914"/>
  <c r="M914"/>
  <c r="N914"/>
  <c r="O914"/>
  <c r="I915"/>
  <c r="J915"/>
  <c r="K915"/>
  <c r="L915"/>
  <c r="M915"/>
  <c r="N915"/>
  <c r="O915"/>
  <c r="I918"/>
  <c r="J918"/>
  <c r="K918"/>
  <c r="L918"/>
  <c r="M918"/>
  <c r="N918"/>
  <c r="O918"/>
  <c r="I919"/>
  <c r="J919"/>
  <c r="K919"/>
  <c r="L919"/>
  <c r="M919"/>
  <c r="N919"/>
  <c r="O919"/>
  <c r="I920"/>
  <c r="J920"/>
  <c r="K920"/>
  <c r="L920"/>
  <c r="M920"/>
  <c r="N920"/>
  <c r="O920"/>
  <c r="I923"/>
  <c r="J923"/>
  <c r="K923"/>
  <c r="L923"/>
  <c r="M923"/>
  <c r="N923"/>
  <c r="O923"/>
  <c r="I924"/>
  <c r="J924"/>
  <c r="K924"/>
  <c r="L924"/>
  <c r="M924"/>
  <c r="N924"/>
  <c r="O924"/>
  <c r="I925"/>
  <c r="J925"/>
  <c r="K925"/>
  <c r="L925"/>
  <c r="M925"/>
  <c r="N925"/>
  <c r="O925"/>
  <c r="I928"/>
  <c r="J928"/>
  <c r="K928"/>
  <c r="L928"/>
  <c r="M928"/>
  <c r="N928"/>
  <c r="O928"/>
  <c r="I929"/>
  <c r="J929"/>
  <c r="K929"/>
  <c r="L929"/>
  <c r="M929"/>
  <c r="N929"/>
  <c r="O929"/>
  <c r="I930"/>
  <c r="J930"/>
  <c r="K930"/>
  <c r="L930"/>
  <c r="M930"/>
  <c r="N930"/>
  <c r="O930"/>
  <c r="I933"/>
  <c r="J933"/>
  <c r="K933"/>
  <c r="L933"/>
  <c r="M933"/>
  <c r="N933"/>
  <c r="O933"/>
  <c r="I934"/>
  <c r="J934"/>
  <c r="K934"/>
  <c r="L934"/>
  <c r="M934"/>
  <c r="N934"/>
  <c r="O934"/>
  <c r="I935"/>
  <c r="J935"/>
  <c r="K935"/>
  <c r="L935"/>
  <c r="M935"/>
  <c r="N935"/>
  <c r="O935"/>
  <c r="I938"/>
  <c r="J938"/>
  <c r="K938"/>
  <c r="L938"/>
  <c r="M938"/>
  <c r="N938"/>
  <c r="O938"/>
  <c r="I939"/>
  <c r="J939"/>
  <c r="K939"/>
  <c r="L939"/>
  <c r="M939"/>
  <c r="N939"/>
  <c r="O939"/>
  <c r="I940"/>
  <c r="J940"/>
  <c r="K940"/>
  <c r="L940"/>
  <c r="M940"/>
  <c r="N940"/>
  <c r="O940"/>
  <c r="I943"/>
  <c r="J943"/>
  <c r="K943"/>
  <c r="L943"/>
  <c r="M943"/>
  <c r="N943"/>
  <c r="O943"/>
  <c r="I944"/>
  <c r="J944"/>
  <c r="K944"/>
  <c r="L944"/>
  <c r="M944"/>
  <c r="N944"/>
  <c r="O944"/>
  <c r="I945"/>
  <c r="J945"/>
  <c r="K945"/>
  <c r="L945"/>
  <c r="M945"/>
  <c r="N945"/>
  <c r="O945"/>
  <c r="I948"/>
  <c r="J948"/>
  <c r="K948"/>
  <c r="L948"/>
  <c r="M948"/>
  <c r="N948"/>
  <c r="O948"/>
  <c r="I949"/>
  <c r="J949"/>
  <c r="K949"/>
  <c r="L949"/>
  <c r="M949"/>
  <c r="N949"/>
  <c r="O949"/>
  <c r="I950"/>
  <c r="J950"/>
  <c r="K950"/>
  <c r="L950"/>
  <c r="M950"/>
  <c r="N950"/>
  <c r="O950"/>
  <c r="I953"/>
  <c r="J953"/>
  <c r="K953"/>
  <c r="L953"/>
  <c r="M953"/>
  <c r="N953"/>
  <c r="O953"/>
  <c r="I954"/>
  <c r="J954"/>
  <c r="K954"/>
  <c r="L954"/>
  <c r="M954"/>
  <c r="N954"/>
  <c r="O954"/>
  <c r="I955"/>
  <c r="J955"/>
  <c r="K955"/>
  <c r="L955"/>
  <c r="M955"/>
  <c r="N955"/>
  <c r="O955"/>
  <c r="I958"/>
  <c r="J958"/>
  <c r="K958"/>
  <c r="L958"/>
  <c r="M958"/>
  <c r="N958"/>
  <c r="O958"/>
  <c r="I959"/>
  <c r="J959"/>
  <c r="K959"/>
  <c r="L959"/>
  <c r="M959"/>
  <c r="N959"/>
  <c r="O959"/>
  <c r="I960"/>
  <c r="J960"/>
  <c r="K960"/>
  <c r="L960"/>
  <c r="M960"/>
  <c r="N960"/>
  <c r="O960"/>
  <c r="I963"/>
  <c r="J963"/>
  <c r="K963"/>
  <c r="L963"/>
  <c r="M963"/>
  <c r="N963"/>
  <c r="O963"/>
  <c r="I964"/>
  <c r="J964"/>
  <c r="K964"/>
  <c r="L964"/>
  <c r="M964"/>
  <c r="N964"/>
  <c r="O964"/>
  <c r="I965"/>
  <c r="J965"/>
  <c r="K965"/>
  <c r="L965"/>
  <c r="M965"/>
  <c r="N965"/>
  <c r="O965"/>
  <c r="I968"/>
  <c r="J968"/>
  <c r="K968"/>
  <c r="L968"/>
  <c r="M968"/>
  <c r="N968"/>
  <c r="O968"/>
  <c r="I969"/>
  <c r="J969"/>
  <c r="K969"/>
  <c r="L969"/>
  <c r="M969"/>
  <c r="N969"/>
  <c r="O969"/>
  <c r="I970"/>
  <c r="J970"/>
  <c r="K970"/>
  <c r="L970"/>
  <c r="M970"/>
  <c r="N970"/>
  <c r="O970"/>
  <c r="I973"/>
  <c r="J973"/>
  <c r="K973"/>
  <c r="L973"/>
  <c r="M973"/>
  <c r="N973"/>
  <c r="O973"/>
  <c r="I974"/>
  <c r="J974"/>
  <c r="K974"/>
  <c r="L974"/>
  <c r="M974"/>
  <c r="N974"/>
  <c r="O974"/>
  <c r="I975"/>
  <c r="J975"/>
  <c r="K975"/>
  <c r="L975"/>
  <c r="M975"/>
  <c r="N975"/>
  <c r="O975"/>
  <c r="I978"/>
  <c r="J978"/>
  <c r="K978"/>
  <c r="L978"/>
  <c r="M978"/>
  <c r="N978"/>
  <c r="O978"/>
  <c r="I979"/>
  <c r="J979"/>
  <c r="K979"/>
  <c r="L979"/>
  <c r="M979"/>
  <c r="N979"/>
  <c r="O979"/>
  <c r="I980"/>
  <c r="J980"/>
  <c r="K980"/>
  <c r="L980"/>
  <c r="M980"/>
  <c r="N980"/>
  <c r="O980"/>
  <c r="I983"/>
  <c r="J983"/>
  <c r="K983"/>
  <c r="L983"/>
  <c r="M983"/>
  <c r="N983"/>
  <c r="O983"/>
  <c r="I984"/>
  <c r="J984"/>
  <c r="K984"/>
  <c r="L984"/>
  <c r="M984"/>
  <c r="N984"/>
  <c r="O984"/>
  <c r="I985"/>
  <c r="J985"/>
  <c r="K985"/>
  <c r="L985"/>
  <c r="M985"/>
  <c r="N985"/>
  <c r="O985"/>
  <c r="I988"/>
  <c r="J988"/>
  <c r="K988"/>
  <c r="L988"/>
  <c r="M988"/>
  <c r="N988"/>
  <c r="O988"/>
  <c r="I989"/>
  <c r="J989"/>
  <c r="K989"/>
  <c r="L989"/>
  <c r="M989"/>
  <c r="N989"/>
  <c r="O989"/>
  <c r="I990"/>
  <c r="J990"/>
  <c r="K990"/>
  <c r="L990"/>
  <c r="M990"/>
  <c r="N990"/>
  <c r="O990"/>
  <c r="I993"/>
  <c r="J993"/>
  <c r="K993"/>
  <c r="L993"/>
  <c r="M993"/>
  <c r="N993"/>
  <c r="O993"/>
  <c r="I994"/>
  <c r="J994"/>
  <c r="K994"/>
  <c r="L994"/>
  <c r="M994"/>
  <c r="N994"/>
  <c r="O994"/>
  <c r="I995"/>
  <c r="J995"/>
  <c r="K995"/>
  <c r="L995"/>
  <c r="M995"/>
  <c r="N995"/>
  <c r="O995"/>
  <c r="I998"/>
  <c r="J998"/>
  <c r="K998"/>
  <c r="L998"/>
  <c r="M998"/>
  <c r="N998"/>
  <c r="O998"/>
  <c r="I999"/>
  <c r="J999"/>
  <c r="K999"/>
  <c r="L999"/>
  <c r="M999"/>
  <c r="N999"/>
  <c r="O999"/>
  <c r="I1000"/>
  <c r="J1000"/>
  <c r="K1000"/>
  <c r="L1000"/>
  <c r="M1000"/>
  <c r="N1000"/>
  <c r="O1000"/>
  <c r="I1003"/>
  <c r="J1003"/>
  <c r="K1003"/>
  <c r="L1003"/>
  <c r="M1003"/>
  <c r="N1003"/>
  <c r="O1003"/>
  <c r="I1004"/>
  <c r="J1004"/>
  <c r="K1004"/>
  <c r="L1004"/>
  <c r="M1004"/>
  <c r="N1004"/>
  <c r="O1004"/>
  <c r="I1005"/>
  <c r="J1005"/>
  <c r="K1005"/>
  <c r="L1005"/>
  <c r="M1005"/>
  <c r="N1005"/>
  <c r="O1005"/>
  <c r="I1008"/>
  <c r="J1008"/>
  <c r="K1008"/>
  <c r="L1008"/>
  <c r="M1008"/>
  <c r="N1008"/>
  <c r="O1008"/>
  <c r="I1009"/>
  <c r="J1009"/>
  <c r="K1009"/>
  <c r="L1009"/>
  <c r="M1009"/>
  <c r="N1009"/>
  <c r="O1009"/>
  <c r="I1010"/>
  <c r="J1010"/>
  <c r="K1010"/>
  <c r="L1010"/>
  <c r="M1010"/>
  <c r="N1010"/>
  <c r="O1010"/>
  <c r="I1013"/>
  <c r="J1013"/>
  <c r="K1013"/>
  <c r="L1013"/>
  <c r="M1013"/>
  <c r="N1013"/>
  <c r="O1013"/>
  <c r="I1014"/>
  <c r="J1014"/>
  <c r="K1014"/>
  <c r="L1014"/>
  <c r="M1014"/>
  <c r="N1014"/>
  <c r="O1014"/>
  <c r="I1015"/>
  <c r="J1015"/>
  <c r="K1015"/>
  <c r="L1015"/>
  <c r="M1015"/>
  <c r="N1015"/>
  <c r="O1015"/>
  <c r="I1018"/>
  <c r="J1018"/>
  <c r="K1018"/>
  <c r="L1018"/>
  <c r="M1018"/>
  <c r="N1018"/>
  <c r="O1018"/>
  <c r="I1019"/>
  <c r="J1019"/>
  <c r="K1019"/>
  <c r="L1019"/>
  <c r="M1019"/>
  <c r="N1019"/>
  <c r="O1019"/>
  <c r="I1020"/>
  <c r="J1020"/>
  <c r="K1020"/>
  <c r="L1020"/>
  <c r="M1020"/>
  <c r="N1020"/>
  <c r="O1020"/>
  <c r="I1023"/>
  <c r="J1023"/>
  <c r="K1023"/>
  <c r="L1023"/>
  <c r="M1023"/>
  <c r="N1023"/>
  <c r="O1023"/>
  <c r="I1024"/>
  <c r="J1024"/>
  <c r="K1024"/>
  <c r="L1024"/>
  <c r="M1024"/>
  <c r="N1024"/>
  <c r="O1024"/>
  <c r="I1025"/>
  <c r="J1025"/>
  <c r="K1025"/>
  <c r="L1025"/>
  <c r="M1025"/>
  <c r="N1025"/>
  <c r="O1025"/>
  <c r="I1028"/>
  <c r="J1028"/>
  <c r="K1028"/>
  <c r="L1028"/>
  <c r="M1028"/>
  <c r="N1028"/>
  <c r="O1028"/>
  <c r="I1029"/>
  <c r="J1029"/>
  <c r="K1029"/>
  <c r="L1029"/>
  <c r="M1029"/>
  <c r="N1029"/>
  <c r="O1029"/>
  <c r="I1030"/>
  <c r="J1030"/>
  <c r="K1030"/>
  <c r="L1030"/>
  <c r="M1030"/>
  <c r="N1030"/>
  <c r="O1030"/>
  <c r="I1033"/>
  <c r="J1033"/>
  <c r="K1033"/>
  <c r="L1033"/>
  <c r="M1033"/>
  <c r="N1033"/>
  <c r="O1033"/>
  <c r="I1034"/>
  <c r="J1034"/>
  <c r="K1034"/>
  <c r="L1034"/>
  <c r="M1034"/>
  <c r="N1034"/>
  <c r="O1034"/>
  <c r="I1035"/>
  <c r="J1035"/>
  <c r="K1035"/>
  <c r="L1035"/>
  <c r="M1035"/>
  <c r="N1035"/>
  <c r="O1035"/>
  <c r="I1038"/>
  <c r="J1038"/>
  <c r="K1038"/>
  <c r="L1038"/>
  <c r="M1038"/>
  <c r="N1038"/>
  <c r="O1038"/>
  <c r="I1039"/>
  <c r="J1039"/>
  <c r="K1039"/>
  <c r="L1039"/>
  <c r="M1039"/>
  <c r="N1039"/>
  <c r="O1039"/>
  <c r="I1040"/>
  <c r="J1040"/>
  <c r="K1040"/>
  <c r="L1040"/>
  <c r="M1040"/>
  <c r="N1040"/>
  <c r="O1040"/>
  <c r="I1043"/>
  <c r="J1043"/>
  <c r="K1043"/>
  <c r="L1043"/>
  <c r="M1043"/>
  <c r="N1043"/>
  <c r="O1043"/>
  <c r="I1044"/>
  <c r="J1044"/>
  <c r="K1044"/>
  <c r="L1044"/>
  <c r="M1044"/>
  <c r="N1044"/>
  <c r="O1044"/>
  <c r="I1045"/>
  <c r="J1045"/>
  <c r="K1045"/>
  <c r="L1045"/>
  <c r="M1045"/>
  <c r="N1045"/>
  <c r="O1045"/>
  <c r="I1048"/>
  <c r="J1048"/>
  <c r="K1048"/>
  <c r="L1048"/>
  <c r="M1048"/>
  <c r="N1048"/>
  <c r="O1048"/>
  <c r="I1049"/>
  <c r="J1049"/>
  <c r="K1049"/>
  <c r="L1049"/>
  <c r="M1049"/>
  <c r="N1049"/>
  <c r="O1049"/>
  <c r="I1050"/>
  <c r="J1050"/>
  <c r="K1050"/>
  <c r="L1050"/>
  <c r="M1050"/>
  <c r="N1050"/>
  <c r="O1050"/>
  <c r="I1053"/>
  <c r="J1053"/>
  <c r="K1053"/>
  <c r="L1053"/>
  <c r="M1053"/>
  <c r="N1053"/>
  <c r="O1053"/>
  <c r="I1054"/>
  <c r="J1054"/>
  <c r="K1054"/>
  <c r="L1054"/>
  <c r="M1054"/>
  <c r="N1054"/>
  <c r="O1054"/>
  <c r="I1055"/>
  <c r="J1055"/>
  <c r="K1055"/>
  <c r="L1055"/>
  <c r="M1055"/>
  <c r="N1055"/>
  <c r="O1055"/>
  <c r="I1058"/>
  <c r="J1058"/>
  <c r="K1058"/>
  <c r="L1058"/>
  <c r="M1058"/>
  <c r="N1058"/>
  <c r="O1058"/>
  <c r="I1059"/>
  <c r="J1059"/>
  <c r="K1059"/>
  <c r="L1059"/>
  <c r="M1059"/>
  <c r="N1059"/>
  <c r="O1059"/>
  <c r="I1060"/>
  <c r="J1060"/>
  <c r="K1060"/>
  <c r="L1060"/>
  <c r="M1060"/>
  <c r="N1060"/>
  <c r="O1060"/>
  <c r="I1063"/>
  <c r="J1063"/>
  <c r="K1063"/>
  <c r="L1063"/>
  <c r="M1063"/>
  <c r="N1063"/>
  <c r="O1063"/>
  <c r="I1064"/>
  <c r="J1064"/>
  <c r="K1064"/>
  <c r="L1064"/>
  <c r="M1064"/>
  <c r="N1064"/>
  <c r="O1064"/>
  <c r="I1065"/>
  <c r="J1065"/>
  <c r="K1065"/>
  <c r="L1065"/>
  <c r="M1065"/>
  <c r="N1065"/>
  <c r="O1065"/>
  <c r="I1068"/>
  <c r="J1068"/>
  <c r="K1068"/>
  <c r="L1068"/>
  <c r="M1068"/>
  <c r="N1068"/>
  <c r="O1068"/>
  <c r="I1069"/>
  <c r="J1069"/>
  <c r="K1069"/>
  <c r="L1069"/>
  <c r="M1069"/>
  <c r="N1069"/>
  <c r="O1069"/>
  <c r="I1070"/>
  <c r="J1070"/>
  <c r="K1070"/>
  <c r="L1070"/>
  <c r="M1070"/>
  <c r="N1070"/>
  <c r="O1070"/>
  <c r="I1073"/>
  <c r="J1073"/>
  <c r="K1073"/>
  <c r="L1073"/>
  <c r="M1073"/>
  <c r="N1073"/>
  <c r="O1073"/>
  <c r="I1074"/>
  <c r="J1074"/>
  <c r="K1074"/>
  <c r="L1074"/>
  <c r="M1074"/>
  <c r="N1074"/>
  <c r="O1074"/>
  <c r="I1075"/>
  <c r="J1075"/>
  <c r="K1075"/>
  <c r="L1075"/>
  <c r="M1075"/>
  <c r="N1075"/>
  <c r="O1075"/>
  <c r="I1078"/>
  <c r="J1078"/>
  <c r="K1078"/>
  <c r="L1078"/>
  <c r="M1078"/>
  <c r="N1078"/>
  <c r="O1078"/>
  <c r="I1079"/>
  <c r="J1079"/>
  <c r="K1079"/>
  <c r="L1079"/>
  <c r="M1079"/>
  <c r="N1079"/>
  <c r="O1079"/>
  <c r="I1080"/>
  <c r="J1080"/>
  <c r="K1080"/>
  <c r="L1080"/>
  <c r="M1080"/>
  <c r="N1080"/>
  <c r="O1080"/>
  <c r="I1081"/>
  <c r="J1081"/>
  <c r="K1081"/>
  <c r="L1081"/>
  <c r="M1081"/>
  <c r="N1081"/>
  <c r="O1081"/>
  <c r="I1082"/>
  <c r="J1082"/>
  <c r="K1082"/>
  <c r="L1082"/>
  <c r="M1082"/>
  <c r="N1082"/>
  <c r="O1082"/>
  <c r="I1083"/>
  <c r="J1083"/>
  <c r="K1083"/>
  <c r="L1083"/>
  <c r="M1083"/>
  <c r="N1083"/>
  <c r="O1083"/>
  <c r="I1084"/>
  <c r="J1084"/>
  <c r="K1084"/>
  <c r="L1084"/>
  <c r="M1084"/>
  <c r="N1084"/>
  <c r="O1084"/>
  <c r="I1085"/>
  <c r="J1085"/>
  <c r="K1085"/>
  <c r="L1085"/>
  <c r="M1085"/>
  <c r="N1085"/>
  <c r="O1085"/>
  <c r="I1086"/>
  <c r="J1086"/>
  <c r="K1086"/>
  <c r="L1086"/>
  <c r="M1086"/>
  <c r="N1086"/>
  <c r="O1086"/>
  <c r="I1087"/>
  <c r="J1087"/>
  <c r="K1087"/>
  <c r="L1087"/>
  <c r="M1087"/>
  <c r="N1087"/>
  <c r="O1087"/>
  <c r="I1088"/>
  <c r="J1088"/>
  <c r="K1088"/>
  <c r="L1088"/>
  <c r="M1088"/>
  <c r="N1088"/>
  <c r="O1088"/>
  <c r="I1090"/>
  <c r="J1090"/>
  <c r="K1090"/>
  <c r="L1090"/>
  <c r="M1090"/>
  <c r="N1090"/>
  <c r="O1090"/>
  <c r="I1091"/>
  <c r="J1091"/>
  <c r="K1091"/>
  <c r="L1091"/>
  <c r="M1091"/>
  <c r="N1091"/>
  <c r="O1091"/>
  <c r="I1092"/>
  <c r="J1092"/>
  <c r="K1092"/>
  <c r="L1092"/>
  <c r="M1092"/>
  <c r="N1092"/>
  <c r="O1092"/>
  <c r="I1093"/>
  <c r="J1093"/>
  <c r="K1093"/>
  <c r="L1093"/>
  <c r="M1093"/>
  <c r="N1093"/>
  <c r="O1093"/>
  <c r="I1096"/>
  <c r="J1096"/>
  <c r="K1096"/>
  <c r="L1096"/>
  <c r="M1096"/>
  <c r="N1096"/>
  <c r="O1096"/>
  <c r="I1097"/>
  <c r="J1097"/>
  <c r="K1097"/>
  <c r="L1097"/>
  <c r="M1097"/>
  <c r="N1097"/>
  <c r="O1097"/>
  <c r="I1098"/>
  <c r="J1098"/>
  <c r="K1098"/>
  <c r="L1098"/>
  <c r="M1098"/>
  <c r="N1098"/>
  <c r="O1098"/>
  <c r="I1099"/>
  <c r="J1099"/>
  <c r="K1099"/>
  <c r="L1099"/>
  <c r="M1099"/>
  <c r="N1099"/>
  <c r="O1099"/>
  <c r="I1100"/>
  <c r="J1100"/>
  <c r="K1100"/>
  <c r="L1100"/>
  <c r="M1100"/>
  <c r="N1100"/>
  <c r="O1100"/>
  <c r="I1101"/>
  <c r="J1101"/>
  <c r="K1101"/>
  <c r="L1101"/>
  <c r="M1101"/>
  <c r="N1101"/>
  <c r="O1101"/>
  <c r="I1102"/>
  <c r="J1102"/>
  <c r="K1102"/>
  <c r="L1102"/>
  <c r="M1102"/>
  <c r="N1102"/>
  <c r="O1102"/>
  <c r="I1103"/>
  <c r="J1103"/>
  <c r="K1103"/>
  <c r="L1103"/>
  <c r="M1103"/>
  <c r="N1103"/>
  <c r="O1103"/>
  <c r="I1104"/>
  <c r="J1104"/>
  <c r="K1104"/>
  <c r="L1104"/>
  <c r="M1104"/>
  <c r="N1104"/>
  <c r="O1104"/>
  <c r="I1105"/>
  <c r="J1105"/>
  <c r="K1105"/>
  <c r="L1105"/>
  <c r="M1105"/>
  <c r="N1105"/>
  <c r="O1105"/>
  <c r="I1106"/>
  <c r="J1106"/>
  <c r="K1106"/>
  <c r="L1106"/>
  <c r="M1106"/>
  <c r="N1106"/>
  <c r="O1106"/>
  <c r="I1107"/>
  <c r="J1107"/>
  <c r="K1107"/>
  <c r="L1107"/>
  <c r="M1107"/>
  <c r="N1107"/>
  <c r="O1107"/>
  <c r="I1108"/>
  <c r="J1108"/>
  <c r="K1108"/>
  <c r="L1108"/>
  <c r="M1108"/>
  <c r="N1108"/>
  <c r="O1108"/>
  <c r="I1110"/>
  <c r="J1110"/>
  <c r="K1110"/>
  <c r="L1110"/>
  <c r="M1110"/>
  <c r="N1110"/>
  <c r="O1110"/>
  <c r="I1111"/>
  <c r="J1111"/>
  <c r="K1111"/>
  <c r="L1111"/>
  <c r="M1111"/>
  <c r="N1111"/>
  <c r="O1111"/>
  <c r="I1112"/>
  <c r="J1112"/>
  <c r="K1112"/>
  <c r="L1112"/>
  <c r="M1112"/>
  <c r="N1112"/>
  <c r="O1112"/>
  <c r="I1113"/>
  <c r="J1113"/>
  <c r="K1113"/>
  <c r="L1113"/>
  <c r="M1113"/>
  <c r="N1113"/>
  <c r="O1113"/>
  <c r="I1116"/>
  <c r="J1116"/>
  <c r="K1116"/>
  <c r="L1116"/>
  <c r="M1116"/>
  <c r="N1116"/>
  <c r="O1116"/>
  <c r="I1117"/>
  <c r="J1117"/>
  <c r="K1117"/>
  <c r="L1117"/>
  <c r="M1117"/>
  <c r="N1117"/>
  <c r="O1117"/>
  <c r="I1118"/>
  <c r="J1118"/>
  <c r="K1118"/>
  <c r="L1118"/>
  <c r="M1118"/>
  <c r="N1118"/>
  <c r="O1118"/>
  <c r="I1119"/>
  <c r="J1119"/>
  <c r="K1119"/>
  <c r="L1119"/>
  <c r="M1119"/>
  <c r="N1119"/>
  <c r="O1119"/>
  <c r="I1120"/>
  <c r="J1120"/>
  <c r="K1120"/>
  <c r="L1120"/>
  <c r="M1120"/>
  <c r="N1120"/>
  <c r="O1120"/>
  <c r="I1121"/>
  <c r="J1121"/>
  <c r="K1121"/>
  <c r="L1121"/>
  <c r="M1121"/>
  <c r="N1121"/>
  <c r="O1121"/>
  <c r="I1122"/>
  <c r="J1122"/>
  <c r="K1122"/>
  <c r="L1122"/>
  <c r="M1122"/>
  <c r="N1122"/>
  <c r="O1122"/>
  <c r="I1123"/>
  <c r="J1123"/>
  <c r="K1123"/>
  <c r="L1123"/>
  <c r="M1123"/>
  <c r="N1123"/>
  <c r="O1123"/>
  <c r="I1124"/>
  <c r="J1124"/>
  <c r="K1124"/>
  <c r="L1124"/>
  <c r="M1124"/>
  <c r="N1124"/>
  <c r="O1124"/>
  <c r="I1125"/>
  <c r="J1125"/>
  <c r="K1125"/>
  <c r="L1125"/>
  <c r="M1125"/>
  <c r="N1125"/>
  <c r="O1125"/>
  <c r="I1126"/>
  <c r="J1126"/>
  <c r="K1126"/>
  <c r="L1126"/>
  <c r="M1126"/>
  <c r="N1126"/>
  <c r="O1126"/>
  <c r="I1127"/>
  <c r="J1127"/>
  <c r="K1127"/>
  <c r="L1127"/>
  <c r="M1127"/>
  <c r="N1127"/>
  <c r="O1127"/>
  <c r="I1128"/>
  <c r="J1128"/>
  <c r="K1128"/>
  <c r="L1128"/>
  <c r="M1128"/>
  <c r="N1128"/>
  <c r="O1128"/>
  <c r="I1130"/>
  <c r="J1130"/>
  <c r="K1130"/>
  <c r="L1130"/>
  <c r="M1130"/>
  <c r="N1130"/>
  <c r="O1130"/>
  <c r="I1131"/>
  <c r="J1131"/>
  <c r="K1131"/>
  <c r="L1131"/>
  <c r="M1131"/>
  <c r="N1131"/>
  <c r="O1131"/>
  <c r="I1132"/>
  <c r="J1132"/>
  <c r="K1132"/>
  <c r="L1132"/>
  <c r="M1132"/>
  <c r="N1132"/>
  <c r="O1132"/>
  <c r="I1133"/>
  <c r="J1133"/>
  <c r="K1133"/>
  <c r="L1133"/>
  <c r="M1133"/>
  <c r="N1133"/>
  <c r="O1133"/>
  <c r="I1136"/>
  <c r="J1136"/>
  <c r="K1136"/>
  <c r="L1136"/>
  <c r="M1136"/>
  <c r="N1136"/>
  <c r="O1136"/>
  <c r="I1137"/>
  <c r="J1137"/>
  <c r="K1137"/>
  <c r="L1137"/>
  <c r="M1137"/>
  <c r="N1137"/>
  <c r="O1137"/>
  <c r="I1138"/>
  <c r="J1138"/>
  <c r="K1138"/>
  <c r="L1138"/>
  <c r="M1138"/>
  <c r="N1138"/>
  <c r="O1138"/>
  <c r="I1139"/>
  <c r="J1139"/>
  <c r="K1139"/>
  <c r="L1139"/>
  <c r="M1139"/>
  <c r="N1139"/>
  <c r="O1139"/>
  <c r="I1140"/>
  <c r="J1140"/>
  <c r="K1140"/>
  <c r="L1140"/>
  <c r="M1140"/>
  <c r="N1140"/>
  <c r="O1140"/>
  <c r="I1141"/>
  <c r="J1141"/>
  <c r="K1141"/>
  <c r="L1141"/>
  <c r="M1141"/>
  <c r="N1141"/>
  <c r="O1141"/>
  <c r="I1142"/>
  <c r="J1142"/>
  <c r="K1142"/>
  <c r="L1142"/>
  <c r="M1142"/>
  <c r="N1142"/>
  <c r="O1142"/>
  <c r="I1143"/>
  <c r="J1143"/>
  <c r="K1143"/>
  <c r="L1143"/>
  <c r="M1143"/>
  <c r="N1143"/>
  <c r="O1143"/>
  <c r="I1144"/>
  <c r="J1144"/>
  <c r="K1144"/>
  <c r="L1144"/>
  <c r="M1144"/>
  <c r="N1144"/>
  <c r="O1144"/>
  <c r="I1145"/>
  <c r="J1145"/>
  <c r="K1145"/>
  <c r="L1145"/>
  <c r="M1145"/>
  <c r="N1145"/>
  <c r="O1145"/>
  <c r="I1146"/>
  <c r="J1146"/>
  <c r="K1146"/>
  <c r="L1146"/>
  <c r="M1146"/>
  <c r="N1146"/>
  <c r="O1146"/>
  <c r="I1147"/>
  <c r="J1147"/>
  <c r="K1147"/>
  <c r="L1147"/>
  <c r="M1147"/>
  <c r="N1147"/>
  <c r="O1147"/>
  <c r="I1148"/>
  <c r="J1148"/>
  <c r="K1148"/>
  <c r="L1148"/>
  <c r="M1148"/>
  <c r="N1148"/>
  <c r="O1148"/>
  <c r="I1150"/>
  <c r="J1150"/>
  <c r="K1150"/>
  <c r="L1150"/>
  <c r="M1150"/>
  <c r="N1150"/>
  <c r="O1150"/>
  <c r="I1151"/>
  <c r="J1151"/>
  <c r="K1151"/>
  <c r="L1151"/>
  <c r="M1151"/>
  <c r="N1151"/>
  <c r="O1151"/>
  <c r="I1152"/>
  <c r="J1152"/>
  <c r="K1152"/>
  <c r="L1152"/>
  <c r="M1152"/>
  <c r="N1152"/>
  <c r="O1152"/>
  <c r="I1153"/>
  <c r="J1153"/>
  <c r="K1153"/>
  <c r="L1153"/>
  <c r="M1153"/>
  <c r="N1153"/>
  <c r="O1153"/>
  <c r="I1156"/>
  <c r="J1156"/>
  <c r="K1156"/>
  <c r="L1156"/>
  <c r="M1156"/>
  <c r="N1156"/>
  <c r="O1156"/>
  <c r="I1157"/>
  <c r="J1157"/>
  <c r="K1157"/>
  <c r="L1157"/>
  <c r="M1157"/>
  <c r="N1157"/>
  <c r="O1157"/>
  <c r="I1158"/>
  <c r="J1158"/>
  <c r="K1158"/>
  <c r="L1158"/>
  <c r="M1158"/>
  <c r="N1158"/>
  <c r="O1158"/>
  <c r="I1159"/>
  <c r="J1159"/>
  <c r="K1159"/>
  <c r="L1159"/>
  <c r="M1159"/>
  <c r="N1159"/>
  <c r="O1159"/>
  <c r="I1160"/>
  <c r="J1160"/>
  <c r="K1160"/>
  <c r="L1160"/>
  <c r="M1160"/>
  <c r="N1160"/>
  <c r="O1160"/>
  <c r="I1161"/>
  <c r="J1161"/>
  <c r="K1161"/>
  <c r="L1161"/>
  <c r="M1161"/>
  <c r="N1161"/>
  <c r="O1161"/>
  <c r="I1162"/>
  <c r="J1162"/>
  <c r="K1162"/>
  <c r="L1162"/>
  <c r="M1162"/>
  <c r="N1162"/>
  <c r="O1162"/>
  <c r="I1163"/>
  <c r="J1163"/>
  <c r="K1163"/>
  <c r="L1163"/>
  <c r="M1163"/>
  <c r="N1163"/>
  <c r="O1163"/>
  <c r="I1164"/>
  <c r="J1164"/>
  <c r="K1164"/>
  <c r="L1164"/>
  <c r="M1164"/>
  <c r="N1164"/>
  <c r="O1164"/>
  <c r="I1165"/>
  <c r="J1165"/>
  <c r="K1165"/>
  <c r="L1165"/>
  <c r="M1165"/>
  <c r="N1165"/>
  <c r="O1165"/>
  <c r="I1166"/>
  <c r="J1166"/>
  <c r="K1166"/>
  <c r="L1166"/>
  <c r="M1166"/>
  <c r="N1166"/>
  <c r="O1166"/>
  <c r="I1167"/>
  <c r="J1167"/>
  <c r="K1167"/>
  <c r="L1167"/>
  <c r="M1167"/>
  <c r="N1167"/>
  <c r="O1167"/>
  <c r="I1168"/>
  <c r="J1168"/>
  <c r="K1168"/>
  <c r="L1168"/>
  <c r="M1168"/>
  <c r="N1168"/>
  <c r="O1168"/>
  <c r="I1170"/>
  <c r="J1170"/>
  <c r="K1170"/>
  <c r="L1170"/>
  <c r="M1170"/>
  <c r="N1170"/>
  <c r="O1170"/>
  <c r="I1171"/>
  <c r="J1171"/>
  <c r="K1171"/>
  <c r="L1171"/>
  <c r="M1171"/>
  <c r="N1171"/>
  <c r="O1171"/>
  <c r="I1172"/>
  <c r="J1172"/>
  <c r="K1172"/>
  <c r="L1172"/>
  <c r="M1172"/>
  <c r="N1172"/>
  <c r="O1172"/>
  <c r="I1173"/>
  <c r="J1173"/>
  <c r="K1173"/>
  <c r="L1173"/>
  <c r="M1173"/>
  <c r="N1173"/>
  <c r="O1173"/>
  <c r="I1176"/>
  <c r="J1176"/>
  <c r="K1176"/>
  <c r="L1176"/>
  <c r="M1176"/>
  <c r="N1176"/>
  <c r="O1176"/>
  <c r="I1177"/>
  <c r="J1177"/>
  <c r="K1177"/>
  <c r="L1177"/>
  <c r="M1177"/>
  <c r="N1177"/>
  <c r="O1177"/>
  <c r="I1178"/>
  <c r="J1178"/>
  <c r="K1178"/>
  <c r="L1178"/>
  <c r="M1178"/>
  <c r="N1178"/>
  <c r="O1178"/>
  <c r="I1179"/>
  <c r="J1179"/>
  <c r="K1179"/>
  <c r="L1179"/>
  <c r="M1179"/>
  <c r="N1179"/>
  <c r="O1179"/>
  <c r="I1180"/>
  <c r="J1180"/>
  <c r="K1180"/>
  <c r="L1180"/>
  <c r="M1180"/>
  <c r="N1180"/>
  <c r="O1180"/>
  <c r="I1181"/>
  <c r="J1181"/>
  <c r="K1181"/>
  <c r="L1181"/>
  <c r="M1181"/>
  <c r="N1181"/>
  <c r="O1181"/>
  <c r="I1182"/>
  <c r="J1182"/>
  <c r="K1182"/>
  <c r="L1182"/>
  <c r="M1182"/>
  <c r="N1182"/>
  <c r="O1182"/>
  <c r="I1183"/>
  <c r="J1183"/>
  <c r="K1183"/>
  <c r="L1183"/>
  <c r="M1183"/>
  <c r="N1183"/>
  <c r="O1183"/>
  <c r="I1184"/>
  <c r="J1184"/>
  <c r="K1184"/>
  <c r="L1184"/>
  <c r="M1184"/>
  <c r="N1184"/>
  <c r="O1184"/>
  <c r="I1185"/>
  <c r="J1185"/>
  <c r="K1185"/>
  <c r="L1185"/>
  <c r="M1185"/>
  <c r="N1185"/>
  <c r="O1185"/>
  <c r="I1186"/>
  <c r="J1186"/>
  <c r="K1186"/>
  <c r="L1186"/>
  <c r="M1186"/>
  <c r="N1186"/>
  <c r="O1186"/>
  <c r="I1187"/>
  <c r="J1187"/>
  <c r="K1187"/>
  <c r="L1187"/>
  <c r="M1187"/>
  <c r="N1187"/>
  <c r="O1187"/>
  <c r="I1188"/>
  <c r="J1188"/>
  <c r="K1188"/>
  <c r="L1188"/>
  <c r="M1188"/>
  <c r="N1188"/>
  <c r="O1188"/>
  <c r="I1190"/>
  <c r="J1190"/>
  <c r="K1190"/>
  <c r="L1190"/>
  <c r="M1190"/>
  <c r="N1190"/>
  <c r="O1190"/>
  <c r="I1191"/>
  <c r="J1191"/>
  <c r="K1191"/>
  <c r="L1191"/>
  <c r="M1191"/>
  <c r="N1191"/>
  <c r="O1191"/>
  <c r="I1192"/>
  <c r="J1192"/>
  <c r="K1192"/>
  <c r="L1192"/>
  <c r="M1192"/>
  <c r="N1192"/>
  <c r="O1192"/>
  <c r="I1193"/>
  <c r="J1193"/>
  <c r="K1193"/>
  <c r="L1193"/>
  <c r="M1193"/>
  <c r="N1193"/>
  <c r="O1193"/>
  <c r="I1196"/>
  <c r="J1196"/>
  <c r="K1196"/>
  <c r="L1196"/>
  <c r="M1196"/>
  <c r="N1196"/>
  <c r="O1196"/>
  <c r="I1197"/>
  <c r="J1197"/>
  <c r="K1197"/>
  <c r="L1197"/>
  <c r="M1197"/>
  <c r="N1197"/>
  <c r="O1197"/>
  <c r="I1198"/>
  <c r="J1198"/>
  <c r="K1198"/>
  <c r="L1198"/>
  <c r="M1198"/>
  <c r="N1198"/>
  <c r="O1198"/>
  <c r="I1199"/>
  <c r="J1199"/>
  <c r="K1199"/>
  <c r="L1199"/>
  <c r="M1199"/>
  <c r="N1199"/>
  <c r="O1199"/>
  <c r="I1200"/>
  <c r="J1200"/>
  <c r="K1200"/>
  <c r="L1200"/>
  <c r="M1200"/>
  <c r="N1200"/>
  <c r="O1200"/>
  <c r="I1201"/>
  <c r="J1201"/>
  <c r="K1201"/>
  <c r="L1201"/>
  <c r="M1201"/>
  <c r="N1201"/>
  <c r="O1201"/>
  <c r="I1202"/>
  <c r="J1202"/>
  <c r="K1202"/>
  <c r="L1202"/>
  <c r="M1202"/>
  <c r="N1202"/>
  <c r="O1202"/>
  <c r="I1203"/>
  <c r="J1203"/>
  <c r="K1203"/>
  <c r="L1203"/>
  <c r="M1203"/>
  <c r="N1203"/>
  <c r="O1203"/>
  <c r="I1204"/>
  <c r="J1204"/>
  <c r="K1204"/>
  <c r="L1204"/>
  <c r="M1204"/>
  <c r="N1204"/>
  <c r="O1204"/>
  <c r="I1205"/>
  <c r="J1205"/>
  <c r="K1205"/>
  <c r="L1205"/>
  <c r="M1205"/>
  <c r="N1205"/>
  <c r="O1205"/>
  <c r="I1206"/>
  <c r="J1206"/>
  <c r="K1206"/>
  <c r="L1206"/>
  <c r="M1206"/>
  <c r="N1206"/>
  <c r="O1206"/>
  <c r="I1207"/>
  <c r="J1207"/>
  <c r="K1207"/>
  <c r="L1207"/>
  <c r="M1207"/>
  <c r="N1207"/>
  <c r="O1207"/>
  <c r="I1208"/>
  <c r="J1208"/>
  <c r="K1208"/>
  <c r="L1208"/>
  <c r="M1208"/>
  <c r="N1208"/>
  <c r="O1208"/>
  <c r="I1210"/>
  <c r="J1210"/>
  <c r="K1210"/>
  <c r="L1210"/>
  <c r="M1210"/>
  <c r="N1210"/>
  <c r="O1210"/>
  <c r="I1211"/>
  <c r="J1211"/>
  <c r="K1211"/>
  <c r="L1211"/>
  <c r="M1211"/>
  <c r="N1211"/>
  <c r="O1211"/>
  <c r="I1212"/>
  <c r="J1212"/>
  <c r="K1212"/>
  <c r="L1212"/>
  <c r="M1212"/>
  <c r="N1212"/>
  <c r="O1212"/>
  <c r="I1213"/>
  <c r="J1213"/>
  <c r="K1213"/>
  <c r="L1213"/>
  <c r="M1213"/>
  <c r="N1213"/>
  <c r="O1213"/>
  <c r="I1216"/>
  <c r="J1216"/>
  <c r="K1216"/>
  <c r="L1216"/>
  <c r="M1216"/>
  <c r="N1216"/>
  <c r="O1216"/>
  <c r="I1217"/>
  <c r="J1217"/>
  <c r="K1217"/>
  <c r="L1217"/>
  <c r="M1217"/>
  <c r="N1217"/>
  <c r="O1217"/>
  <c r="I1218"/>
  <c r="J1218"/>
  <c r="K1218"/>
  <c r="L1218"/>
  <c r="M1218"/>
  <c r="N1218"/>
  <c r="O1218"/>
  <c r="I1219"/>
  <c r="J1219"/>
  <c r="K1219"/>
  <c r="L1219"/>
  <c r="M1219"/>
  <c r="N1219"/>
  <c r="O1219"/>
  <c r="I1220"/>
  <c r="J1220"/>
  <c r="K1220"/>
  <c r="L1220"/>
  <c r="M1220"/>
  <c r="N1220"/>
  <c r="O1220"/>
  <c r="I1221"/>
  <c r="J1221"/>
  <c r="K1221"/>
  <c r="L1221"/>
  <c r="M1221"/>
  <c r="N1221"/>
  <c r="O1221"/>
  <c r="I1222"/>
  <c r="J1222"/>
  <c r="K1222"/>
  <c r="L1222"/>
  <c r="M1222"/>
  <c r="N1222"/>
  <c r="O1222"/>
  <c r="I1223"/>
  <c r="J1223"/>
  <c r="K1223"/>
  <c r="L1223"/>
  <c r="M1223"/>
  <c r="N1223"/>
  <c r="O1223"/>
  <c r="I1224"/>
  <c r="J1224"/>
  <c r="K1224"/>
  <c r="L1224"/>
  <c r="M1224"/>
  <c r="N1224"/>
  <c r="O1224"/>
  <c r="I1225"/>
  <c r="J1225"/>
  <c r="K1225"/>
  <c r="L1225"/>
  <c r="M1225"/>
  <c r="N1225"/>
  <c r="O1225"/>
  <c r="I1226"/>
  <c r="J1226"/>
  <c r="K1226"/>
  <c r="L1226"/>
  <c r="M1226"/>
  <c r="N1226"/>
  <c r="O1226"/>
  <c r="I1227"/>
  <c r="J1227"/>
  <c r="K1227"/>
  <c r="L1227"/>
  <c r="M1227"/>
  <c r="N1227"/>
  <c r="O1227"/>
  <c r="I1228"/>
  <c r="J1228"/>
  <c r="K1228"/>
  <c r="L1228"/>
  <c r="M1228"/>
  <c r="N1228"/>
  <c r="O1228"/>
  <c r="I1230"/>
  <c r="J1230"/>
  <c r="K1230"/>
  <c r="L1230"/>
  <c r="M1230"/>
  <c r="N1230"/>
  <c r="O1230"/>
  <c r="I1231"/>
  <c r="J1231"/>
  <c r="K1231"/>
  <c r="L1231"/>
  <c r="M1231"/>
  <c r="N1231"/>
  <c r="O1231"/>
  <c r="I1232"/>
  <c r="J1232"/>
  <c r="K1232"/>
  <c r="L1232"/>
  <c r="M1232"/>
  <c r="N1232"/>
  <c r="O1232"/>
  <c r="I1233"/>
  <c r="J1233"/>
  <c r="K1233"/>
  <c r="L1233"/>
  <c r="M1233"/>
  <c r="N1233"/>
  <c r="O1233"/>
  <c r="I1236"/>
  <c r="J1236"/>
  <c r="K1236"/>
  <c r="L1236"/>
  <c r="M1236"/>
  <c r="N1236"/>
  <c r="O1236"/>
  <c r="I1237"/>
  <c r="J1237"/>
  <c r="K1237"/>
  <c r="L1237"/>
  <c r="M1237"/>
  <c r="N1237"/>
  <c r="O1237"/>
  <c r="I1238"/>
  <c r="J1238"/>
  <c r="K1238"/>
  <c r="L1238"/>
  <c r="M1238"/>
  <c r="N1238"/>
  <c r="O1238"/>
  <c r="I1239"/>
  <c r="J1239"/>
  <c r="K1239"/>
  <c r="L1239"/>
  <c r="M1239"/>
  <c r="N1239"/>
  <c r="O1239"/>
  <c r="I1240"/>
  <c r="J1240"/>
  <c r="K1240"/>
  <c r="L1240"/>
  <c r="M1240"/>
  <c r="N1240"/>
  <c r="O1240"/>
  <c r="I1241"/>
  <c r="J1241"/>
  <c r="K1241"/>
  <c r="L1241"/>
  <c r="M1241"/>
  <c r="N1241"/>
  <c r="O1241"/>
  <c r="I1242"/>
  <c r="J1242"/>
  <c r="K1242"/>
  <c r="L1242"/>
  <c r="M1242"/>
  <c r="N1242"/>
  <c r="O1242"/>
  <c r="I1243"/>
  <c r="J1243"/>
  <c r="K1243"/>
  <c r="L1243"/>
  <c r="M1243"/>
  <c r="N1243"/>
  <c r="O1243"/>
  <c r="I1244"/>
  <c r="J1244"/>
  <c r="K1244"/>
  <c r="L1244"/>
  <c r="M1244"/>
  <c r="N1244"/>
  <c r="O1244"/>
  <c r="I1245"/>
  <c r="J1245"/>
  <c r="K1245"/>
  <c r="L1245"/>
  <c r="M1245"/>
  <c r="N1245"/>
  <c r="O1245"/>
  <c r="I1246"/>
  <c r="J1246"/>
  <c r="K1246"/>
  <c r="L1246"/>
  <c r="M1246"/>
  <c r="N1246"/>
  <c r="O1246"/>
  <c r="I1247"/>
  <c r="J1247"/>
  <c r="K1247"/>
  <c r="L1247"/>
  <c r="M1247"/>
  <c r="N1247"/>
  <c r="O1247"/>
  <c r="I1248"/>
  <c r="J1248"/>
  <c r="K1248"/>
  <c r="L1248"/>
  <c r="M1248"/>
  <c r="N1248"/>
  <c r="O1248"/>
  <c r="I1250"/>
  <c r="J1250"/>
  <c r="K1250"/>
  <c r="L1250"/>
  <c r="M1250"/>
  <c r="N1250"/>
  <c r="O1250"/>
  <c r="I1251"/>
  <c r="J1251"/>
  <c r="K1251"/>
  <c r="L1251"/>
  <c r="M1251"/>
  <c r="N1251"/>
  <c r="O1251"/>
  <c r="I1252"/>
  <c r="J1252"/>
  <c r="K1252"/>
  <c r="L1252"/>
  <c r="M1252"/>
  <c r="N1252"/>
  <c r="O1252"/>
  <c r="I1253"/>
  <c r="J1253"/>
  <c r="K1253"/>
  <c r="L1253"/>
  <c r="M1253"/>
  <c r="N1253"/>
  <c r="O1253"/>
  <c r="I1256"/>
  <c r="J1256"/>
  <c r="K1256"/>
  <c r="L1256"/>
  <c r="M1256"/>
  <c r="N1256"/>
  <c r="O1256"/>
  <c r="I1257"/>
  <c r="J1257"/>
  <c r="K1257"/>
  <c r="L1257"/>
  <c r="M1257"/>
  <c r="N1257"/>
  <c r="O1257"/>
  <c r="I1258"/>
  <c r="J1258"/>
  <c r="K1258"/>
  <c r="L1258"/>
  <c r="M1258"/>
  <c r="N1258"/>
  <c r="O1258"/>
  <c r="I1259"/>
  <c r="J1259"/>
  <c r="K1259"/>
  <c r="L1259"/>
  <c r="M1259"/>
  <c r="N1259"/>
  <c r="O1259"/>
  <c r="I1260"/>
  <c r="J1260"/>
  <c r="K1260"/>
  <c r="L1260"/>
  <c r="M1260"/>
  <c r="N1260"/>
  <c r="O1260"/>
  <c r="I1261"/>
  <c r="J1261"/>
  <c r="K1261"/>
  <c r="L1261"/>
  <c r="M1261"/>
  <c r="N1261"/>
  <c r="O1261"/>
  <c r="I1262"/>
  <c r="J1262"/>
  <c r="K1262"/>
  <c r="L1262"/>
  <c r="M1262"/>
  <c r="N1262"/>
  <c r="O1262"/>
  <c r="I1263"/>
  <c r="J1263"/>
  <c r="K1263"/>
  <c r="L1263"/>
  <c r="M1263"/>
  <c r="N1263"/>
  <c r="O1263"/>
  <c r="I1264"/>
  <c r="J1264"/>
  <c r="K1264"/>
  <c r="L1264"/>
  <c r="M1264"/>
  <c r="N1264"/>
  <c r="O1264"/>
  <c r="I1265"/>
  <c r="J1265"/>
  <c r="K1265"/>
  <c r="L1265"/>
  <c r="M1265"/>
  <c r="N1265"/>
  <c r="O1265"/>
  <c r="I1266"/>
  <c r="J1266"/>
  <c r="K1266"/>
  <c r="L1266"/>
  <c r="M1266"/>
  <c r="N1266"/>
  <c r="O1266"/>
  <c r="I1267"/>
  <c r="J1267"/>
  <c r="K1267"/>
  <c r="L1267"/>
  <c r="M1267"/>
  <c r="N1267"/>
  <c r="O1267"/>
  <c r="I1268"/>
  <c r="J1268"/>
  <c r="K1268"/>
  <c r="L1268"/>
  <c r="M1268"/>
  <c r="N1268"/>
  <c r="O1268"/>
  <c r="I1270"/>
  <c r="J1270"/>
  <c r="K1270"/>
  <c r="L1270"/>
  <c r="M1270"/>
  <c r="N1270"/>
  <c r="O1270"/>
  <c r="I1271"/>
  <c r="J1271"/>
  <c r="K1271"/>
  <c r="L1271"/>
  <c r="M1271"/>
  <c r="N1271"/>
  <c r="O1271"/>
  <c r="I1272"/>
  <c r="J1272"/>
  <c r="K1272"/>
  <c r="L1272"/>
  <c r="M1272"/>
  <c r="N1272"/>
  <c r="O1272"/>
  <c r="I1273"/>
  <c r="J1273"/>
  <c r="K1273"/>
  <c r="L1273"/>
  <c r="M1273"/>
  <c r="N1273"/>
  <c r="O1273"/>
  <c r="I1276"/>
  <c r="J1276"/>
  <c r="K1276"/>
  <c r="L1276"/>
  <c r="M1276"/>
  <c r="N1276"/>
  <c r="O1276"/>
  <c r="I1277"/>
  <c r="J1277"/>
  <c r="K1277"/>
  <c r="L1277"/>
  <c r="M1277"/>
  <c r="N1277"/>
  <c r="O1277"/>
  <c r="I1278"/>
  <c r="J1278"/>
  <c r="K1278"/>
  <c r="L1278"/>
  <c r="M1278"/>
  <c r="N1278"/>
  <c r="O1278"/>
  <c r="I1279"/>
  <c r="J1279"/>
  <c r="K1279"/>
  <c r="L1279"/>
  <c r="M1279"/>
  <c r="N1279"/>
  <c r="O1279"/>
  <c r="I1280"/>
  <c r="J1280"/>
  <c r="K1280"/>
  <c r="L1280"/>
  <c r="M1280"/>
  <c r="N1280"/>
  <c r="O1280"/>
  <c r="I1281"/>
  <c r="J1281"/>
  <c r="K1281"/>
  <c r="L1281"/>
  <c r="M1281"/>
  <c r="N1281"/>
  <c r="O1281"/>
  <c r="I1282"/>
  <c r="J1282"/>
  <c r="K1282"/>
  <c r="L1282"/>
  <c r="M1282"/>
  <c r="N1282"/>
  <c r="O1282"/>
  <c r="I1283"/>
  <c r="J1283"/>
  <c r="K1283"/>
  <c r="L1283"/>
  <c r="M1283"/>
  <c r="N1283"/>
  <c r="O1283"/>
  <c r="I1284"/>
  <c r="J1284"/>
  <c r="K1284"/>
  <c r="L1284"/>
  <c r="M1284"/>
  <c r="N1284"/>
  <c r="O1284"/>
  <c r="I1285"/>
  <c r="J1285"/>
  <c r="K1285"/>
  <c r="L1285"/>
  <c r="M1285"/>
  <c r="N1285"/>
  <c r="O1285"/>
  <c r="I1286"/>
  <c r="J1286"/>
  <c r="K1286"/>
  <c r="L1286"/>
  <c r="M1286"/>
  <c r="N1286"/>
  <c r="O1286"/>
  <c r="I1287"/>
  <c r="J1287"/>
  <c r="K1287"/>
  <c r="L1287"/>
  <c r="M1287"/>
  <c r="N1287"/>
  <c r="O1287"/>
  <c r="I1288"/>
  <c r="J1288"/>
  <c r="K1288"/>
  <c r="L1288"/>
  <c r="M1288"/>
  <c r="N1288"/>
  <c r="O1288"/>
  <c r="I1290"/>
  <c r="J1290"/>
  <c r="K1290"/>
  <c r="L1290"/>
  <c r="M1290"/>
  <c r="N1290"/>
  <c r="O1290"/>
  <c r="I1291"/>
  <c r="J1291"/>
  <c r="K1291"/>
  <c r="L1291"/>
  <c r="M1291"/>
  <c r="N1291"/>
  <c r="O1291"/>
  <c r="I1292"/>
  <c r="J1292"/>
  <c r="K1292"/>
  <c r="L1292"/>
  <c r="M1292"/>
  <c r="N1292"/>
  <c r="O1292"/>
  <c r="I1293"/>
  <c r="J1293"/>
  <c r="K1293"/>
  <c r="L1293"/>
  <c r="M1293"/>
  <c r="N1293"/>
  <c r="O1293"/>
  <c r="I1296"/>
  <c r="J1296"/>
  <c r="K1296"/>
  <c r="L1296"/>
  <c r="M1296"/>
  <c r="N1296"/>
  <c r="O1296"/>
  <c r="I1297"/>
  <c r="J1297"/>
  <c r="K1297"/>
  <c r="L1297"/>
  <c r="M1297"/>
  <c r="N1297"/>
  <c r="O1297"/>
  <c r="I1298"/>
  <c r="J1298"/>
  <c r="K1298"/>
  <c r="L1298"/>
  <c r="M1298"/>
  <c r="N1298"/>
  <c r="O1298"/>
  <c r="I1299"/>
  <c r="J1299"/>
  <c r="K1299"/>
  <c r="L1299"/>
  <c r="M1299"/>
  <c r="N1299"/>
  <c r="O1299"/>
  <c r="I1300"/>
  <c r="J1300"/>
  <c r="K1300"/>
  <c r="L1300"/>
  <c r="M1300"/>
  <c r="N1300"/>
  <c r="O1300"/>
  <c r="I1301"/>
  <c r="J1301"/>
  <c r="K1301"/>
  <c r="L1301"/>
  <c r="M1301"/>
  <c r="N1301"/>
  <c r="O1301"/>
  <c r="I1302"/>
  <c r="J1302"/>
  <c r="K1302"/>
  <c r="L1302"/>
  <c r="M1302"/>
  <c r="N1302"/>
  <c r="O1302"/>
  <c r="I1303"/>
  <c r="J1303"/>
  <c r="K1303"/>
  <c r="L1303"/>
  <c r="M1303"/>
  <c r="N1303"/>
  <c r="O1303"/>
  <c r="I1304"/>
  <c r="J1304"/>
  <c r="K1304"/>
  <c r="L1304"/>
  <c r="M1304"/>
  <c r="N1304"/>
  <c r="O1304"/>
  <c r="I1305"/>
  <c r="J1305"/>
  <c r="K1305"/>
  <c r="L1305"/>
  <c r="M1305"/>
  <c r="N1305"/>
  <c r="O1305"/>
  <c r="I1306"/>
  <c r="J1306"/>
  <c r="K1306"/>
  <c r="L1306"/>
  <c r="M1306"/>
  <c r="N1306"/>
  <c r="O1306"/>
  <c r="I1307"/>
  <c r="J1307"/>
  <c r="K1307"/>
  <c r="L1307"/>
  <c r="M1307"/>
  <c r="N1307"/>
  <c r="O1307"/>
  <c r="I1308"/>
  <c r="J1308"/>
  <c r="K1308"/>
  <c r="L1308"/>
  <c r="M1308"/>
  <c r="N1308"/>
  <c r="O1308"/>
  <c r="I1310"/>
  <c r="J1310"/>
  <c r="K1310"/>
  <c r="L1310"/>
  <c r="M1310"/>
  <c r="N1310"/>
  <c r="O1310"/>
  <c r="I1311"/>
  <c r="J1311"/>
  <c r="K1311"/>
  <c r="L1311"/>
  <c r="M1311"/>
  <c r="N1311"/>
  <c r="O1311"/>
  <c r="I1312"/>
  <c r="J1312"/>
  <c r="K1312"/>
  <c r="L1312"/>
  <c r="M1312"/>
  <c r="N1312"/>
  <c r="O1312"/>
  <c r="I1313"/>
  <c r="J1313"/>
  <c r="K1313"/>
  <c r="L1313"/>
  <c r="M1313"/>
  <c r="N1313"/>
  <c r="O1313"/>
  <c r="I1316"/>
  <c r="J1316"/>
  <c r="K1316"/>
  <c r="L1316"/>
  <c r="M1316"/>
  <c r="N1316"/>
  <c r="O1316"/>
  <c r="I1317"/>
  <c r="J1317"/>
  <c r="K1317"/>
  <c r="L1317"/>
  <c r="M1317"/>
  <c r="N1317"/>
  <c r="O1317"/>
  <c r="I1318"/>
  <c r="J1318"/>
  <c r="K1318"/>
  <c r="L1318"/>
  <c r="M1318"/>
  <c r="N1318"/>
  <c r="O1318"/>
  <c r="I1319"/>
  <c r="J1319"/>
  <c r="K1319"/>
  <c r="L1319"/>
  <c r="M1319"/>
  <c r="N1319"/>
  <c r="O1319"/>
  <c r="I1320"/>
  <c r="J1320"/>
  <c r="K1320"/>
  <c r="L1320"/>
  <c r="M1320"/>
  <c r="N1320"/>
  <c r="O1320"/>
  <c r="I1321"/>
  <c r="J1321"/>
  <c r="K1321"/>
  <c r="L1321"/>
  <c r="M1321"/>
  <c r="N1321"/>
  <c r="O1321"/>
  <c r="I1322"/>
  <c r="J1322"/>
  <c r="K1322"/>
  <c r="L1322"/>
  <c r="M1322"/>
  <c r="N1322"/>
  <c r="O1322"/>
  <c r="I1323"/>
  <c r="J1323"/>
  <c r="K1323"/>
  <c r="L1323"/>
  <c r="M1323"/>
  <c r="N1323"/>
  <c r="O1323"/>
  <c r="I1324"/>
  <c r="J1324"/>
  <c r="K1324"/>
  <c r="L1324"/>
  <c r="M1324"/>
  <c r="N1324"/>
  <c r="O1324"/>
  <c r="I1325"/>
  <c r="J1325"/>
  <c r="K1325"/>
  <c r="L1325"/>
  <c r="M1325"/>
  <c r="N1325"/>
  <c r="O1325"/>
  <c r="I1326"/>
  <c r="J1326"/>
  <c r="K1326"/>
  <c r="L1326"/>
  <c r="M1326"/>
  <c r="N1326"/>
  <c r="O1326"/>
  <c r="I1327"/>
  <c r="J1327"/>
  <c r="K1327"/>
  <c r="L1327"/>
  <c r="M1327"/>
  <c r="N1327"/>
  <c r="O1327"/>
  <c r="I1328"/>
  <c r="J1328"/>
  <c r="K1328"/>
  <c r="L1328"/>
  <c r="M1328"/>
  <c r="N1328"/>
  <c r="O1328"/>
  <c r="I1330"/>
  <c r="J1330"/>
  <c r="K1330"/>
  <c r="L1330"/>
  <c r="M1330"/>
  <c r="N1330"/>
  <c r="O1330"/>
  <c r="I1331"/>
  <c r="J1331"/>
  <c r="K1331"/>
  <c r="L1331"/>
  <c r="M1331"/>
  <c r="N1331"/>
  <c r="O1331"/>
  <c r="I1332"/>
  <c r="J1332"/>
  <c r="K1332"/>
  <c r="L1332"/>
  <c r="M1332"/>
  <c r="N1332"/>
  <c r="O1332"/>
  <c r="I1333"/>
  <c r="J1333"/>
  <c r="K1333"/>
  <c r="L1333"/>
  <c r="M1333"/>
  <c r="N1333"/>
  <c r="O1333"/>
  <c r="I1336"/>
  <c r="J1336"/>
  <c r="K1336"/>
  <c r="L1336"/>
  <c r="M1336"/>
  <c r="N1336"/>
  <c r="O1336"/>
  <c r="I1337"/>
  <c r="J1337"/>
  <c r="K1337"/>
  <c r="L1337"/>
  <c r="M1337"/>
  <c r="N1337"/>
  <c r="O1337"/>
  <c r="I1338"/>
  <c r="J1338"/>
  <c r="K1338"/>
  <c r="L1338"/>
  <c r="M1338"/>
  <c r="N1338"/>
  <c r="O1338"/>
  <c r="I1339"/>
  <c r="J1339"/>
  <c r="K1339"/>
  <c r="L1339"/>
  <c r="M1339"/>
  <c r="N1339"/>
  <c r="O1339"/>
  <c r="I1340"/>
  <c r="J1340"/>
  <c r="K1340"/>
  <c r="L1340"/>
  <c r="M1340"/>
  <c r="N1340"/>
  <c r="O1340"/>
  <c r="I1341"/>
  <c r="J1341"/>
  <c r="K1341"/>
  <c r="L1341"/>
  <c r="M1341"/>
  <c r="N1341"/>
  <c r="O1341"/>
  <c r="I1342"/>
  <c r="J1342"/>
  <c r="K1342"/>
  <c r="L1342"/>
  <c r="M1342"/>
  <c r="N1342"/>
  <c r="O1342"/>
  <c r="I1343"/>
  <c r="J1343"/>
  <c r="K1343"/>
  <c r="L1343"/>
  <c r="M1343"/>
  <c r="N1343"/>
  <c r="O1343"/>
  <c r="I1344"/>
  <c r="J1344"/>
  <c r="K1344"/>
  <c r="L1344"/>
  <c r="M1344"/>
  <c r="N1344"/>
  <c r="O1344"/>
  <c r="I1345"/>
  <c r="J1345"/>
  <c r="K1345"/>
  <c r="L1345"/>
  <c r="M1345"/>
  <c r="N1345"/>
  <c r="O1345"/>
  <c r="I1346"/>
  <c r="J1346"/>
  <c r="K1346"/>
  <c r="L1346"/>
  <c r="M1346"/>
  <c r="N1346"/>
  <c r="O1346"/>
  <c r="I1347"/>
  <c r="J1347"/>
  <c r="K1347"/>
  <c r="L1347"/>
  <c r="M1347"/>
  <c r="N1347"/>
  <c r="O1347"/>
  <c r="I1348"/>
  <c r="J1348"/>
  <c r="K1348"/>
  <c r="L1348"/>
  <c r="M1348"/>
  <c r="N1348"/>
  <c r="O1348"/>
  <c r="I1350"/>
  <c r="J1350"/>
  <c r="K1350"/>
  <c r="L1350"/>
  <c r="M1350"/>
  <c r="N1350"/>
  <c r="O1350"/>
  <c r="I1351"/>
  <c r="J1351"/>
  <c r="K1351"/>
  <c r="L1351"/>
  <c r="M1351"/>
  <c r="N1351"/>
  <c r="O1351"/>
  <c r="I1352"/>
  <c r="J1352"/>
  <c r="K1352"/>
  <c r="L1352"/>
  <c r="M1352"/>
  <c r="N1352"/>
  <c r="O1352"/>
  <c r="I1353"/>
  <c r="J1353"/>
  <c r="K1353"/>
  <c r="L1353"/>
  <c r="M1353"/>
  <c r="N1353"/>
  <c r="O1353"/>
  <c r="I1356"/>
  <c r="J1356"/>
  <c r="K1356"/>
  <c r="L1356"/>
  <c r="M1356"/>
  <c r="N1356"/>
  <c r="O1356"/>
  <c r="I1357"/>
  <c r="J1357"/>
  <c r="K1357"/>
  <c r="L1357"/>
  <c r="M1357"/>
  <c r="N1357"/>
  <c r="O1357"/>
  <c r="I1358"/>
  <c r="J1358"/>
  <c r="K1358"/>
  <c r="L1358"/>
  <c r="M1358"/>
  <c r="N1358"/>
  <c r="O1358"/>
  <c r="I1359"/>
  <c r="J1359"/>
  <c r="K1359"/>
  <c r="L1359"/>
  <c r="M1359"/>
  <c r="N1359"/>
  <c r="O1359"/>
  <c r="I1360"/>
  <c r="J1360"/>
  <c r="K1360"/>
  <c r="L1360"/>
  <c r="M1360"/>
  <c r="N1360"/>
  <c r="O1360"/>
  <c r="I1361"/>
  <c r="J1361"/>
  <c r="K1361"/>
  <c r="L1361"/>
  <c r="M1361"/>
  <c r="N1361"/>
  <c r="O1361"/>
  <c r="I1362"/>
  <c r="J1362"/>
  <c r="K1362"/>
  <c r="L1362"/>
  <c r="M1362"/>
  <c r="N1362"/>
  <c r="O1362"/>
  <c r="I1363"/>
  <c r="J1363"/>
  <c r="K1363"/>
  <c r="L1363"/>
  <c r="M1363"/>
  <c r="N1363"/>
  <c r="O1363"/>
  <c r="I1364"/>
  <c r="J1364"/>
  <c r="K1364"/>
  <c r="L1364"/>
  <c r="M1364"/>
  <c r="N1364"/>
  <c r="O1364"/>
  <c r="I1365"/>
  <c r="J1365"/>
  <c r="K1365"/>
  <c r="L1365"/>
  <c r="M1365"/>
  <c r="N1365"/>
  <c r="O1365"/>
  <c r="I1366"/>
  <c r="J1366"/>
  <c r="K1366"/>
  <c r="L1366"/>
  <c r="M1366"/>
  <c r="N1366"/>
  <c r="O1366"/>
  <c r="I1367"/>
  <c r="J1367"/>
  <c r="K1367"/>
  <c r="L1367"/>
  <c r="M1367"/>
  <c r="N1367"/>
  <c r="O1367"/>
  <c r="I1368"/>
  <c r="J1368"/>
  <c r="K1368"/>
  <c r="L1368"/>
  <c r="M1368"/>
  <c r="N1368"/>
  <c r="O1368"/>
  <c r="I1370"/>
  <c r="J1370"/>
  <c r="K1370"/>
  <c r="L1370"/>
  <c r="M1370"/>
  <c r="N1370"/>
  <c r="O1370"/>
  <c r="I1371"/>
  <c r="J1371"/>
  <c r="K1371"/>
  <c r="L1371"/>
  <c r="M1371"/>
  <c r="N1371"/>
  <c r="O1371"/>
  <c r="I1372"/>
  <c r="J1372"/>
  <c r="K1372"/>
  <c r="L1372"/>
  <c r="M1372"/>
  <c r="N1372"/>
  <c r="O1372"/>
  <c r="I1373"/>
  <c r="J1373"/>
  <c r="K1373"/>
  <c r="L1373"/>
  <c r="M1373"/>
  <c r="N1373"/>
  <c r="O1373"/>
  <c r="I1376"/>
  <c r="J1376"/>
  <c r="K1376"/>
  <c r="L1376"/>
  <c r="M1376"/>
  <c r="N1376"/>
  <c r="O1376"/>
  <c r="I1377"/>
  <c r="J1377"/>
  <c r="K1377"/>
  <c r="L1377"/>
  <c r="M1377"/>
  <c r="N1377"/>
  <c r="O1377"/>
  <c r="I1378"/>
  <c r="J1378"/>
  <c r="K1378"/>
  <c r="L1378"/>
  <c r="M1378"/>
  <c r="N1378"/>
  <c r="O1378"/>
  <c r="I1379"/>
  <c r="J1379"/>
  <c r="K1379"/>
  <c r="L1379"/>
  <c r="M1379"/>
  <c r="N1379"/>
  <c r="O1379"/>
  <c r="I1380"/>
  <c r="J1380"/>
  <c r="K1380"/>
  <c r="L1380"/>
  <c r="M1380"/>
  <c r="N1380"/>
  <c r="O1380"/>
  <c r="I1381"/>
  <c r="J1381"/>
  <c r="K1381"/>
  <c r="L1381"/>
  <c r="M1381"/>
  <c r="N1381"/>
  <c r="O1381"/>
  <c r="I1382"/>
  <c r="J1382"/>
  <c r="K1382"/>
  <c r="L1382"/>
  <c r="M1382"/>
  <c r="N1382"/>
  <c r="O1382"/>
  <c r="I1383"/>
  <c r="J1383"/>
  <c r="K1383"/>
  <c r="L1383"/>
  <c r="M1383"/>
  <c r="N1383"/>
  <c r="O1383"/>
  <c r="I1384"/>
  <c r="J1384"/>
  <c r="K1384"/>
  <c r="L1384"/>
  <c r="M1384"/>
  <c r="N1384"/>
  <c r="O1384"/>
  <c r="I1385"/>
  <c r="J1385"/>
  <c r="K1385"/>
  <c r="L1385"/>
  <c r="M1385"/>
  <c r="N1385"/>
  <c r="O1385"/>
  <c r="I1386"/>
  <c r="J1386"/>
  <c r="K1386"/>
  <c r="L1386"/>
  <c r="M1386"/>
  <c r="N1386"/>
  <c r="O1386"/>
  <c r="I1387"/>
  <c r="J1387"/>
  <c r="K1387"/>
  <c r="L1387"/>
  <c r="M1387"/>
  <c r="N1387"/>
  <c r="O1387"/>
  <c r="I1388"/>
  <c r="J1388"/>
  <c r="K1388"/>
  <c r="L1388"/>
  <c r="M1388"/>
  <c r="N1388"/>
  <c r="O1388"/>
  <c r="I1390"/>
  <c r="J1390"/>
  <c r="K1390"/>
  <c r="L1390"/>
  <c r="M1390"/>
  <c r="N1390"/>
  <c r="O1390"/>
  <c r="I1391"/>
  <c r="J1391"/>
  <c r="K1391"/>
  <c r="L1391"/>
  <c r="M1391"/>
  <c r="N1391"/>
  <c r="O1391"/>
  <c r="I1392"/>
  <c r="J1392"/>
  <c r="K1392"/>
  <c r="L1392"/>
  <c r="M1392"/>
  <c r="N1392"/>
  <c r="O1392"/>
  <c r="I1393"/>
  <c r="J1393"/>
  <c r="K1393"/>
  <c r="L1393"/>
  <c r="M1393"/>
  <c r="N1393"/>
  <c r="O1393"/>
  <c r="I1396"/>
  <c r="J1396"/>
  <c r="K1396"/>
  <c r="L1396"/>
  <c r="M1396"/>
  <c r="N1396"/>
  <c r="O1396"/>
  <c r="I1397"/>
  <c r="J1397"/>
  <c r="K1397"/>
  <c r="L1397"/>
  <c r="M1397"/>
  <c r="N1397"/>
  <c r="O1397"/>
  <c r="I1398"/>
  <c r="J1398"/>
  <c r="K1398"/>
  <c r="L1398"/>
  <c r="M1398"/>
  <c r="N1398"/>
  <c r="O1398"/>
  <c r="I1399"/>
  <c r="J1399"/>
  <c r="K1399"/>
  <c r="L1399"/>
  <c r="M1399"/>
  <c r="N1399"/>
  <c r="O1399"/>
  <c r="I1400"/>
  <c r="J1400"/>
  <c r="K1400"/>
  <c r="L1400"/>
  <c r="M1400"/>
  <c r="N1400"/>
  <c r="O1400"/>
  <c r="I1401"/>
  <c r="J1401"/>
  <c r="K1401"/>
  <c r="L1401"/>
  <c r="M1401"/>
  <c r="N1401"/>
  <c r="O1401"/>
  <c r="I1402"/>
  <c r="J1402"/>
  <c r="K1402"/>
  <c r="L1402"/>
  <c r="M1402"/>
  <c r="N1402"/>
  <c r="O1402"/>
  <c r="I1403"/>
  <c r="J1403"/>
  <c r="K1403"/>
  <c r="L1403"/>
  <c r="M1403"/>
  <c r="N1403"/>
  <c r="O1403"/>
  <c r="I1404"/>
  <c r="J1404"/>
  <c r="K1404"/>
  <c r="L1404"/>
  <c r="M1404"/>
  <c r="N1404"/>
  <c r="O1404"/>
  <c r="I1405"/>
  <c r="J1405"/>
  <c r="K1405"/>
  <c r="L1405"/>
  <c r="M1405"/>
  <c r="N1405"/>
  <c r="O1405"/>
  <c r="I1406"/>
  <c r="J1406"/>
  <c r="K1406"/>
  <c r="L1406"/>
  <c r="M1406"/>
  <c r="N1406"/>
  <c r="O1406"/>
  <c r="I1407"/>
  <c r="J1407"/>
  <c r="K1407"/>
  <c r="L1407"/>
  <c r="M1407"/>
  <c r="N1407"/>
  <c r="O1407"/>
  <c r="I1408"/>
  <c r="J1408"/>
  <c r="K1408"/>
  <c r="L1408"/>
  <c r="M1408"/>
  <c r="N1408"/>
  <c r="O1408"/>
  <c r="I1410"/>
  <c r="J1410"/>
  <c r="K1410"/>
  <c r="L1410"/>
  <c r="M1410"/>
  <c r="N1410"/>
  <c r="O1410"/>
  <c r="I1411"/>
  <c r="J1411"/>
  <c r="K1411"/>
  <c r="L1411"/>
  <c r="M1411"/>
  <c r="N1411"/>
  <c r="O1411"/>
  <c r="I1412"/>
  <c r="J1412"/>
  <c r="K1412"/>
  <c r="L1412"/>
  <c r="M1412"/>
  <c r="N1412"/>
  <c r="O1412"/>
  <c r="I1413"/>
  <c r="J1413"/>
  <c r="K1413"/>
  <c r="L1413"/>
  <c r="M1413"/>
  <c r="N1413"/>
  <c r="O1413"/>
  <c r="I1416"/>
  <c r="J1416"/>
  <c r="K1416"/>
  <c r="L1416"/>
  <c r="M1416"/>
  <c r="N1416"/>
  <c r="O1416"/>
  <c r="I1417"/>
  <c r="J1417"/>
  <c r="K1417"/>
  <c r="L1417"/>
  <c r="M1417"/>
  <c r="N1417"/>
  <c r="O1417"/>
  <c r="I1418"/>
  <c r="J1418"/>
  <c r="K1418"/>
  <c r="L1418"/>
  <c r="M1418"/>
  <c r="N1418"/>
  <c r="O1418"/>
  <c r="I1419"/>
  <c r="J1419"/>
  <c r="K1419"/>
  <c r="L1419"/>
  <c r="M1419"/>
  <c r="N1419"/>
  <c r="O1419"/>
  <c r="I1420"/>
  <c r="J1420"/>
  <c r="K1420"/>
  <c r="L1420"/>
  <c r="M1420"/>
  <c r="N1420"/>
  <c r="O1420"/>
  <c r="I1421"/>
  <c r="J1421"/>
  <c r="K1421"/>
  <c r="L1421"/>
  <c r="M1421"/>
  <c r="N1421"/>
  <c r="O1421"/>
  <c r="I1422"/>
  <c r="J1422"/>
  <c r="K1422"/>
  <c r="L1422"/>
  <c r="M1422"/>
  <c r="N1422"/>
  <c r="O1422"/>
  <c r="I1423"/>
  <c r="J1423"/>
  <c r="K1423"/>
  <c r="L1423"/>
  <c r="M1423"/>
  <c r="N1423"/>
  <c r="O1423"/>
  <c r="I1424"/>
  <c r="J1424"/>
  <c r="K1424"/>
  <c r="L1424"/>
  <c r="M1424"/>
  <c r="N1424"/>
  <c r="O1424"/>
  <c r="I1425"/>
  <c r="J1425"/>
  <c r="K1425"/>
  <c r="L1425"/>
  <c r="M1425"/>
  <c r="N1425"/>
  <c r="O1425"/>
  <c r="I1426"/>
  <c r="J1426"/>
  <c r="K1426"/>
  <c r="L1426"/>
  <c r="M1426"/>
  <c r="N1426"/>
  <c r="O1426"/>
  <c r="I1427"/>
  <c r="J1427"/>
  <c r="K1427"/>
  <c r="L1427"/>
  <c r="M1427"/>
  <c r="N1427"/>
  <c r="O1427"/>
  <c r="I1428"/>
  <c r="J1428"/>
  <c r="K1428"/>
  <c r="L1428"/>
  <c r="M1428"/>
  <c r="N1428"/>
  <c r="O1428"/>
  <c r="I1430"/>
  <c r="J1430"/>
  <c r="K1430"/>
  <c r="L1430"/>
  <c r="M1430"/>
  <c r="N1430"/>
  <c r="O1430"/>
  <c r="I1431"/>
  <c r="J1431"/>
  <c r="K1431"/>
  <c r="L1431"/>
  <c r="M1431"/>
  <c r="N1431"/>
  <c r="O1431"/>
  <c r="I1432"/>
  <c r="J1432"/>
  <c r="K1432"/>
  <c r="L1432"/>
  <c r="M1432"/>
  <c r="N1432"/>
  <c r="O1432"/>
  <c r="I1433"/>
  <c r="J1433"/>
  <c r="K1433"/>
  <c r="L1433"/>
  <c r="M1433"/>
  <c r="N1433"/>
  <c r="O1433"/>
  <c r="I1436"/>
  <c r="J1436"/>
  <c r="K1436"/>
  <c r="L1436"/>
  <c r="M1436"/>
  <c r="N1436"/>
  <c r="O1436"/>
  <c r="I1437"/>
  <c r="J1437"/>
  <c r="K1437"/>
  <c r="L1437"/>
  <c r="M1437"/>
  <c r="N1437"/>
  <c r="O1437"/>
  <c r="I1438"/>
  <c r="J1438"/>
  <c r="K1438"/>
  <c r="L1438"/>
  <c r="M1438"/>
  <c r="N1438"/>
  <c r="O1438"/>
  <c r="I1439"/>
  <c r="J1439"/>
  <c r="K1439"/>
  <c r="L1439"/>
  <c r="M1439"/>
  <c r="N1439"/>
  <c r="O1439"/>
  <c r="I1440"/>
  <c r="J1440"/>
  <c r="K1440"/>
  <c r="L1440"/>
  <c r="M1440"/>
  <c r="N1440"/>
  <c r="O1440"/>
  <c r="I1441"/>
  <c r="J1441"/>
  <c r="K1441"/>
  <c r="L1441"/>
  <c r="M1441"/>
  <c r="N1441"/>
  <c r="O1441"/>
  <c r="I1442"/>
  <c r="J1442"/>
  <c r="K1442"/>
  <c r="L1442"/>
  <c r="M1442"/>
  <c r="N1442"/>
  <c r="O1442"/>
  <c r="I1443"/>
  <c r="J1443"/>
  <c r="K1443"/>
  <c r="L1443"/>
  <c r="M1443"/>
  <c r="N1443"/>
  <c r="O1443"/>
  <c r="I1444"/>
  <c r="J1444"/>
  <c r="K1444"/>
  <c r="L1444"/>
  <c r="M1444"/>
  <c r="N1444"/>
  <c r="O1444"/>
  <c r="I1445"/>
  <c r="J1445"/>
  <c r="K1445"/>
  <c r="L1445"/>
  <c r="M1445"/>
  <c r="N1445"/>
  <c r="O1445"/>
  <c r="I1446"/>
  <c r="J1446"/>
  <c r="K1446"/>
  <c r="L1446"/>
  <c r="M1446"/>
  <c r="N1446"/>
  <c r="O1446"/>
  <c r="I1447"/>
  <c r="J1447"/>
  <c r="K1447"/>
  <c r="L1447"/>
  <c r="M1447"/>
  <c r="N1447"/>
  <c r="O1447"/>
  <c r="I1448"/>
  <c r="J1448"/>
  <c r="K1448"/>
  <c r="L1448"/>
  <c r="M1448"/>
  <c r="N1448"/>
  <c r="O1448"/>
  <c r="I1450"/>
  <c r="J1450"/>
  <c r="K1450"/>
  <c r="L1450"/>
  <c r="M1450"/>
  <c r="N1450"/>
  <c r="O1450"/>
  <c r="I1451"/>
  <c r="J1451"/>
  <c r="K1451"/>
  <c r="L1451"/>
  <c r="M1451"/>
  <c r="N1451"/>
  <c r="O1451"/>
  <c r="I1452"/>
  <c r="J1452"/>
  <c r="K1452"/>
  <c r="L1452"/>
  <c r="M1452"/>
  <c r="N1452"/>
  <c r="O1452"/>
  <c r="I1453"/>
  <c r="J1453"/>
  <c r="K1453"/>
  <c r="L1453"/>
  <c r="M1453"/>
  <c r="N1453"/>
  <c r="O1453"/>
  <c r="I1456"/>
  <c r="J1456"/>
  <c r="K1456"/>
  <c r="L1456"/>
  <c r="M1456"/>
  <c r="N1456"/>
  <c r="O1456"/>
  <c r="I1457"/>
  <c r="J1457"/>
  <c r="K1457"/>
  <c r="L1457"/>
  <c r="M1457"/>
  <c r="N1457"/>
  <c r="O1457"/>
  <c r="I1458"/>
  <c r="J1458"/>
  <c r="K1458"/>
  <c r="L1458"/>
  <c r="M1458"/>
  <c r="N1458"/>
  <c r="O1458"/>
  <c r="I1459"/>
  <c r="J1459"/>
  <c r="K1459"/>
  <c r="L1459"/>
  <c r="M1459"/>
  <c r="N1459"/>
  <c r="O1459"/>
  <c r="I1460"/>
  <c r="J1460"/>
  <c r="K1460"/>
  <c r="L1460"/>
  <c r="M1460"/>
  <c r="N1460"/>
  <c r="O1460"/>
  <c r="I1461"/>
  <c r="J1461"/>
  <c r="K1461"/>
  <c r="L1461"/>
  <c r="M1461"/>
  <c r="N1461"/>
  <c r="O1461"/>
  <c r="I1462"/>
  <c r="J1462"/>
  <c r="K1462"/>
  <c r="L1462"/>
  <c r="M1462"/>
  <c r="N1462"/>
  <c r="O1462"/>
  <c r="I1463"/>
  <c r="J1463"/>
  <c r="K1463"/>
  <c r="L1463"/>
  <c r="M1463"/>
  <c r="N1463"/>
  <c r="O1463"/>
  <c r="I1464"/>
  <c r="J1464"/>
  <c r="K1464"/>
  <c r="L1464"/>
  <c r="M1464"/>
  <c r="N1464"/>
  <c r="O1464"/>
  <c r="I1465"/>
  <c r="J1465"/>
  <c r="K1465"/>
  <c r="L1465"/>
  <c r="M1465"/>
  <c r="N1465"/>
  <c r="O1465"/>
  <c r="I1466"/>
  <c r="J1466"/>
  <c r="K1466"/>
  <c r="L1466"/>
  <c r="M1466"/>
  <c r="N1466"/>
  <c r="O1466"/>
  <c r="I1467"/>
  <c r="J1467"/>
  <c r="K1467"/>
  <c r="L1467"/>
  <c r="M1467"/>
  <c r="N1467"/>
  <c r="O1467"/>
  <c r="I1468"/>
  <c r="J1468"/>
  <c r="K1468"/>
  <c r="L1468"/>
  <c r="M1468"/>
  <c r="N1468"/>
  <c r="O1468"/>
  <c r="I1470"/>
  <c r="J1470"/>
  <c r="K1470"/>
  <c r="L1470"/>
  <c r="M1470"/>
  <c r="N1470"/>
  <c r="O1470"/>
  <c r="I1471"/>
  <c r="J1471"/>
  <c r="K1471"/>
  <c r="L1471"/>
  <c r="M1471"/>
  <c r="N1471"/>
  <c r="O1471"/>
  <c r="I1472"/>
  <c r="J1472"/>
  <c r="K1472"/>
  <c r="L1472"/>
  <c r="M1472"/>
  <c r="N1472"/>
  <c r="O1472"/>
  <c r="I1473"/>
  <c r="J1473"/>
  <c r="K1473"/>
  <c r="L1473"/>
  <c r="M1473"/>
  <c r="N1473"/>
  <c r="O1473"/>
  <c r="I1476"/>
  <c r="J1476"/>
  <c r="K1476"/>
  <c r="L1476"/>
  <c r="M1476"/>
  <c r="N1476"/>
  <c r="O1476"/>
  <c r="I1477"/>
  <c r="J1477"/>
  <c r="K1477"/>
  <c r="L1477"/>
  <c r="M1477"/>
  <c r="N1477"/>
  <c r="O1477"/>
  <c r="I1478"/>
  <c r="J1478"/>
  <c r="K1478"/>
  <c r="L1478"/>
  <c r="M1478"/>
  <c r="N1478"/>
  <c r="O1478"/>
  <c r="I1479"/>
  <c r="J1479"/>
  <c r="K1479"/>
  <c r="L1479"/>
  <c r="M1479"/>
  <c r="N1479"/>
  <c r="O1479"/>
  <c r="I1480"/>
  <c r="J1480"/>
  <c r="K1480"/>
  <c r="L1480"/>
  <c r="M1480"/>
  <c r="N1480"/>
  <c r="O1480"/>
  <c r="I1481"/>
  <c r="J1481"/>
  <c r="K1481"/>
  <c r="L1481"/>
  <c r="M1481"/>
  <c r="N1481"/>
  <c r="O1481"/>
  <c r="I1482"/>
  <c r="J1482"/>
  <c r="K1482"/>
  <c r="L1482"/>
  <c r="M1482"/>
  <c r="N1482"/>
  <c r="O1482"/>
  <c r="I1483"/>
  <c r="J1483"/>
  <c r="K1483"/>
  <c r="L1483"/>
  <c r="M1483"/>
  <c r="N1483"/>
  <c r="O1483"/>
  <c r="I1484"/>
  <c r="J1484"/>
  <c r="K1484"/>
  <c r="L1484"/>
  <c r="M1484"/>
  <c r="N1484"/>
  <c r="O1484"/>
  <c r="I1485"/>
  <c r="J1485"/>
  <c r="K1485"/>
  <c r="L1485"/>
  <c r="M1485"/>
  <c r="N1485"/>
  <c r="O1485"/>
  <c r="I1486"/>
  <c r="J1486"/>
  <c r="K1486"/>
  <c r="L1486"/>
  <c r="M1486"/>
  <c r="N1486"/>
  <c r="O1486"/>
  <c r="I1487"/>
  <c r="J1487"/>
  <c r="K1487"/>
  <c r="L1487"/>
  <c r="M1487"/>
  <c r="N1487"/>
  <c r="O1487"/>
  <c r="I1488"/>
  <c r="J1488"/>
  <c r="K1488"/>
  <c r="L1488"/>
  <c r="M1488"/>
  <c r="N1488"/>
  <c r="O1488"/>
  <c r="I1490"/>
  <c r="J1490"/>
  <c r="K1490"/>
  <c r="L1490"/>
  <c r="M1490"/>
  <c r="N1490"/>
  <c r="O1490"/>
  <c r="I1491"/>
  <c r="J1491"/>
  <c r="K1491"/>
  <c r="L1491"/>
  <c r="M1491"/>
  <c r="N1491"/>
  <c r="O1491"/>
  <c r="I1492"/>
  <c r="J1492"/>
  <c r="K1492"/>
  <c r="L1492"/>
  <c r="M1492"/>
  <c r="N1492"/>
  <c r="O1492"/>
  <c r="I1493"/>
  <c r="J1493"/>
  <c r="K1493"/>
  <c r="L1493"/>
  <c r="M1493"/>
  <c r="N1493"/>
  <c r="O1493"/>
  <c r="I1496"/>
  <c r="J1496"/>
  <c r="K1496"/>
  <c r="L1496"/>
  <c r="M1496"/>
  <c r="N1496"/>
  <c r="O1496"/>
  <c r="I1497"/>
  <c r="J1497"/>
  <c r="K1497"/>
  <c r="L1497"/>
  <c r="M1497"/>
  <c r="N1497"/>
  <c r="O1497"/>
  <c r="I1498"/>
  <c r="J1498"/>
  <c r="K1498"/>
  <c r="L1498"/>
  <c r="M1498"/>
  <c r="N1498"/>
  <c r="O1498"/>
  <c r="I1499"/>
  <c r="J1499"/>
  <c r="K1499"/>
  <c r="L1499"/>
  <c r="M1499"/>
  <c r="N1499"/>
  <c r="O1499"/>
  <c r="I1500"/>
  <c r="J1500"/>
  <c r="K1500"/>
  <c r="L1500"/>
  <c r="M1500"/>
  <c r="N1500"/>
  <c r="O1500"/>
  <c r="I1501"/>
  <c r="J1501"/>
  <c r="K1501"/>
  <c r="L1501"/>
  <c r="M1501"/>
  <c r="N1501"/>
  <c r="O1501"/>
  <c r="I1502"/>
  <c r="J1502"/>
  <c r="K1502"/>
  <c r="L1502"/>
  <c r="M1502"/>
  <c r="N1502"/>
  <c r="O1502"/>
  <c r="I1503"/>
  <c r="J1503"/>
  <c r="K1503"/>
  <c r="L1503"/>
  <c r="M1503"/>
  <c r="N1503"/>
  <c r="O1503"/>
  <c r="I1504"/>
  <c r="J1504"/>
  <c r="K1504"/>
  <c r="L1504"/>
  <c r="M1504"/>
  <c r="N1504"/>
  <c r="O1504"/>
  <c r="I1505"/>
  <c r="J1505"/>
  <c r="K1505"/>
  <c r="L1505"/>
  <c r="M1505"/>
  <c r="N1505"/>
  <c r="O1505"/>
  <c r="I1506"/>
  <c r="J1506"/>
  <c r="K1506"/>
  <c r="L1506"/>
  <c r="M1506"/>
  <c r="N1506"/>
  <c r="O1506"/>
  <c r="I1507"/>
  <c r="J1507"/>
  <c r="K1507"/>
  <c r="L1507"/>
  <c r="M1507"/>
  <c r="N1507"/>
  <c r="O1507"/>
  <c r="I1508"/>
  <c r="J1508"/>
  <c r="K1508"/>
  <c r="L1508"/>
  <c r="M1508"/>
  <c r="N1508"/>
  <c r="O1508"/>
  <c r="I1510"/>
  <c r="J1510"/>
  <c r="K1510"/>
  <c r="L1510"/>
  <c r="M1510"/>
  <c r="N1510"/>
  <c r="O1510"/>
  <c r="I1511"/>
  <c r="J1511"/>
  <c r="K1511"/>
  <c r="L1511"/>
  <c r="M1511"/>
  <c r="N1511"/>
  <c r="O1511"/>
  <c r="I1512"/>
  <c r="J1512"/>
  <c r="K1512"/>
  <c r="L1512"/>
  <c r="M1512"/>
  <c r="N1512"/>
  <c r="O1512"/>
  <c r="I1513"/>
  <c r="J1513"/>
  <c r="K1513"/>
  <c r="L1513"/>
  <c r="M1513"/>
  <c r="N1513"/>
  <c r="O1513"/>
  <c r="I1516"/>
  <c r="J1516"/>
  <c r="K1516"/>
  <c r="L1516"/>
  <c r="M1516"/>
  <c r="N1516"/>
  <c r="O1516"/>
  <c r="I1517"/>
  <c r="J1517"/>
  <c r="K1517"/>
  <c r="L1517"/>
  <c r="M1517"/>
  <c r="N1517"/>
  <c r="O1517"/>
  <c r="I1518"/>
  <c r="J1518"/>
  <c r="K1518"/>
  <c r="L1518"/>
  <c r="M1518"/>
  <c r="N1518"/>
  <c r="O1518"/>
  <c r="I1519"/>
  <c r="J1519"/>
  <c r="K1519"/>
  <c r="L1519"/>
  <c r="M1519"/>
  <c r="N1519"/>
  <c r="O1519"/>
  <c r="I1520"/>
  <c r="J1520"/>
  <c r="K1520"/>
  <c r="L1520"/>
  <c r="M1520"/>
  <c r="N1520"/>
  <c r="O1520"/>
  <c r="I1521"/>
  <c r="J1521"/>
  <c r="K1521"/>
  <c r="L1521"/>
  <c r="M1521"/>
  <c r="N1521"/>
  <c r="O1521"/>
  <c r="I1522"/>
  <c r="J1522"/>
  <c r="K1522"/>
  <c r="L1522"/>
  <c r="M1522"/>
  <c r="N1522"/>
  <c r="O1522"/>
  <c r="I1523"/>
  <c r="J1523"/>
  <c r="K1523"/>
  <c r="L1523"/>
  <c r="M1523"/>
  <c r="N1523"/>
  <c r="O1523"/>
  <c r="I1524"/>
  <c r="J1524"/>
  <c r="K1524"/>
  <c r="L1524"/>
  <c r="M1524"/>
  <c r="N1524"/>
  <c r="O1524"/>
  <c r="I1525"/>
  <c r="J1525"/>
  <c r="K1525"/>
  <c r="L1525"/>
  <c r="M1525"/>
  <c r="N1525"/>
  <c r="O1525"/>
  <c r="I1526"/>
  <c r="J1526"/>
  <c r="K1526"/>
  <c r="L1526"/>
  <c r="M1526"/>
  <c r="N1526"/>
  <c r="O1526"/>
  <c r="I1527"/>
  <c r="J1527"/>
  <c r="K1527"/>
  <c r="L1527"/>
  <c r="M1527"/>
  <c r="N1527"/>
  <c r="O1527"/>
  <c r="I1528"/>
  <c r="J1528"/>
  <c r="K1528"/>
  <c r="L1528"/>
  <c r="M1528"/>
  <c r="N1528"/>
  <c r="O1528"/>
  <c r="I1530"/>
  <c r="J1530"/>
  <c r="K1530"/>
  <c r="L1530"/>
  <c r="M1530"/>
  <c r="N1530"/>
  <c r="O1530"/>
  <c r="I1531"/>
  <c r="J1531"/>
  <c r="K1531"/>
  <c r="L1531"/>
  <c r="M1531"/>
  <c r="N1531"/>
  <c r="O1531"/>
  <c r="I1532"/>
  <c r="J1532"/>
  <c r="K1532"/>
  <c r="L1532"/>
  <c r="M1532"/>
  <c r="N1532"/>
  <c r="O1532"/>
  <c r="I1533"/>
  <c r="J1533"/>
  <c r="K1533"/>
  <c r="L1533"/>
  <c r="M1533"/>
  <c r="N1533"/>
  <c r="O1533"/>
  <c r="I1536"/>
  <c r="J1536"/>
  <c r="K1536"/>
  <c r="L1536"/>
  <c r="M1536"/>
  <c r="N1536"/>
  <c r="O1536"/>
  <c r="I1537"/>
  <c r="J1537"/>
  <c r="K1537"/>
  <c r="L1537"/>
  <c r="M1537"/>
  <c r="N1537"/>
  <c r="O1537"/>
  <c r="I1538"/>
  <c r="J1538"/>
  <c r="K1538"/>
  <c r="L1538"/>
  <c r="M1538"/>
  <c r="N1538"/>
  <c r="O1538"/>
  <c r="I1539"/>
  <c r="J1539"/>
  <c r="K1539"/>
  <c r="L1539"/>
  <c r="M1539"/>
  <c r="N1539"/>
  <c r="O1539"/>
  <c r="I1540"/>
  <c r="J1540"/>
  <c r="K1540"/>
  <c r="L1540"/>
  <c r="M1540"/>
  <c r="N1540"/>
  <c r="O1540"/>
  <c r="I1541"/>
  <c r="J1541"/>
  <c r="K1541"/>
  <c r="L1541"/>
  <c r="M1541"/>
  <c r="N1541"/>
  <c r="O1541"/>
  <c r="I1542"/>
  <c r="J1542"/>
  <c r="K1542"/>
  <c r="L1542"/>
  <c r="M1542"/>
  <c r="N1542"/>
  <c r="O1542"/>
  <c r="I1543"/>
  <c r="J1543"/>
  <c r="K1543"/>
  <c r="L1543"/>
  <c r="M1543"/>
  <c r="N1543"/>
  <c r="O1543"/>
  <c r="I1544"/>
  <c r="J1544"/>
  <c r="K1544"/>
  <c r="L1544"/>
  <c r="M1544"/>
  <c r="N1544"/>
  <c r="O1544"/>
  <c r="I1545"/>
  <c r="J1545"/>
  <c r="K1545"/>
  <c r="L1545"/>
  <c r="M1545"/>
  <c r="N1545"/>
  <c r="O1545"/>
  <c r="I1546"/>
  <c r="J1546"/>
  <c r="K1546"/>
  <c r="L1546"/>
  <c r="M1546"/>
  <c r="N1546"/>
  <c r="O1546"/>
  <c r="I1547"/>
  <c r="J1547"/>
  <c r="K1547"/>
  <c r="L1547"/>
  <c r="M1547"/>
  <c r="N1547"/>
  <c r="O1547"/>
  <c r="I1548"/>
  <c r="J1548"/>
  <c r="K1548"/>
  <c r="L1548"/>
  <c r="M1548"/>
  <c r="N1548"/>
  <c r="O1548"/>
  <c r="I1550"/>
  <c r="J1550"/>
  <c r="K1550"/>
  <c r="L1550"/>
  <c r="M1550"/>
  <c r="N1550"/>
  <c r="O1550"/>
  <c r="I1551"/>
  <c r="J1551"/>
  <c r="K1551"/>
  <c r="L1551"/>
  <c r="M1551"/>
  <c r="N1551"/>
  <c r="O1551"/>
  <c r="I1552"/>
  <c r="J1552"/>
  <c r="K1552"/>
  <c r="L1552"/>
  <c r="M1552"/>
  <c r="N1552"/>
  <c r="O1552"/>
  <c r="I1553"/>
  <c r="J1553"/>
  <c r="K1553"/>
  <c r="L1553"/>
  <c r="M1553"/>
  <c r="N1553"/>
  <c r="O1553"/>
  <c r="I1556"/>
  <c r="J1556"/>
  <c r="K1556"/>
  <c r="L1556"/>
  <c r="M1556"/>
  <c r="N1556"/>
  <c r="O1556"/>
  <c r="I1557"/>
  <c r="J1557"/>
  <c r="K1557"/>
  <c r="L1557"/>
  <c r="M1557"/>
  <c r="N1557"/>
  <c r="O1557"/>
  <c r="I1558"/>
  <c r="J1558"/>
  <c r="K1558"/>
  <c r="L1558"/>
  <c r="M1558"/>
  <c r="N1558"/>
  <c r="O1558"/>
  <c r="I1559"/>
  <c r="J1559"/>
  <c r="K1559"/>
  <c r="L1559"/>
  <c r="M1559"/>
  <c r="N1559"/>
  <c r="O1559"/>
  <c r="I1560"/>
  <c r="J1560"/>
  <c r="K1560"/>
  <c r="L1560"/>
  <c r="M1560"/>
  <c r="N1560"/>
  <c r="O1560"/>
  <c r="I1561"/>
  <c r="J1561"/>
  <c r="K1561"/>
  <c r="L1561"/>
  <c r="M1561"/>
  <c r="N1561"/>
  <c r="O1561"/>
  <c r="I1562"/>
  <c r="J1562"/>
  <c r="K1562"/>
  <c r="L1562"/>
  <c r="M1562"/>
  <c r="N1562"/>
  <c r="O1562"/>
  <c r="I1563"/>
  <c r="J1563"/>
  <c r="K1563"/>
  <c r="L1563"/>
  <c r="M1563"/>
  <c r="N1563"/>
  <c r="O1563"/>
  <c r="I1564"/>
  <c r="J1564"/>
  <c r="K1564"/>
  <c r="L1564"/>
  <c r="M1564"/>
  <c r="N1564"/>
  <c r="O1564"/>
  <c r="I1565"/>
  <c r="J1565"/>
  <c r="K1565"/>
  <c r="L1565"/>
  <c r="M1565"/>
  <c r="N1565"/>
  <c r="O1565"/>
  <c r="I1566"/>
  <c r="J1566"/>
  <c r="K1566"/>
  <c r="L1566"/>
  <c r="M1566"/>
  <c r="N1566"/>
  <c r="O1566"/>
  <c r="I1567"/>
  <c r="J1567"/>
  <c r="K1567"/>
  <c r="L1567"/>
  <c r="M1567"/>
  <c r="N1567"/>
  <c r="O1567"/>
  <c r="I1568"/>
  <c r="J1568"/>
  <c r="K1568"/>
  <c r="L1568"/>
  <c r="M1568"/>
  <c r="N1568"/>
  <c r="O1568"/>
  <c r="I1570"/>
  <c r="J1570"/>
  <c r="K1570"/>
  <c r="L1570"/>
  <c r="M1570"/>
  <c r="N1570"/>
  <c r="O1570"/>
  <c r="I1571"/>
  <c r="J1571"/>
  <c r="K1571"/>
  <c r="L1571"/>
  <c r="M1571"/>
  <c r="N1571"/>
  <c r="O1571"/>
  <c r="I1572"/>
  <c r="J1572"/>
  <c r="K1572"/>
  <c r="L1572"/>
  <c r="M1572"/>
  <c r="N1572"/>
  <c r="O1572"/>
  <c r="I1573"/>
  <c r="J1573"/>
  <c r="K1573"/>
  <c r="L1573"/>
  <c r="M1573"/>
  <c r="N1573"/>
  <c r="O1573"/>
  <c r="I1576"/>
  <c r="J1576"/>
  <c r="K1576"/>
  <c r="L1576"/>
  <c r="M1576"/>
  <c r="N1576"/>
  <c r="O1576"/>
  <c r="I1577"/>
  <c r="J1577"/>
  <c r="K1577"/>
  <c r="L1577"/>
  <c r="M1577"/>
  <c r="N1577"/>
  <c r="O1577"/>
  <c r="I1578"/>
  <c r="J1578"/>
  <c r="K1578"/>
  <c r="L1578"/>
  <c r="M1578"/>
  <c r="N1578"/>
  <c r="O1578"/>
  <c r="I1579"/>
  <c r="J1579"/>
  <c r="K1579"/>
  <c r="L1579"/>
  <c r="M1579"/>
  <c r="N1579"/>
  <c r="O1579"/>
  <c r="I1580"/>
  <c r="J1580"/>
  <c r="K1580"/>
  <c r="L1580"/>
  <c r="M1580"/>
  <c r="N1580"/>
  <c r="O1580"/>
  <c r="I1581"/>
  <c r="J1581"/>
  <c r="K1581"/>
  <c r="L1581"/>
  <c r="M1581"/>
  <c r="N1581"/>
  <c r="O1581"/>
  <c r="I1582"/>
  <c r="J1582"/>
  <c r="K1582"/>
  <c r="L1582"/>
  <c r="M1582"/>
  <c r="N1582"/>
  <c r="O1582"/>
  <c r="I1583"/>
  <c r="J1583"/>
  <c r="K1583"/>
  <c r="L1583"/>
  <c r="M1583"/>
  <c r="N1583"/>
  <c r="O1583"/>
  <c r="I1584"/>
  <c r="J1584"/>
  <c r="K1584"/>
  <c r="L1584"/>
  <c r="M1584"/>
  <c r="N1584"/>
  <c r="O1584"/>
  <c r="I1585"/>
  <c r="J1585"/>
  <c r="K1585"/>
  <c r="L1585"/>
  <c r="M1585"/>
  <c r="N1585"/>
  <c r="O1585"/>
  <c r="I1586"/>
  <c r="J1586"/>
  <c r="K1586"/>
  <c r="L1586"/>
  <c r="M1586"/>
  <c r="N1586"/>
  <c r="O1586"/>
  <c r="I1587"/>
  <c r="J1587"/>
  <c r="K1587"/>
  <c r="L1587"/>
  <c r="M1587"/>
  <c r="N1587"/>
  <c r="O1587"/>
  <c r="I1588"/>
  <c r="J1588"/>
  <c r="K1588"/>
  <c r="L1588"/>
  <c r="M1588"/>
  <c r="N1588"/>
  <c r="O1588"/>
  <c r="I1590"/>
  <c r="J1590"/>
  <c r="K1590"/>
  <c r="L1590"/>
  <c r="M1590"/>
  <c r="N1590"/>
  <c r="O1590"/>
  <c r="I1591"/>
  <c r="J1591"/>
  <c r="K1591"/>
  <c r="L1591"/>
  <c r="M1591"/>
  <c r="N1591"/>
  <c r="O1591"/>
  <c r="I1592"/>
  <c r="J1592"/>
  <c r="K1592"/>
  <c r="L1592"/>
  <c r="M1592"/>
  <c r="N1592"/>
  <c r="O1592"/>
  <c r="I1593"/>
  <c r="J1593"/>
  <c r="K1593"/>
  <c r="L1593"/>
  <c r="M1593"/>
  <c r="N1593"/>
  <c r="O1593"/>
  <c r="I1596"/>
  <c r="J1596"/>
  <c r="K1596"/>
  <c r="L1596"/>
  <c r="M1596"/>
  <c r="N1596"/>
  <c r="O1596"/>
  <c r="I1597"/>
  <c r="J1597"/>
  <c r="K1597"/>
  <c r="L1597"/>
  <c r="M1597"/>
  <c r="N1597"/>
  <c r="O1597"/>
  <c r="I1598"/>
  <c r="J1598"/>
  <c r="K1598"/>
  <c r="L1598"/>
  <c r="M1598"/>
  <c r="N1598"/>
  <c r="O1598"/>
  <c r="I1599"/>
  <c r="J1599"/>
  <c r="K1599"/>
  <c r="L1599"/>
  <c r="M1599"/>
  <c r="N1599"/>
  <c r="O1599"/>
  <c r="I1600"/>
  <c r="J1600"/>
  <c r="K1600"/>
  <c r="L1600"/>
  <c r="M1600"/>
  <c r="N1600"/>
  <c r="O1600"/>
  <c r="I1601"/>
  <c r="J1601"/>
  <c r="K1601"/>
  <c r="L1601"/>
  <c r="M1601"/>
  <c r="N1601"/>
  <c r="O1601"/>
  <c r="I1602"/>
  <c r="J1602"/>
  <c r="K1602"/>
  <c r="L1602"/>
  <c r="M1602"/>
  <c r="N1602"/>
  <c r="O1602"/>
  <c r="I1603"/>
  <c r="J1603"/>
  <c r="K1603"/>
  <c r="L1603"/>
  <c r="M1603"/>
  <c r="N1603"/>
  <c r="O1603"/>
  <c r="I1604"/>
  <c r="J1604"/>
  <c r="K1604"/>
  <c r="L1604"/>
  <c r="M1604"/>
  <c r="N1604"/>
  <c r="O1604"/>
  <c r="I1605"/>
  <c r="J1605"/>
  <c r="K1605"/>
  <c r="L1605"/>
  <c r="M1605"/>
  <c r="N1605"/>
  <c r="O1605"/>
  <c r="I1606"/>
  <c r="J1606"/>
  <c r="K1606"/>
  <c r="L1606"/>
  <c r="M1606"/>
  <c r="N1606"/>
  <c r="O1606"/>
  <c r="I1607"/>
  <c r="J1607"/>
  <c r="K1607"/>
  <c r="L1607"/>
  <c r="M1607"/>
  <c r="N1607"/>
  <c r="O1607"/>
  <c r="I1608"/>
  <c r="J1608"/>
  <c r="K1608"/>
  <c r="L1608"/>
  <c r="M1608"/>
  <c r="N1608"/>
  <c r="O1608"/>
  <c r="I1610"/>
  <c r="J1610"/>
  <c r="K1610"/>
  <c r="L1610"/>
  <c r="M1610"/>
  <c r="N1610"/>
  <c r="O1610"/>
  <c r="I1611"/>
  <c r="J1611"/>
  <c r="K1611"/>
  <c r="L1611"/>
  <c r="M1611"/>
  <c r="N1611"/>
  <c r="O1611"/>
  <c r="I1612"/>
  <c r="J1612"/>
  <c r="K1612"/>
  <c r="L1612"/>
  <c r="M1612"/>
  <c r="N1612"/>
  <c r="O1612"/>
  <c r="I1613"/>
  <c r="J1613"/>
  <c r="K1613"/>
  <c r="L1613"/>
  <c r="M1613"/>
  <c r="N1613"/>
  <c r="O1613"/>
  <c r="I1616"/>
  <c r="J1616"/>
  <c r="K1616"/>
  <c r="L1616"/>
  <c r="M1616"/>
  <c r="N1616"/>
  <c r="O1616"/>
  <c r="I1617"/>
  <c r="J1617"/>
  <c r="K1617"/>
  <c r="L1617"/>
  <c r="M1617"/>
  <c r="N1617"/>
  <c r="O1617"/>
  <c r="I1618"/>
  <c r="J1618"/>
  <c r="K1618"/>
  <c r="L1618"/>
  <c r="M1618"/>
  <c r="N1618"/>
  <c r="O1618"/>
  <c r="I1619"/>
  <c r="J1619"/>
  <c r="K1619"/>
  <c r="L1619"/>
  <c r="M1619"/>
  <c r="N1619"/>
  <c r="O1619"/>
  <c r="I1620"/>
  <c r="J1620"/>
  <c r="K1620"/>
  <c r="L1620"/>
  <c r="M1620"/>
  <c r="N1620"/>
  <c r="O1620"/>
  <c r="I1621"/>
  <c r="J1621"/>
  <c r="K1621"/>
  <c r="L1621"/>
  <c r="M1621"/>
  <c r="N1621"/>
  <c r="O1621"/>
  <c r="I1622"/>
  <c r="J1622"/>
  <c r="K1622"/>
  <c r="L1622"/>
  <c r="M1622"/>
  <c r="N1622"/>
  <c r="O1622"/>
  <c r="I1623"/>
  <c r="J1623"/>
  <c r="K1623"/>
  <c r="L1623"/>
  <c r="M1623"/>
  <c r="N1623"/>
  <c r="O1623"/>
  <c r="I1624"/>
  <c r="J1624"/>
  <c r="K1624"/>
  <c r="L1624"/>
  <c r="M1624"/>
  <c r="N1624"/>
  <c r="O1624"/>
  <c r="I1625"/>
  <c r="J1625"/>
  <c r="K1625"/>
  <c r="L1625"/>
  <c r="M1625"/>
  <c r="N1625"/>
  <c r="O1625"/>
  <c r="I1626"/>
  <c r="J1626"/>
  <c r="K1626"/>
  <c r="L1626"/>
  <c r="M1626"/>
  <c r="N1626"/>
  <c r="O1626"/>
  <c r="I1627"/>
  <c r="J1627"/>
  <c r="K1627"/>
  <c r="L1627"/>
  <c r="M1627"/>
  <c r="N1627"/>
  <c r="O1627"/>
  <c r="I1628"/>
  <c r="J1628"/>
  <c r="K1628"/>
  <c r="L1628"/>
  <c r="M1628"/>
  <c r="N1628"/>
  <c r="O1628"/>
  <c r="I1630"/>
  <c r="J1630"/>
  <c r="K1630"/>
  <c r="L1630"/>
  <c r="M1630"/>
  <c r="N1630"/>
  <c r="O1630"/>
  <c r="I1631"/>
  <c r="J1631"/>
  <c r="K1631"/>
  <c r="L1631"/>
  <c r="M1631"/>
  <c r="N1631"/>
  <c r="O1631"/>
  <c r="I1632"/>
  <c r="J1632"/>
  <c r="K1632"/>
  <c r="L1632"/>
  <c r="M1632"/>
  <c r="N1632"/>
  <c r="O1632"/>
  <c r="I1633"/>
  <c r="J1633"/>
  <c r="K1633"/>
  <c r="L1633"/>
  <c r="M1633"/>
  <c r="N1633"/>
  <c r="O1633"/>
  <c r="I1636"/>
  <c r="J1636"/>
  <c r="K1636"/>
  <c r="L1636"/>
  <c r="M1636"/>
  <c r="N1636"/>
  <c r="O1636"/>
  <c r="I1637"/>
  <c r="J1637"/>
  <c r="K1637"/>
  <c r="L1637"/>
  <c r="M1637"/>
  <c r="N1637"/>
  <c r="O1637"/>
  <c r="I1638"/>
  <c r="J1638"/>
  <c r="K1638"/>
  <c r="L1638"/>
  <c r="M1638"/>
  <c r="N1638"/>
  <c r="O1638"/>
  <c r="I1639"/>
  <c r="J1639"/>
  <c r="K1639"/>
  <c r="L1639"/>
  <c r="M1639"/>
  <c r="N1639"/>
  <c r="O1639"/>
  <c r="I1640"/>
  <c r="J1640"/>
  <c r="K1640"/>
  <c r="L1640"/>
  <c r="M1640"/>
  <c r="N1640"/>
  <c r="O1640"/>
  <c r="I1641"/>
  <c r="J1641"/>
  <c r="K1641"/>
  <c r="L1641"/>
  <c r="M1641"/>
  <c r="N1641"/>
  <c r="O1641"/>
  <c r="I1642"/>
  <c r="J1642"/>
  <c r="K1642"/>
  <c r="L1642"/>
  <c r="M1642"/>
  <c r="N1642"/>
  <c r="O1642"/>
  <c r="I1643"/>
  <c r="J1643"/>
  <c r="K1643"/>
  <c r="L1643"/>
  <c r="M1643"/>
  <c r="N1643"/>
  <c r="O1643"/>
  <c r="I1644"/>
  <c r="J1644"/>
  <c r="K1644"/>
  <c r="L1644"/>
  <c r="M1644"/>
  <c r="N1644"/>
  <c r="O1644"/>
  <c r="I1645"/>
  <c r="J1645"/>
  <c r="K1645"/>
  <c r="L1645"/>
  <c r="M1645"/>
  <c r="N1645"/>
  <c r="O1645"/>
  <c r="I1646"/>
  <c r="J1646"/>
  <c r="K1646"/>
  <c r="L1646"/>
  <c r="M1646"/>
  <c r="N1646"/>
  <c r="O1646"/>
  <c r="I1647"/>
  <c r="J1647"/>
  <c r="K1647"/>
  <c r="L1647"/>
  <c r="M1647"/>
  <c r="N1647"/>
  <c r="O1647"/>
  <c r="I1648"/>
  <c r="J1648"/>
  <c r="K1648"/>
  <c r="L1648"/>
  <c r="M1648"/>
  <c r="N1648"/>
  <c r="O1648"/>
  <c r="I1650"/>
  <c r="J1650"/>
  <c r="K1650"/>
  <c r="L1650"/>
  <c r="M1650"/>
  <c r="N1650"/>
  <c r="O1650"/>
  <c r="I1651"/>
  <c r="J1651"/>
  <c r="K1651"/>
  <c r="L1651"/>
  <c r="M1651"/>
  <c r="N1651"/>
  <c r="O1651"/>
  <c r="I1652"/>
  <c r="J1652"/>
  <c r="K1652"/>
  <c r="L1652"/>
  <c r="M1652"/>
  <c r="N1652"/>
  <c r="O1652"/>
  <c r="I1653"/>
  <c r="J1653"/>
  <c r="K1653"/>
  <c r="L1653"/>
  <c r="M1653"/>
  <c r="N1653"/>
  <c r="O1653"/>
  <c r="I1656"/>
  <c r="J1656"/>
  <c r="K1656"/>
  <c r="L1656"/>
  <c r="M1656"/>
  <c r="N1656"/>
  <c r="O1656"/>
  <c r="I1657"/>
  <c r="J1657"/>
  <c r="K1657"/>
  <c r="L1657"/>
  <c r="M1657"/>
  <c r="N1657"/>
  <c r="O1657"/>
  <c r="I1658"/>
  <c r="J1658"/>
  <c r="K1658"/>
  <c r="L1658"/>
  <c r="M1658"/>
  <c r="N1658"/>
  <c r="O1658"/>
  <c r="I1659"/>
  <c r="J1659"/>
  <c r="K1659"/>
  <c r="L1659"/>
  <c r="M1659"/>
  <c r="N1659"/>
  <c r="O1659"/>
  <c r="I1660"/>
  <c r="J1660"/>
  <c r="K1660"/>
  <c r="L1660"/>
  <c r="M1660"/>
  <c r="N1660"/>
  <c r="O1660"/>
  <c r="I1661"/>
  <c r="J1661"/>
  <c r="K1661"/>
  <c r="L1661"/>
  <c r="M1661"/>
  <c r="N1661"/>
  <c r="O1661"/>
  <c r="I1662"/>
  <c r="J1662"/>
  <c r="K1662"/>
  <c r="L1662"/>
  <c r="M1662"/>
  <c r="N1662"/>
  <c r="O1662"/>
  <c r="I1663"/>
  <c r="J1663"/>
  <c r="K1663"/>
  <c r="L1663"/>
  <c r="M1663"/>
  <c r="N1663"/>
  <c r="O1663"/>
  <c r="I1664"/>
  <c r="J1664"/>
  <c r="K1664"/>
  <c r="L1664"/>
  <c r="M1664"/>
  <c r="N1664"/>
  <c r="O1664"/>
  <c r="I1665"/>
  <c r="J1665"/>
  <c r="K1665"/>
  <c r="L1665"/>
  <c r="M1665"/>
  <c r="N1665"/>
  <c r="O1665"/>
  <c r="I1666"/>
  <c r="J1666"/>
  <c r="K1666"/>
  <c r="L1666"/>
  <c r="M1666"/>
  <c r="N1666"/>
  <c r="O1666"/>
  <c r="I1667"/>
  <c r="J1667"/>
  <c r="K1667"/>
  <c r="L1667"/>
  <c r="M1667"/>
  <c r="N1667"/>
  <c r="O1667"/>
  <c r="I1668"/>
  <c r="J1668"/>
  <c r="K1668"/>
  <c r="L1668"/>
  <c r="M1668"/>
  <c r="N1668"/>
  <c r="O1668"/>
  <c r="I1670"/>
  <c r="J1670"/>
  <c r="K1670"/>
  <c r="L1670"/>
  <c r="M1670"/>
  <c r="N1670"/>
  <c r="O1670"/>
  <c r="I1671"/>
  <c r="J1671"/>
  <c r="K1671"/>
  <c r="L1671"/>
  <c r="M1671"/>
  <c r="N1671"/>
  <c r="O1671"/>
  <c r="I1672"/>
  <c r="J1672"/>
  <c r="K1672"/>
  <c r="L1672"/>
  <c r="M1672"/>
  <c r="N1672"/>
  <c r="O1672"/>
  <c r="I1673"/>
  <c r="J1673"/>
  <c r="K1673"/>
  <c r="L1673"/>
  <c r="M1673"/>
  <c r="N1673"/>
  <c r="O1673"/>
  <c r="I1676"/>
  <c r="J1676"/>
  <c r="K1676"/>
  <c r="L1676"/>
  <c r="M1676"/>
  <c r="N1676"/>
  <c r="O1676"/>
  <c r="I1677"/>
  <c r="J1677"/>
  <c r="K1677"/>
  <c r="L1677"/>
  <c r="M1677"/>
  <c r="N1677"/>
  <c r="O1677"/>
  <c r="I1678"/>
  <c r="J1678"/>
  <c r="K1678"/>
  <c r="L1678"/>
  <c r="M1678"/>
  <c r="N1678"/>
  <c r="O1678"/>
  <c r="I1679"/>
  <c r="J1679"/>
  <c r="K1679"/>
  <c r="L1679"/>
  <c r="M1679"/>
  <c r="N1679"/>
  <c r="O1679"/>
  <c r="I1680"/>
  <c r="J1680"/>
  <c r="K1680"/>
  <c r="L1680"/>
  <c r="M1680"/>
  <c r="N1680"/>
  <c r="O1680"/>
  <c r="I1681"/>
  <c r="J1681"/>
  <c r="K1681"/>
  <c r="L1681"/>
  <c r="M1681"/>
  <c r="N1681"/>
  <c r="O1681"/>
  <c r="I1682"/>
  <c r="J1682"/>
  <c r="K1682"/>
  <c r="L1682"/>
  <c r="M1682"/>
  <c r="N1682"/>
  <c r="O1682"/>
  <c r="I1683"/>
  <c r="J1683"/>
  <c r="K1683"/>
  <c r="L1683"/>
  <c r="M1683"/>
  <c r="N1683"/>
  <c r="O1683"/>
  <c r="I1684"/>
  <c r="J1684"/>
  <c r="K1684"/>
  <c r="L1684"/>
  <c r="M1684"/>
  <c r="N1684"/>
  <c r="O1684"/>
  <c r="I1685"/>
  <c r="J1685"/>
  <c r="K1685"/>
  <c r="L1685"/>
  <c r="M1685"/>
  <c r="N1685"/>
  <c r="O1685"/>
  <c r="I1686"/>
  <c r="J1686"/>
  <c r="K1686"/>
  <c r="L1686"/>
  <c r="M1686"/>
  <c r="N1686"/>
  <c r="O1686"/>
  <c r="I1687"/>
  <c r="J1687"/>
  <c r="K1687"/>
  <c r="L1687"/>
  <c r="M1687"/>
  <c r="N1687"/>
  <c r="O1687"/>
  <c r="I1688"/>
  <c r="J1688"/>
  <c r="K1688"/>
  <c r="L1688"/>
  <c r="M1688"/>
  <c r="N1688"/>
  <c r="O1688"/>
  <c r="I1690"/>
  <c r="J1690"/>
  <c r="K1690"/>
  <c r="L1690"/>
  <c r="M1690"/>
  <c r="N1690"/>
  <c r="O1690"/>
  <c r="I1691"/>
  <c r="J1691"/>
  <c r="K1691"/>
  <c r="L1691"/>
  <c r="M1691"/>
  <c r="N1691"/>
  <c r="O1691"/>
  <c r="I1692"/>
  <c r="J1692"/>
  <c r="K1692"/>
  <c r="L1692"/>
  <c r="M1692"/>
  <c r="N1692"/>
  <c r="O1692"/>
  <c r="I1693"/>
  <c r="J1693"/>
  <c r="K1693"/>
  <c r="L1693"/>
  <c r="M1693"/>
  <c r="N1693"/>
  <c r="O1693"/>
  <c r="I1696"/>
  <c r="J1696"/>
  <c r="K1696"/>
  <c r="L1696"/>
  <c r="M1696"/>
  <c r="N1696"/>
  <c r="O1696"/>
  <c r="I1697"/>
  <c r="J1697"/>
  <c r="K1697"/>
  <c r="L1697"/>
  <c r="M1697"/>
  <c r="N1697"/>
  <c r="O1697"/>
  <c r="I1698"/>
  <c r="J1698"/>
  <c r="K1698"/>
  <c r="L1698"/>
  <c r="M1698"/>
  <c r="N1698"/>
  <c r="O1698"/>
  <c r="I1699"/>
  <c r="J1699"/>
  <c r="K1699"/>
  <c r="L1699"/>
  <c r="M1699"/>
  <c r="N1699"/>
  <c r="O1699"/>
  <c r="I1700"/>
  <c r="J1700"/>
  <c r="K1700"/>
  <c r="L1700"/>
  <c r="M1700"/>
  <c r="N1700"/>
  <c r="O1700"/>
  <c r="I1701"/>
  <c r="J1701"/>
  <c r="K1701"/>
  <c r="L1701"/>
  <c r="M1701"/>
  <c r="N1701"/>
  <c r="O1701"/>
  <c r="I1702"/>
  <c r="J1702"/>
  <c r="K1702"/>
  <c r="L1702"/>
  <c r="M1702"/>
  <c r="N1702"/>
  <c r="O1702"/>
  <c r="I1703"/>
  <c r="J1703"/>
  <c r="K1703"/>
  <c r="L1703"/>
  <c r="M1703"/>
  <c r="N1703"/>
  <c r="O1703"/>
  <c r="I1704"/>
  <c r="J1704"/>
  <c r="K1704"/>
  <c r="L1704"/>
  <c r="M1704"/>
  <c r="N1704"/>
  <c r="O1704"/>
  <c r="I1705"/>
  <c r="J1705"/>
  <c r="K1705"/>
  <c r="L1705"/>
  <c r="M1705"/>
  <c r="N1705"/>
  <c r="O1705"/>
  <c r="I1706"/>
  <c r="J1706"/>
  <c r="K1706"/>
  <c r="L1706"/>
  <c r="M1706"/>
  <c r="N1706"/>
  <c r="O1706"/>
  <c r="I1707"/>
  <c r="J1707"/>
  <c r="K1707"/>
  <c r="L1707"/>
  <c r="M1707"/>
  <c r="N1707"/>
  <c r="O1707"/>
  <c r="I1708"/>
  <c r="J1708"/>
  <c r="K1708"/>
  <c r="L1708"/>
  <c r="M1708"/>
  <c r="N1708"/>
  <c r="O1708"/>
  <c r="I1710"/>
  <c r="J1710"/>
  <c r="K1710"/>
  <c r="L1710"/>
  <c r="M1710"/>
  <c r="N1710"/>
  <c r="O1710"/>
  <c r="I1711"/>
  <c r="J1711"/>
  <c r="K1711"/>
  <c r="L1711"/>
  <c r="M1711"/>
  <c r="N1711"/>
  <c r="O1711"/>
  <c r="I1712"/>
  <c r="J1712"/>
  <c r="K1712"/>
  <c r="L1712"/>
  <c r="M1712"/>
  <c r="N1712"/>
  <c r="O1712"/>
  <c r="I1713"/>
  <c r="J1713"/>
  <c r="K1713"/>
  <c r="L1713"/>
  <c r="M1713"/>
  <c r="N1713"/>
  <c r="O1713"/>
  <c r="I1716"/>
  <c r="J1716"/>
  <c r="K1716"/>
  <c r="L1716"/>
  <c r="M1716"/>
  <c r="N1716"/>
  <c r="O1716"/>
  <c r="I1717"/>
  <c r="J1717"/>
  <c r="K1717"/>
  <c r="L1717"/>
  <c r="M1717"/>
  <c r="N1717"/>
  <c r="O1717"/>
  <c r="I1718"/>
  <c r="J1718"/>
  <c r="K1718"/>
  <c r="L1718"/>
  <c r="M1718"/>
  <c r="N1718"/>
  <c r="O1718"/>
  <c r="I1719"/>
  <c r="J1719"/>
  <c r="K1719"/>
  <c r="L1719"/>
  <c r="M1719"/>
  <c r="N1719"/>
  <c r="O1719"/>
  <c r="I1720"/>
  <c r="J1720"/>
  <c r="K1720"/>
  <c r="L1720"/>
  <c r="M1720"/>
  <c r="N1720"/>
  <c r="O1720"/>
  <c r="I1721"/>
  <c r="J1721"/>
  <c r="K1721"/>
  <c r="L1721"/>
  <c r="M1721"/>
  <c r="N1721"/>
  <c r="O1721"/>
  <c r="I1722"/>
  <c r="J1722"/>
  <c r="K1722"/>
  <c r="L1722"/>
  <c r="M1722"/>
  <c r="N1722"/>
  <c r="O1722"/>
  <c r="I1723"/>
  <c r="J1723"/>
  <c r="K1723"/>
  <c r="L1723"/>
  <c r="M1723"/>
  <c r="N1723"/>
  <c r="O1723"/>
  <c r="I1724"/>
  <c r="J1724"/>
  <c r="K1724"/>
  <c r="L1724"/>
  <c r="M1724"/>
  <c r="N1724"/>
  <c r="O1724"/>
  <c r="I1725"/>
  <c r="J1725"/>
  <c r="K1725"/>
  <c r="L1725"/>
  <c r="M1725"/>
  <c r="N1725"/>
  <c r="O1725"/>
  <c r="I1726"/>
  <c r="J1726"/>
  <c r="K1726"/>
  <c r="L1726"/>
  <c r="M1726"/>
  <c r="N1726"/>
  <c r="O1726"/>
  <c r="I1727"/>
  <c r="J1727"/>
  <c r="K1727"/>
  <c r="L1727"/>
  <c r="M1727"/>
  <c r="N1727"/>
  <c r="O1727"/>
  <c r="I1728"/>
  <c r="J1728"/>
  <c r="K1728"/>
  <c r="L1728"/>
  <c r="M1728"/>
  <c r="N1728"/>
  <c r="O1728"/>
  <c r="I1730"/>
  <c r="J1730"/>
  <c r="K1730"/>
  <c r="L1730"/>
  <c r="M1730"/>
  <c r="N1730"/>
  <c r="O1730"/>
  <c r="I1731"/>
  <c r="J1731"/>
  <c r="K1731"/>
  <c r="L1731"/>
  <c r="M1731"/>
  <c r="N1731"/>
  <c r="O1731"/>
  <c r="I1732"/>
  <c r="J1732"/>
  <c r="K1732"/>
  <c r="L1732"/>
  <c r="M1732"/>
  <c r="N1732"/>
  <c r="O1732"/>
  <c r="I1733"/>
  <c r="J1733"/>
  <c r="K1733"/>
  <c r="L1733"/>
  <c r="M1733"/>
  <c r="N1733"/>
  <c r="O1733"/>
  <c r="I1736"/>
  <c r="J1736"/>
  <c r="K1736"/>
  <c r="L1736"/>
  <c r="M1736"/>
  <c r="N1736"/>
  <c r="O1736"/>
  <c r="I1737"/>
  <c r="J1737"/>
  <c r="K1737"/>
  <c r="L1737"/>
  <c r="M1737"/>
  <c r="N1737"/>
  <c r="O1737"/>
  <c r="I1738"/>
  <c r="J1738"/>
  <c r="K1738"/>
  <c r="L1738"/>
  <c r="M1738"/>
  <c r="N1738"/>
  <c r="O1738"/>
  <c r="I1739"/>
  <c r="J1739"/>
  <c r="K1739"/>
  <c r="L1739"/>
  <c r="M1739"/>
  <c r="N1739"/>
  <c r="O1739"/>
  <c r="I1740"/>
  <c r="J1740"/>
  <c r="K1740"/>
  <c r="L1740"/>
  <c r="M1740"/>
  <c r="N1740"/>
  <c r="O1740"/>
  <c r="I1741"/>
  <c r="J1741"/>
  <c r="K1741"/>
  <c r="L1741"/>
  <c r="M1741"/>
  <c r="N1741"/>
  <c r="O1741"/>
  <c r="I1742"/>
  <c r="J1742"/>
  <c r="K1742"/>
  <c r="L1742"/>
  <c r="M1742"/>
  <c r="N1742"/>
  <c r="O1742"/>
  <c r="I1743"/>
  <c r="J1743"/>
  <c r="K1743"/>
  <c r="L1743"/>
  <c r="M1743"/>
  <c r="N1743"/>
  <c r="O1743"/>
  <c r="I1744"/>
  <c r="J1744"/>
  <c r="K1744"/>
  <c r="L1744"/>
  <c r="M1744"/>
  <c r="N1744"/>
  <c r="O1744"/>
  <c r="I1745"/>
  <c r="J1745"/>
  <c r="K1745"/>
  <c r="L1745"/>
  <c r="M1745"/>
  <c r="N1745"/>
  <c r="O1745"/>
  <c r="I1746"/>
  <c r="J1746"/>
  <c r="K1746"/>
  <c r="L1746"/>
  <c r="M1746"/>
  <c r="N1746"/>
  <c r="O1746"/>
  <c r="I1747"/>
  <c r="J1747"/>
  <c r="K1747"/>
  <c r="L1747"/>
  <c r="M1747"/>
  <c r="N1747"/>
  <c r="O1747"/>
  <c r="I1748"/>
  <c r="J1748"/>
  <c r="K1748"/>
  <c r="L1748"/>
  <c r="M1748"/>
  <c r="N1748"/>
  <c r="O1748"/>
  <c r="I1750"/>
  <c r="J1750"/>
  <c r="K1750"/>
  <c r="L1750"/>
  <c r="M1750"/>
  <c r="N1750"/>
  <c r="O1750"/>
  <c r="I1751"/>
  <c r="J1751"/>
  <c r="K1751"/>
  <c r="L1751"/>
  <c r="M1751"/>
  <c r="N1751"/>
  <c r="O1751"/>
  <c r="I1752"/>
  <c r="J1752"/>
  <c r="K1752"/>
  <c r="L1752"/>
  <c r="M1752"/>
  <c r="N1752"/>
  <c r="O1752"/>
  <c r="I1753"/>
  <c r="J1753"/>
  <c r="K1753"/>
  <c r="L1753"/>
  <c r="M1753"/>
  <c r="N1753"/>
  <c r="O1753"/>
  <c r="I1756"/>
  <c r="J1756"/>
  <c r="K1756"/>
  <c r="L1756"/>
  <c r="M1756"/>
  <c r="N1756"/>
  <c r="O1756"/>
  <c r="I1757"/>
  <c r="J1757"/>
  <c r="K1757"/>
  <c r="L1757"/>
  <c r="M1757"/>
  <c r="N1757"/>
  <c r="O1757"/>
  <c r="I1758"/>
  <c r="J1758"/>
  <c r="K1758"/>
  <c r="L1758"/>
  <c r="M1758"/>
  <c r="N1758"/>
  <c r="O1758"/>
  <c r="I1759"/>
  <c r="J1759"/>
  <c r="K1759"/>
  <c r="L1759"/>
  <c r="M1759"/>
  <c r="N1759"/>
  <c r="O1759"/>
  <c r="I1760"/>
  <c r="J1760"/>
  <c r="K1760"/>
  <c r="L1760"/>
  <c r="M1760"/>
  <c r="N1760"/>
  <c r="O1760"/>
  <c r="I1761"/>
  <c r="J1761"/>
  <c r="K1761"/>
  <c r="L1761"/>
  <c r="M1761"/>
  <c r="N1761"/>
  <c r="O1761"/>
  <c r="I1762"/>
  <c r="J1762"/>
  <c r="K1762"/>
  <c r="L1762"/>
  <c r="M1762"/>
  <c r="N1762"/>
  <c r="O1762"/>
  <c r="I1763"/>
  <c r="J1763"/>
  <c r="K1763"/>
  <c r="L1763"/>
  <c r="M1763"/>
  <c r="N1763"/>
  <c r="O1763"/>
  <c r="I1764"/>
  <c r="J1764"/>
  <c r="K1764"/>
  <c r="L1764"/>
  <c r="M1764"/>
  <c r="N1764"/>
  <c r="O1764"/>
  <c r="I1765"/>
  <c r="J1765"/>
  <c r="K1765"/>
  <c r="L1765"/>
  <c r="M1765"/>
  <c r="N1765"/>
  <c r="O1765"/>
  <c r="I1766"/>
  <c r="J1766"/>
  <c r="K1766"/>
  <c r="L1766"/>
  <c r="M1766"/>
  <c r="N1766"/>
  <c r="O1766"/>
  <c r="I1767"/>
  <c r="J1767"/>
  <c r="K1767"/>
  <c r="L1767"/>
  <c r="M1767"/>
  <c r="N1767"/>
  <c r="O1767"/>
  <c r="I1768"/>
  <c r="J1768"/>
  <c r="K1768"/>
  <c r="L1768"/>
  <c r="M1768"/>
  <c r="N1768"/>
  <c r="O1768"/>
  <c r="I1770"/>
  <c r="J1770"/>
  <c r="K1770"/>
  <c r="L1770"/>
  <c r="M1770"/>
  <c r="N1770"/>
  <c r="O1770"/>
  <c r="I1771"/>
  <c r="J1771"/>
  <c r="K1771"/>
  <c r="L1771"/>
  <c r="M1771"/>
  <c r="N1771"/>
  <c r="O1771"/>
  <c r="I1772"/>
  <c r="J1772"/>
  <c r="K1772"/>
  <c r="L1772"/>
  <c r="M1772"/>
  <c r="N1772"/>
  <c r="O1772"/>
  <c r="I1773"/>
  <c r="J1773"/>
  <c r="K1773"/>
  <c r="L1773"/>
  <c r="M1773"/>
  <c r="N1773"/>
  <c r="O1773"/>
  <c r="I1776"/>
  <c r="J1776"/>
  <c r="K1776"/>
  <c r="L1776"/>
  <c r="M1776"/>
  <c r="N1776"/>
  <c r="O1776"/>
  <c r="I1777"/>
  <c r="J1777"/>
  <c r="K1777"/>
  <c r="L1777"/>
  <c r="M1777"/>
  <c r="N1777"/>
  <c r="O1777"/>
  <c r="I1778"/>
  <c r="J1778"/>
  <c r="K1778"/>
  <c r="L1778"/>
  <c r="M1778"/>
  <c r="N1778"/>
  <c r="O1778"/>
  <c r="I1779"/>
  <c r="J1779"/>
  <c r="K1779"/>
  <c r="L1779"/>
  <c r="M1779"/>
  <c r="N1779"/>
  <c r="O1779"/>
  <c r="I1780"/>
  <c r="J1780"/>
  <c r="K1780"/>
  <c r="L1780"/>
  <c r="M1780"/>
  <c r="N1780"/>
  <c r="O1780"/>
  <c r="I1781"/>
  <c r="J1781"/>
  <c r="K1781"/>
  <c r="L1781"/>
  <c r="M1781"/>
  <c r="N1781"/>
  <c r="O1781"/>
  <c r="I1782"/>
  <c r="J1782"/>
  <c r="K1782"/>
  <c r="L1782"/>
  <c r="M1782"/>
  <c r="N1782"/>
  <c r="O1782"/>
  <c r="I1783"/>
  <c r="J1783"/>
  <c r="K1783"/>
  <c r="L1783"/>
  <c r="M1783"/>
  <c r="N1783"/>
  <c r="O1783"/>
  <c r="I1784"/>
  <c r="J1784"/>
  <c r="K1784"/>
  <c r="L1784"/>
  <c r="M1784"/>
  <c r="N1784"/>
  <c r="O1784"/>
  <c r="I1785"/>
  <c r="J1785"/>
  <c r="K1785"/>
  <c r="L1785"/>
  <c r="M1785"/>
  <c r="N1785"/>
  <c r="O1785"/>
  <c r="I1786"/>
  <c r="J1786"/>
  <c r="K1786"/>
  <c r="L1786"/>
  <c r="M1786"/>
  <c r="N1786"/>
  <c r="O1786"/>
  <c r="I1787"/>
  <c r="J1787"/>
  <c r="K1787"/>
  <c r="L1787"/>
  <c r="M1787"/>
  <c r="N1787"/>
  <c r="O1787"/>
  <c r="I1788"/>
  <c r="J1788"/>
  <c r="K1788"/>
  <c r="L1788"/>
  <c r="M1788"/>
  <c r="N1788"/>
  <c r="O1788"/>
  <c r="I1790"/>
  <c r="J1790"/>
  <c r="K1790"/>
  <c r="L1790"/>
  <c r="M1790"/>
  <c r="N1790"/>
  <c r="O1790"/>
  <c r="I1791"/>
  <c r="J1791"/>
  <c r="K1791"/>
  <c r="L1791"/>
  <c r="M1791"/>
  <c r="N1791"/>
  <c r="O1791"/>
  <c r="I1792"/>
  <c r="J1792"/>
  <c r="K1792"/>
  <c r="L1792"/>
  <c r="M1792"/>
  <c r="N1792"/>
  <c r="O1792"/>
  <c r="I1793"/>
  <c r="J1793"/>
  <c r="K1793"/>
  <c r="L1793"/>
  <c r="M1793"/>
  <c r="N1793"/>
  <c r="O1793"/>
  <c r="I1796"/>
  <c r="J1796"/>
  <c r="K1796"/>
  <c r="L1796"/>
  <c r="M1796"/>
  <c r="N1796"/>
  <c r="O1796"/>
  <c r="I1797"/>
  <c r="J1797"/>
  <c r="K1797"/>
  <c r="L1797"/>
  <c r="M1797"/>
  <c r="N1797"/>
  <c r="O1797"/>
  <c r="I1798"/>
  <c r="J1798"/>
  <c r="K1798"/>
  <c r="L1798"/>
  <c r="M1798"/>
  <c r="N1798"/>
  <c r="O1798"/>
  <c r="I1799"/>
  <c r="J1799"/>
  <c r="K1799"/>
  <c r="L1799"/>
  <c r="M1799"/>
  <c r="N1799"/>
  <c r="O1799"/>
  <c r="I1800"/>
  <c r="J1800"/>
  <c r="K1800"/>
  <c r="L1800"/>
  <c r="M1800"/>
  <c r="N1800"/>
  <c r="O1800"/>
  <c r="I1801"/>
  <c r="J1801"/>
  <c r="K1801"/>
  <c r="L1801"/>
  <c r="M1801"/>
  <c r="N1801"/>
  <c r="O1801"/>
  <c r="I1802"/>
  <c r="J1802"/>
  <c r="K1802"/>
  <c r="L1802"/>
  <c r="M1802"/>
  <c r="N1802"/>
  <c r="O1802"/>
  <c r="I1803"/>
  <c r="J1803"/>
  <c r="K1803"/>
  <c r="L1803"/>
  <c r="M1803"/>
  <c r="N1803"/>
  <c r="O1803"/>
  <c r="I1804"/>
  <c r="J1804"/>
  <c r="K1804"/>
  <c r="L1804"/>
  <c r="M1804"/>
  <c r="N1804"/>
  <c r="O1804"/>
  <c r="I1805"/>
  <c r="J1805"/>
  <c r="K1805"/>
  <c r="L1805"/>
  <c r="M1805"/>
  <c r="N1805"/>
  <c r="O1805"/>
  <c r="I1806"/>
  <c r="J1806"/>
  <c r="K1806"/>
  <c r="L1806"/>
  <c r="M1806"/>
  <c r="N1806"/>
  <c r="O1806"/>
  <c r="I1807"/>
  <c r="J1807"/>
  <c r="K1807"/>
  <c r="L1807"/>
  <c r="M1807"/>
  <c r="N1807"/>
  <c r="O1807"/>
  <c r="I1808"/>
  <c r="J1808"/>
  <c r="K1808"/>
  <c r="L1808"/>
  <c r="M1808"/>
  <c r="N1808"/>
  <c r="O1808"/>
  <c r="I1810"/>
  <c r="J1810"/>
  <c r="K1810"/>
  <c r="L1810"/>
  <c r="M1810"/>
  <c r="N1810"/>
  <c r="O1810"/>
  <c r="I1811"/>
  <c r="J1811"/>
  <c r="K1811"/>
  <c r="L1811"/>
  <c r="M1811"/>
  <c r="N1811"/>
  <c r="O1811"/>
  <c r="I1812"/>
  <c r="J1812"/>
  <c r="K1812"/>
  <c r="L1812"/>
  <c r="M1812"/>
  <c r="N1812"/>
  <c r="O1812"/>
  <c r="I1813"/>
  <c r="J1813"/>
  <c r="K1813"/>
  <c r="L1813"/>
  <c r="M1813"/>
  <c r="N1813"/>
  <c r="O1813"/>
  <c r="I1816"/>
  <c r="J1816"/>
  <c r="K1816"/>
  <c r="L1816"/>
  <c r="M1816"/>
  <c r="N1816"/>
  <c r="O1816"/>
  <c r="I1817"/>
  <c r="J1817"/>
  <c r="K1817"/>
  <c r="L1817"/>
  <c r="M1817"/>
  <c r="N1817"/>
  <c r="O1817"/>
  <c r="I1818"/>
  <c r="J1818"/>
  <c r="K1818"/>
  <c r="L1818"/>
  <c r="M1818"/>
  <c r="N1818"/>
  <c r="O1818"/>
  <c r="I1819"/>
  <c r="J1819"/>
  <c r="K1819"/>
  <c r="L1819"/>
  <c r="M1819"/>
  <c r="N1819"/>
  <c r="O1819"/>
  <c r="I1820"/>
  <c r="J1820"/>
  <c r="K1820"/>
  <c r="L1820"/>
  <c r="M1820"/>
  <c r="N1820"/>
  <c r="O1820"/>
  <c r="I1821"/>
  <c r="J1821"/>
  <c r="K1821"/>
  <c r="L1821"/>
  <c r="M1821"/>
  <c r="N1821"/>
  <c r="O1821"/>
  <c r="I1822"/>
  <c r="J1822"/>
  <c r="K1822"/>
  <c r="L1822"/>
  <c r="M1822"/>
  <c r="N1822"/>
  <c r="O1822"/>
  <c r="I1823"/>
  <c r="J1823"/>
  <c r="K1823"/>
  <c r="L1823"/>
  <c r="M1823"/>
  <c r="N1823"/>
  <c r="O1823"/>
  <c r="I1824"/>
  <c r="J1824"/>
  <c r="K1824"/>
  <c r="L1824"/>
  <c r="M1824"/>
  <c r="N1824"/>
  <c r="O1824"/>
  <c r="I1825"/>
  <c r="J1825"/>
  <c r="K1825"/>
  <c r="L1825"/>
  <c r="M1825"/>
  <c r="N1825"/>
  <c r="O1825"/>
  <c r="I1826"/>
  <c r="J1826"/>
  <c r="K1826"/>
  <c r="L1826"/>
  <c r="M1826"/>
  <c r="N1826"/>
  <c r="O1826"/>
  <c r="I1827"/>
  <c r="J1827"/>
  <c r="K1827"/>
  <c r="L1827"/>
  <c r="M1827"/>
  <c r="N1827"/>
  <c r="O1827"/>
  <c r="I1828"/>
  <c r="J1828"/>
  <c r="K1828"/>
  <c r="L1828"/>
  <c r="M1828"/>
  <c r="N1828"/>
  <c r="O1828"/>
  <c r="I1830"/>
  <c r="J1830"/>
  <c r="K1830"/>
  <c r="L1830"/>
  <c r="M1830"/>
  <c r="N1830"/>
  <c r="O1830"/>
  <c r="I1831"/>
  <c r="J1831"/>
  <c r="K1831"/>
  <c r="L1831"/>
  <c r="M1831"/>
  <c r="N1831"/>
  <c r="O1831"/>
  <c r="I1832"/>
  <c r="J1832"/>
  <c r="K1832"/>
  <c r="L1832"/>
  <c r="M1832"/>
  <c r="N1832"/>
  <c r="O1832"/>
  <c r="I1833"/>
  <c r="J1833"/>
  <c r="K1833"/>
  <c r="L1833"/>
  <c r="M1833"/>
  <c r="N1833"/>
  <c r="O1833"/>
  <c r="I1836"/>
  <c r="J1836"/>
  <c r="K1836"/>
  <c r="L1836"/>
  <c r="M1836"/>
  <c r="N1836"/>
  <c r="O1836"/>
  <c r="I1837"/>
  <c r="J1837"/>
  <c r="K1837"/>
  <c r="L1837"/>
  <c r="M1837"/>
  <c r="N1837"/>
  <c r="O1837"/>
  <c r="I1838"/>
  <c r="J1838"/>
  <c r="K1838"/>
  <c r="L1838"/>
  <c r="M1838"/>
  <c r="N1838"/>
  <c r="O1838"/>
  <c r="I1839"/>
  <c r="J1839"/>
  <c r="K1839"/>
  <c r="L1839"/>
  <c r="M1839"/>
  <c r="N1839"/>
  <c r="O1839"/>
  <c r="I1840"/>
  <c r="J1840"/>
  <c r="K1840"/>
  <c r="L1840"/>
  <c r="M1840"/>
  <c r="N1840"/>
  <c r="O1840"/>
  <c r="I1841"/>
  <c r="J1841"/>
  <c r="K1841"/>
  <c r="L1841"/>
  <c r="M1841"/>
  <c r="N1841"/>
  <c r="O1841"/>
  <c r="I1842"/>
  <c r="J1842"/>
  <c r="K1842"/>
  <c r="L1842"/>
  <c r="M1842"/>
  <c r="N1842"/>
  <c r="O1842"/>
  <c r="I1843"/>
  <c r="J1843"/>
  <c r="K1843"/>
  <c r="L1843"/>
  <c r="M1843"/>
  <c r="N1843"/>
  <c r="O1843"/>
  <c r="I1844"/>
  <c r="J1844"/>
  <c r="K1844"/>
  <c r="L1844"/>
  <c r="M1844"/>
  <c r="N1844"/>
  <c r="O1844"/>
  <c r="I1845"/>
  <c r="J1845"/>
  <c r="K1845"/>
  <c r="L1845"/>
  <c r="M1845"/>
  <c r="N1845"/>
  <c r="O1845"/>
  <c r="I1846"/>
  <c r="J1846"/>
  <c r="K1846"/>
  <c r="L1846"/>
  <c r="M1846"/>
  <c r="N1846"/>
  <c r="O1846"/>
  <c r="I1847"/>
  <c r="J1847"/>
  <c r="K1847"/>
  <c r="L1847"/>
  <c r="M1847"/>
  <c r="N1847"/>
  <c r="O1847"/>
  <c r="I1848"/>
  <c r="J1848"/>
  <c r="K1848"/>
  <c r="L1848"/>
  <c r="M1848"/>
  <c r="N1848"/>
  <c r="O1848"/>
  <c r="I1850"/>
  <c r="J1850"/>
  <c r="K1850"/>
  <c r="L1850"/>
  <c r="M1850"/>
  <c r="N1850"/>
  <c r="O1850"/>
  <c r="I1851"/>
  <c r="J1851"/>
  <c r="K1851"/>
  <c r="L1851"/>
  <c r="M1851"/>
  <c r="N1851"/>
  <c r="O1851"/>
  <c r="I1852"/>
  <c r="J1852"/>
  <c r="K1852"/>
  <c r="L1852"/>
  <c r="M1852"/>
  <c r="N1852"/>
  <c r="O1852"/>
  <c r="I1853"/>
  <c r="J1853"/>
  <c r="K1853"/>
  <c r="L1853"/>
  <c r="M1853"/>
  <c r="N1853"/>
  <c r="O1853"/>
  <c r="I1856"/>
  <c r="J1856"/>
  <c r="K1856"/>
  <c r="L1856"/>
  <c r="M1856"/>
  <c r="N1856"/>
  <c r="O1856"/>
  <c r="I1857"/>
  <c r="J1857"/>
  <c r="K1857"/>
  <c r="L1857"/>
  <c r="M1857"/>
  <c r="N1857"/>
  <c r="O1857"/>
  <c r="I1858"/>
  <c r="J1858"/>
  <c r="K1858"/>
  <c r="L1858"/>
  <c r="M1858"/>
  <c r="N1858"/>
  <c r="O1858"/>
  <c r="I1859"/>
  <c r="J1859"/>
  <c r="K1859"/>
  <c r="L1859"/>
  <c r="M1859"/>
  <c r="N1859"/>
  <c r="O1859"/>
  <c r="I1860"/>
  <c r="J1860"/>
  <c r="K1860"/>
  <c r="L1860"/>
  <c r="M1860"/>
  <c r="N1860"/>
  <c r="O1860"/>
  <c r="I1861"/>
  <c r="J1861"/>
  <c r="K1861"/>
  <c r="L1861"/>
  <c r="M1861"/>
  <c r="N1861"/>
  <c r="O1861"/>
  <c r="I1862"/>
  <c r="J1862"/>
  <c r="K1862"/>
  <c r="L1862"/>
  <c r="M1862"/>
  <c r="N1862"/>
  <c r="O1862"/>
  <c r="I1863"/>
  <c r="J1863"/>
  <c r="K1863"/>
  <c r="L1863"/>
  <c r="M1863"/>
  <c r="N1863"/>
  <c r="O1863"/>
  <c r="I1864"/>
  <c r="J1864"/>
  <c r="K1864"/>
  <c r="L1864"/>
  <c r="M1864"/>
  <c r="N1864"/>
  <c r="O1864"/>
  <c r="I1865"/>
  <c r="J1865"/>
  <c r="K1865"/>
  <c r="L1865"/>
  <c r="M1865"/>
  <c r="N1865"/>
  <c r="O1865"/>
  <c r="I1866"/>
  <c r="J1866"/>
  <c r="K1866"/>
  <c r="L1866"/>
  <c r="M1866"/>
  <c r="N1866"/>
  <c r="O1866"/>
  <c r="I1867"/>
  <c r="J1867"/>
  <c r="K1867"/>
  <c r="L1867"/>
  <c r="M1867"/>
  <c r="N1867"/>
  <c r="O1867"/>
  <c r="I1868"/>
  <c r="J1868"/>
  <c r="K1868"/>
  <c r="L1868"/>
  <c r="M1868"/>
  <c r="N1868"/>
  <c r="O1868"/>
  <c r="I1870"/>
  <c r="J1870"/>
  <c r="K1870"/>
  <c r="L1870"/>
  <c r="M1870"/>
  <c r="N1870"/>
  <c r="O1870"/>
  <c r="I1871"/>
  <c r="J1871"/>
  <c r="K1871"/>
  <c r="L1871"/>
  <c r="M1871"/>
  <c r="N1871"/>
  <c r="O1871"/>
  <c r="I1872"/>
  <c r="J1872"/>
  <c r="K1872"/>
  <c r="L1872"/>
  <c r="M1872"/>
  <c r="N1872"/>
  <c r="O1872"/>
  <c r="I1873"/>
  <c r="J1873"/>
  <c r="K1873"/>
  <c r="L1873"/>
  <c r="M1873"/>
  <c r="N1873"/>
  <c r="O1873"/>
  <c r="I1876"/>
  <c r="J1876"/>
  <c r="K1876"/>
  <c r="L1876"/>
  <c r="M1876"/>
  <c r="N1876"/>
  <c r="O1876"/>
  <c r="I1877"/>
  <c r="J1877"/>
  <c r="K1877"/>
  <c r="L1877"/>
  <c r="M1877"/>
  <c r="N1877"/>
  <c r="O1877"/>
  <c r="I1880"/>
  <c r="J1880"/>
  <c r="K1880"/>
  <c r="L1880"/>
  <c r="M1880"/>
  <c r="N1880"/>
  <c r="O1880"/>
  <c r="I1881"/>
  <c r="J1881"/>
  <c r="K1881"/>
  <c r="L1881"/>
  <c r="M1881"/>
  <c r="N1881"/>
  <c r="O1881"/>
  <c r="I1882"/>
  <c r="J1882"/>
  <c r="K1882"/>
  <c r="L1882"/>
  <c r="M1882"/>
  <c r="N1882"/>
  <c r="O1882"/>
  <c r="I1885"/>
  <c r="J1885"/>
  <c r="K1885"/>
  <c r="L1885"/>
  <c r="M1885"/>
  <c r="N1885"/>
  <c r="O1885"/>
  <c r="I1886"/>
  <c r="J1886"/>
  <c r="K1886"/>
  <c r="L1886"/>
  <c r="M1886"/>
  <c r="N1886"/>
  <c r="O1886"/>
  <c r="I1887"/>
  <c r="J1887"/>
  <c r="K1887"/>
  <c r="L1887"/>
  <c r="M1887"/>
  <c r="N1887"/>
  <c r="O1887"/>
  <c r="I1890"/>
  <c r="J1890"/>
  <c r="K1890"/>
  <c r="L1890"/>
  <c r="M1890"/>
  <c r="N1890"/>
  <c r="O1890"/>
  <c r="I1891"/>
  <c r="J1891"/>
  <c r="K1891"/>
  <c r="L1891"/>
  <c r="M1891"/>
  <c r="N1891"/>
  <c r="O1891"/>
  <c r="I1892"/>
  <c r="J1892"/>
  <c r="K1892"/>
  <c r="L1892"/>
  <c r="M1892"/>
  <c r="N1892"/>
  <c r="O1892"/>
  <c r="I1895"/>
  <c r="J1895"/>
  <c r="K1895"/>
  <c r="L1895"/>
  <c r="M1895"/>
  <c r="N1895"/>
  <c r="O1895"/>
  <c r="I1896"/>
  <c r="J1896"/>
  <c r="K1896"/>
  <c r="L1896"/>
  <c r="M1896"/>
  <c r="N1896"/>
  <c r="O1896"/>
  <c r="I1897"/>
  <c r="J1897"/>
  <c r="K1897"/>
  <c r="L1897"/>
  <c r="M1897"/>
  <c r="N1897"/>
  <c r="O1897"/>
  <c r="I1900"/>
  <c r="J1900"/>
  <c r="K1900"/>
  <c r="L1900"/>
  <c r="M1900"/>
  <c r="N1900"/>
  <c r="O1900"/>
  <c r="I1901"/>
  <c r="J1901"/>
  <c r="K1901"/>
  <c r="L1901"/>
  <c r="M1901"/>
  <c r="N1901"/>
  <c r="O1901"/>
  <c r="I1902"/>
  <c r="J1902"/>
  <c r="K1902"/>
  <c r="L1902"/>
  <c r="M1902"/>
  <c r="N1902"/>
  <c r="O1902"/>
  <c r="I1905"/>
  <c r="J1905"/>
  <c r="K1905"/>
  <c r="L1905"/>
  <c r="M1905"/>
  <c r="N1905"/>
  <c r="O1905"/>
  <c r="I1906"/>
  <c r="J1906"/>
  <c r="K1906"/>
  <c r="L1906"/>
  <c r="M1906"/>
  <c r="N1906"/>
  <c r="O1906"/>
  <c r="I1907"/>
  <c r="J1907"/>
  <c r="K1907"/>
  <c r="L1907"/>
  <c r="M1907"/>
  <c r="N1907"/>
  <c r="O1907"/>
  <c r="I1910"/>
  <c r="J1910"/>
  <c r="K1910"/>
  <c r="L1910"/>
  <c r="M1910"/>
  <c r="N1910"/>
  <c r="O1910"/>
  <c r="I1911"/>
  <c r="J1911"/>
  <c r="K1911"/>
  <c r="L1911"/>
  <c r="M1911"/>
  <c r="N1911"/>
  <c r="O1911"/>
  <c r="I1912"/>
  <c r="J1912"/>
  <c r="K1912"/>
  <c r="L1912"/>
  <c r="M1912"/>
  <c r="N1912"/>
  <c r="O1912"/>
  <c r="I1915"/>
  <c r="J1915"/>
  <c r="K1915"/>
  <c r="L1915"/>
  <c r="M1915"/>
  <c r="N1915"/>
  <c r="O1915"/>
  <c r="I1916"/>
  <c r="J1916"/>
  <c r="K1916"/>
  <c r="L1916"/>
  <c r="M1916"/>
  <c r="N1916"/>
  <c r="O1916"/>
  <c r="I1917"/>
  <c r="J1917"/>
  <c r="K1917"/>
  <c r="L1917"/>
  <c r="M1917"/>
  <c r="N1917"/>
  <c r="O1917"/>
  <c r="I1920"/>
  <c r="J1920"/>
  <c r="K1920"/>
  <c r="L1920"/>
  <c r="M1920"/>
  <c r="N1920"/>
  <c r="O1920"/>
  <c r="I1921"/>
  <c r="J1921"/>
  <c r="K1921"/>
  <c r="L1921"/>
  <c r="M1921"/>
  <c r="N1921"/>
  <c r="O1921"/>
  <c r="I1922"/>
  <c r="J1922"/>
  <c r="K1922"/>
  <c r="L1922"/>
  <c r="M1922"/>
  <c r="N1922"/>
  <c r="O1922"/>
  <c r="I1925"/>
  <c r="J1925"/>
  <c r="K1925"/>
  <c r="L1925"/>
  <c r="M1925"/>
  <c r="N1925"/>
  <c r="O1925"/>
  <c r="I1926"/>
  <c r="J1926"/>
  <c r="K1926"/>
  <c r="L1926"/>
  <c r="M1926"/>
  <c r="N1926"/>
  <c r="O1926"/>
  <c r="I1927"/>
  <c r="J1927"/>
  <c r="K1927"/>
  <c r="L1927"/>
  <c r="M1927"/>
  <c r="N1927"/>
  <c r="O1927"/>
  <c r="I1930"/>
  <c r="J1930"/>
  <c r="K1930"/>
  <c r="L1930"/>
  <c r="M1930"/>
  <c r="N1930"/>
  <c r="O1930"/>
  <c r="I1931"/>
  <c r="J1931"/>
  <c r="K1931"/>
  <c r="L1931"/>
  <c r="M1931"/>
  <c r="N1931"/>
  <c r="O1931"/>
  <c r="I1932"/>
  <c r="J1932"/>
  <c r="K1932"/>
  <c r="L1932"/>
  <c r="M1932"/>
  <c r="N1932"/>
  <c r="O1932"/>
  <c r="I1935"/>
  <c r="J1935"/>
  <c r="K1935"/>
  <c r="L1935"/>
  <c r="M1935"/>
  <c r="N1935"/>
  <c r="O1935"/>
  <c r="I1936"/>
  <c r="J1936"/>
  <c r="K1936"/>
  <c r="L1936"/>
  <c r="M1936"/>
  <c r="N1936"/>
  <c r="O1936"/>
  <c r="I1937"/>
  <c r="J1937"/>
  <c r="K1937"/>
  <c r="L1937"/>
  <c r="M1937"/>
  <c r="N1937"/>
  <c r="O1937"/>
  <c r="I1940"/>
  <c r="J1940"/>
  <c r="K1940"/>
  <c r="L1940"/>
  <c r="M1940"/>
  <c r="N1940"/>
  <c r="O1940"/>
  <c r="I1941"/>
  <c r="J1941"/>
  <c r="K1941"/>
  <c r="L1941"/>
  <c r="M1941"/>
  <c r="N1941"/>
  <c r="O1941"/>
  <c r="I1942"/>
  <c r="J1942"/>
  <c r="K1942"/>
  <c r="L1942"/>
  <c r="M1942"/>
  <c r="N1942"/>
  <c r="O1942"/>
  <c r="I1945"/>
  <c r="J1945"/>
  <c r="K1945"/>
  <c r="L1945"/>
  <c r="M1945"/>
  <c r="N1945"/>
  <c r="O1945"/>
  <c r="I1946"/>
  <c r="J1946"/>
  <c r="K1946"/>
  <c r="L1946"/>
  <c r="M1946"/>
  <c r="N1946"/>
  <c r="O1946"/>
  <c r="I1947"/>
  <c r="J1947"/>
  <c r="K1947"/>
  <c r="L1947"/>
  <c r="M1947"/>
  <c r="N1947"/>
  <c r="O1947"/>
  <c r="I1950"/>
  <c r="J1950"/>
  <c r="K1950"/>
  <c r="L1950"/>
  <c r="M1950"/>
  <c r="N1950"/>
  <c r="O1950"/>
  <c r="I1951"/>
  <c r="J1951"/>
  <c r="K1951"/>
  <c r="L1951"/>
  <c r="M1951"/>
  <c r="N1951"/>
  <c r="O1951"/>
  <c r="I1952"/>
  <c r="J1952"/>
  <c r="K1952"/>
  <c r="L1952"/>
  <c r="M1952"/>
  <c r="N1952"/>
  <c r="O1952"/>
  <c r="I1955"/>
  <c r="J1955"/>
  <c r="K1955"/>
  <c r="L1955"/>
  <c r="M1955"/>
  <c r="N1955"/>
  <c r="O1955"/>
  <c r="I1956"/>
  <c r="J1956"/>
  <c r="K1956"/>
  <c r="L1956"/>
  <c r="M1956"/>
  <c r="N1956"/>
  <c r="O1956"/>
  <c r="I1957"/>
  <c r="J1957"/>
  <c r="K1957"/>
  <c r="L1957"/>
  <c r="M1957"/>
  <c r="N1957"/>
  <c r="O1957"/>
  <c r="I1960"/>
  <c r="J1960"/>
  <c r="K1960"/>
  <c r="L1960"/>
  <c r="M1960"/>
  <c r="N1960"/>
  <c r="O1960"/>
  <c r="I1961"/>
  <c r="J1961"/>
  <c r="K1961"/>
  <c r="L1961"/>
  <c r="M1961"/>
  <c r="N1961"/>
  <c r="O1961"/>
  <c r="I1962"/>
  <c r="J1962"/>
  <c r="K1962"/>
  <c r="L1962"/>
  <c r="M1962"/>
  <c r="N1962"/>
  <c r="O1962"/>
  <c r="I1965"/>
  <c r="J1965"/>
  <c r="K1965"/>
  <c r="L1965"/>
  <c r="M1965"/>
  <c r="N1965"/>
  <c r="O1965"/>
  <c r="I1966"/>
  <c r="J1966"/>
  <c r="K1966"/>
  <c r="L1966"/>
  <c r="M1966"/>
  <c r="N1966"/>
  <c r="O1966"/>
  <c r="I1967"/>
  <c r="J1967"/>
  <c r="K1967"/>
  <c r="L1967"/>
  <c r="M1967"/>
  <c r="N1967"/>
  <c r="O1967"/>
  <c r="I1970"/>
  <c r="J1970"/>
  <c r="K1970"/>
  <c r="L1970"/>
  <c r="M1970"/>
  <c r="N1970"/>
  <c r="O1970"/>
  <c r="I1971"/>
  <c r="J1971"/>
  <c r="K1971"/>
  <c r="L1971"/>
  <c r="M1971"/>
  <c r="N1971"/>
  <c r="O1971"/>
  <c r="I1972"/>
  <c r="J1972"/>
  <c r="K1972"/>
  <c r="L1972"/>
  <c r="M1972"/>
  <c r="N1972"/>
  <c r="O1972"/>
  <c r="I1975"/>
  <c r="J1975"/>
  <c r="K1975"/>
  <c r="L1975"/>
  <c r="M1975"/>
  <c r="N1975"/>
  <c r="O1975"/>
  <c r="I1976"/>
  <c r="J1976"/>
  <c r="K1976"/>
  <c r="L1976"/>
  <c r="M1976"/>
  <c r="N1976"/>
  <c r="O1976"/>
  <c r="I1977"/>
  <c r="J1977"/>
  <c r="K1977"/>
  <c r="L1977"/>
  <c r="M1977"/>
  <c r="N1977"/>
  <c r="O1977"/>
  <c r="I1980"/>
  <c r="J1980"/>
  <c r="K1980"/>
  <c r="L1980"/>
  <c r="M1980"/>
  <c r="N1980"/>
  <c r="O1980"/>
  <c r="I1981"/>
  <c r="J1981"/>
  <c r="K1981"/>
  <c r="L1981"/>
  <c r="M1981"/>
  <c r="N1981"/>
  <c r="O1981"/>
  <c r="I1982"/>
  <c r="J1982"/>
  <c r="K1982"/>
  <c r="L1982"/>
  <c r="M1982"/>
  <c r="N1982"/>
  <c r="O1982"/>
  <c r="I1985"/>
  <c r="J1985"/>
  <c r="K1985"/>
  <c r="L1985"/>
  <c r="M1985"/>
  <c r="N1985"/>
  <c r="O1985"/>
  <c r="I1986"/>
  <c r="J1986"/>
  <c r="K1986"/>
  <c r="L1986"/>
  <c r="M1986"/>
  <c r="N1986"/>
  <c r="O1986"/>
  <c r="I1987"/>
  <c r="J1987"/>
  <c r="K1987"/>
  <c r="L1987"/>
  <c r="M1987"/>
  <c r="N1987"/>
  <c r="O1987"/>
  <c r="I1990"/>
  <c r="J1990"/>
  <c r="K1990"/>
  <c r="L1990"/>
  <c r="M1990"/>
  <c r="N1990"/>
  <c r="O1990"/>
  <c r="I1991"/>
  <c r="J1991"/>
  <c r="K1991"/>
  <c r="L1991"/>
  <c r="M1991"/>
  <c r="N1991"/>
  <c r="O1991"/>
  <c r="I1992"/>
  <c r="J1992"/>
  <c r="K1992"/>
  <c r="L1992"/>
  <c r="M1992"/>
  <c r="N1992"/>
  <c r="O1992"/>
  <c r="I1995"/>
  <c r="J1995"/>
  <c r="K1995"/>
  <c r="L1995"/>
  <c r="M1995"/>
  <c r="N1995"/>
  <c r="O1995"/>
  <c r="I1996"/>
  <c r="J1996"/>
  <c r="K1996"/>
  <c r="L1996"/>
  <c r="M1996"/>
  <c r="N1996"/>
  <c r="O1996"/>
  <c r="I1997"/>
  <c r="J1997"/>
  <c r="K1997"/>
  <c r="L1997"/>
  <c r="M1997"/>
  <c r="N1997"/>
  <c r="O1997"/>
  <c r="I2000"/>
  <c r="J2000"/>
  <c r="K2000"/>
  <c r="L2000"/>
  <c r="M2000"/>
  <c r="N2000"/>
  <c r="O2000"/>
  <c r="I2001"/>
  <c r="J2001"/>
  <c r="K2001"/>
  <c r="L2001"/>
  <c r="M2001"/>
  <c r="N2001"/>
  <c r="O2001"/>
  <c r="I2002"/>
  <c r="J2002"/>
  <c r="K2002"/>
  <c r="L2002"/>
  <c r="M2002"/>
  <c r="N2002"/>
  <c r="O2002"/>
  <c r="I2005"/>
  <c r="J2005"/>
  <c r="K2005"/>
  <c r="L2005"/>
  <c r="M2005"/>
  <c r="N2005"/>
  <c r="O2005"/>
  <c r="I2006"/>
  <c r="J2006"/>
  <c r="K2006"/>
  <c r="L2006"/>
  <c r="M2006"/>
  <c r="N2006"/>
  <c r="O2006"/>
  <c r="I2007"/>
  <c r="J2007"/>
  <c r="K2007"/>
  <c r="L2007"/>
  <c r="M2007"/>
  <c r="N2007"/>
  <c r="O2007"/>
  <c r="I2010"/>
  <c r="J2010"/>
  <c r="K2010"/>
  <c r="L2010"/>
  <c r="M2010"/>
  <c r="N2010"/>
  <c r="O2010"/>
  <c r="I2011"/>
  <c r="J2011"/>
  <c r="K2011"/>
  <c r="L2011"/>
  <c r="M2011"/>
  <c r="N2011"/>
  <c r="O2011"/>
  <c r="I2012"/>
  <c r="J2012"/>
  <c r="K2012"/>
  <c r="L2012"/>
  <c r="M2012"/>
  <c r="N2012"/>
  <c r="O2012"/>
  <c r="I2015"/>
  <c r="J2015"/>
  <c r="K2015"/>
  <c r="L2015"/>
  <c r="M2015"/>
  <c r="N2015"/>
  <c r="O2015"/>
  <c r="I2016"/>
  <c r="J2016"/>
  <c r="K2016"/>
  <c r="L2016"/>
  <c r="M2016"/>
  <c r="N2016"/>
  <c r="O2016"/>
  <c r="I2017"/>
  <c r="J2017"/>
  <c r="K2017"/>
  <c r="L2017"/>
  <c r="M2017"/>
  <c r="N2017"/>
  <c r="O2017"/>
  <c r="I2020"/>
  <c r="J2020"/>
  <c r="K2020"/>
  <c r="L2020"/>
  <c r="M2020"/>
  <c r="N2020"/>
  <c r="O2020"/>
  <c r="I2021"/>
  <c r="J2021"/>
  <c r="K2021"/>
  <c r="L2021"/>
  <c r="M2021"/>
  <c r="N2021"/>
  <c r="O2021"/>
  <c r="I2022"/>
  <c r="J2022"/>
  <c r="K2022"/>
  <c r="L2022"/>
  <c r="M2022"/>
  <c r="N2022"/>
  <c r="O2022"/>
  <c r="I2025"/>
  <c r="J2025"/>
  <c r="K2025"/>
  <c r="L2025"/>
  <c r="M2025"/>
  <c r="N2025"/>
  <c r="O2025"/>
  <c r="I2026"/>
  <c r="J2026"/>
  <c r="K2026"/>
  <c r="L2026"/>
  <c r="M2026"/>
  <c r="N2026"/>
  <c r="O2026"/>
  <c r="I2027"/>
  <c r="J2027"/>
  <c r="K2027"/>
  <c r="L2027"/>
  <c r="M2027"/>
  <c r="N2027"/>
  <c r="O2027"/>
  <c r="I2030"/>
  <c r="J2030"/>
  <c r="K2030"/>
  <c r="L2030"/>
  <c r="M2030"/>
  <c r="N2030"/>
  <c r="O2030"/>
  <c r="I2031"/>
  <c r="J2031"/>
  <c r="K2031"/>
  <c r="L2031"/>
  <c r="M2031"/>
  <c r="N2031"/>
  <c r="O2031"/>
  <c r="I2032"/>
  <c r="J2032"/>
  <c r="K2032"/>
  <c r="L2032"/>
  <c r="M2032"/>
  <c r="N2032"/>
  <c r="O2032"/>
  <c r="I2035"/>
  <c r="J2035"/>
  <c r="K2035"/>
  <c r="L2035"/>
  <c r="M2035"/>
  <c r="N2035"/>
  <c r="O2035"/>
  <c r="I2036"/>
  <c r="J2036"/>
  <c r="K2036"/>
  <c r="L2036"/>
  <c r="M2036"/>
  <c r="N2036"/>
  <c r="O2036"/>
  <c r="I2037"/>
  <c r="J2037"/>
  <c r="K2037"/>
  <c r="L2037"/>
  <c r="M2037"/>
  <c r="N2037"/>
  <c r="O2037"/>
  <c r="I2040"/>
  <c r="J2040"/>
  <c r="K2040"/>
  <c r="L2040"/>
  <c r="M2040"/>
  <c r="N2040"/>
  <c r="O2040"/>
  <c r="I2041"/>
  <c r="J2041"/>
  <c r="K2041"/>
  <c r="L2041"/>
  <c r="M2041"/>
  <c r="N2041"/>
  <c r="O2041"/>
  <c r="I2042"/>
  <c r="J2042"/>
  <c r="K2042"/>
  <c r="L2042"/>
  <c r="M2042"/>
  <c r="N2042"/>
  <c r="O2042"/>
  <c r="I2045"/>
  <c r="J2045"/>
  <c r="K2045"/>
  <c r="L2045"/>
  <c r="M2045"/>
  <c r="N2045"/>
  <c r="O2045"/>
  <c r="I2046"/>
  <c r="J2046"/>
  <c r="K2046"/>
  <c r="L2046"/>
  <c r="M2046"/>
  <c r="N2046"/>
  <c r="O2046"/>
  <c r="I2047"/>
  <c r="J2047"/>
  <c r="K2047"/>
  <c r="L2047"/>
  <c r="M2047"/>
  <c r="N2047"/>
  <c r="O2047"/>
  <c r="I2050"/>
  <c r="J2050"/>
  <c r="K2050"/>
  <c r="L2050"/>
  <c r="M2050"/>
  <c r="N2050"/>
  <c r="O2050"/>
  <c r="I2051"/>
  <c r="J2051"/>
  <c r="K2051"/>
  <c r="L2051"/>
  <c r="M2051"/>
  <c r="N2051"/>
  <c r="O2051"/>
  <c r="I2052"/>
  <c r="J2052"/>
  <c r="K2052"/>
  <c r="L2052"/>
  <c r="M2052"/>
  <c r="N2052"/>
  <c r="O2052"/>
  <c r="I2055"/>
  <c r="J2055"/>
  <c r="K2055"/>
  <c r="L2055"/>
  <c r="M2055"/>
  <c r="N2055"/>
  <c r="O2055"/>
  <c r="I2056"/>
  <c r="J2056"/>
  <c r="K2056"/>
  <c r="L2056"/>
  <c r="M2056"/>
  <c r="N2056"/>
  <c r="O2056"/>
  <c r="I2057"/>
  <c r="J2057"/>
  <c r="K2057"/>
  <c r="L2057"/>
  <c r="M2057"/>
  <c r="N2057"/>
  <c r="O2057"/>
  <c r="I2060"/>
  <c r="J2060"/>
  <c r="K2060"/>
  <c r="L2060"/>
  <c r="M2060"/>
  <c r="N2060"/>
  <c r="O2060"/>
  <c r="I2061"/>
  <c r="J2061"/>
  <c r="K2061"/>
  <c r="L2061"/>
  <c r="M2061"/>
  <c r="N2061"/>
  <c r="O2061"/>
  <c r="I2062"/>
  <c r="J2062"/>
  <c r="K2062"/>
  <c r="L2062"/>
  <c r="M2062"/>
  <c r="N2062"/>
  <c r="O2062"/>
  <c r="I2065"/>
  <c r="J2065"/>
  <c r="K2065"/>
  <c r="L2065"/>
  <c r="M2065"/>
  <c r="N2065"/>
  <c r="O2065"/>
  <c r="I2066"/>
  <c r="J2066"/>
  <c r="K2066"/>
  <c r="L2066"/>
  <c r="M2066"/>
  <c r="N2066"/>
  <c r="O2066"/>
  <c r="I2067"/>
  <c r="J2067"/>
  <c r="K2067"/>
  <c r="L2067"/>
  <c r="M2067"/>
  <c r="N2067"/>
  <c r="O2067"/>
  <c r="I2070"/>
  <c r="J2070"/>
  <c r="K2070"/>
  <c r="L2070"/>
  <c r="M2070"/>
  <c r="N2070"/>
  <c r="O2070"/>
  <c r="I2071"/>
  <c r="J2071"/>
  <c r="K2071"/>
  <c r="L2071"/>
  <c r="M2071"/>
  <c r="N2071"/>
  <c r="O2071"/>
  <c r="I2072"/>
  <c r="J2072"/>
  <c r="K2072"/>
  <c r="L2072"/>
  <c r="M2072"/>
  <c r="N2072"/>
  <c r="O2072"/>
  <c r="I2075"/>
  <c r="J2075"/>
  <c r="K2075"/>
  <c r="L2075"/>
  <c r="M2075"/>
  <c r="N2075"/>
  <c r="O2075"/>
  <c r="I2076"/>
  <c r="J2076"/>
  <c r="K2076"/>
  <c r="L2076"/>
  <c r="M2076"/>
  <c r="N2076"/>
  <c r="O2076"/>
  <c r="I2077"/>
  <c r="J2077"/>
  <c r="K2077"/>
  <c r="L2077"/>
  <c r="M2077"/>
  <c r="N2077"/>
  <c r="O2077"/>
  <c r="I2078"/>
  <c r="J2078"/>
  <c r="K2078"/>
  <c r="L2078"/>
  <c r="M2078"/>
  <c r="N2078"/>
  <c r="O2078"/>
  <c r="I2079"/>
  <c r="J2079"/>
  <c r="K2079"/>
  <c r="L2079"/>
  <c r="M2079"/>
  <c r="N2079"/>
  <c r="O2079"/>
  <c r="I2080"/>
  <c r="J2080"/>
  <c r="K2080"/>
  <c r="L2080"/>
  <c r="M2080"/>
  <c r="N2080"/>
  <c r="O2080"/>
  <c r="I2082"/>
  <c r="J2082"/>
  <c r="K2082"/>
  <c r="L2082"/>
  <c r="M2082"/>
  <c r="N2082"/>
  <c r="O2082"/>
  <c r="I2083"/>
  <c r="J2083"/>
  <c r="K2083"/>
  <c r="L2083"/>
  <c r="M2083"/>
  <c r="N2083"/>
  <c r="O2083"/>
  <c r="I2084"/>
  <c r="J2084"/>
  <c r="K2084"/>
  <c r="L2084"/>
  <c r="M2084"/>
  <c r="N2084"/>
  <c r="O2084"/>
  <c r="I2085"/>
  <c r="J2085"/>
  <c r="K2085"/>
  <c r="L2085"/>
  <c r="M2085"/>
  <c r="N2085"/>
  <c r="O2085"/>
  <c r="I2086"/>
  <c r="J2086"/>
  <c r="K2086"/>
  <c r="L2086"/>
  <c r="M2086"/>
  <c r="N2086"/>
  <c r="O2086"/>
  <c r="I2087"/>
  <c r="J2087"/>
  <c r="K2087"/>
  <c r="L2087"/>
  <c r="M2087"/>
  <c r="N2087"/>
  <c r="O2087"/>
  <c r="I2090"/>
  <c r="J2090"/>
  <c r="K2090"/>
  <c r="L2090"/>
  <c r="M2090"/>
  <c r="N2090"/>
  <c r="O2090"/>
  <c r="I2091"/>
  <c r="J2091"/>
  <c r="K2091"/>
  <c r="L2091"/>
  <c r="M2091"/>
  <c r="N2091"/>
  <c r="O2091"/>
  <c r="I2092"/>
  <c r="J2092"/>
  <c r="K2092"/>
  <c r="L2092"/>
  <c r="M2092"/>
  <c r="N2092"/>
  <c r="O2092"/>
  <c r="I2094"/>
  <c r="J2094"/>
  <c r="K2094"/>
  <c r="L2094"/>
  <c r="M2094"/>
  <c r="N2094"/>
  <c r="O2094"/>
  <c r="I2095"/>
  <c r="J2095"/>
  <c r="K2095"/>
  <c r="L2095"/>
  <c r="M2095"/>
  <c r="N2095"/>
  <c r="O2095"/>
  <c r="I2098"/>
  <c r="J2098"/>
  <c r="K2098"/>
  <c r="L2098"/>
  <c r="M2098"/>
  <c r="N2098"/>
  <c r="O2098"/>
  <c r="I2099"/>
  <c r="J2099"/>
  <c r="K2099"/>
  <c r="L2099"/>
  <c r="M2099"/>
  <c r="N2099"/>
  <c r="O2099"/>
  <c r="I2100"/>
  <c r="J2100"/>
  <c r="K2100"/>
  <c r="L2100"/>
  <c r="M2100"/>
  <c r="N2100"/>
  <c r="O2100"/>
  <c r="I2101"/>
  <c r="J2101"/>
  <c r="K2101"/>
  <c r="L2101"/>
  <c r="M2101"/>
  <c r="N2101"/>
  <c r="O2101"/>
  <c r="I2104"/>
  <c r="J2104"/>
  <c r="K2104"/>
  <c r="L2104"/>
  <c r="M2104"/>
  <c r="N2104"/>
  <c r="O2104"/>
  <c r="I2105"/>
  <c r="J2105"/>
  <c r="K2105"/>
  <c r="L2105"/>
  <c r="M2105"/>
  <c r="N2105"/>
  <c r="O2105"/>
  <c r="O6"/>
  <c r="N6"/>
  <c r="M6"/>
  <c r="L6"/>
  <c r="K6"/>
  <c r="J6"/>
  <c r="I6"/>
  <c r="H6"/>
  <c r="H7"/>
  <c r="H10"/>
  <c r="H11"/>
  <c r="H14"/>
  <c r="H15"/>
  <c r="H18"/>
  <c r="H19"/>
  <c r="H21"/>
  <c r="H22"/>
  <c r="H25"/>
  <c r="H28"/>
  <c r="H31"/>
  <c r="H32"/>
  <c r="H35"/>
  <c r="H36"/>
  <c r="H37"/>
  <c r="H40"/>
  <c r="H41"/>
  <c r="H42"/>
  <c r="H45"/>
  <c r="H46"/>
  <c r="H47"/>
  <c r="H50"/>
  <c r="H51"/>
  <c r="H52"/>
  <c r="H55"/>
  <c r="H56"/>
  <c r="H57"/>
  <c r="H60"/>
  <c r="H61"/>
  <c r="H62"/>
  <c r="H65"/>
  <c r="H66"/>
  <c r="H67"/>
  <c r="H70"/>
  <c r="H71"/>
  <c r="H72"/>
  <c r="H75"/>
  <c r="H76"/>
  <c r="H77"/>
  <c r="H80"/>
  <c r="H81"/>
  <c r="H82"/>
  <c r="H85"/>
  <c r="H86"/>
  <c r="H87"/>
  <c r="H90"/>
  <c r="H91"/>
  <c r="H92"/>
  <c r="H93"/>
  <c r="H94"/>
  <c r="H95"/>
  <c r="H96"/>
  <c r="H97"/>
  <c r="H98"/>
  <c r="H99"/>
  <c r="H101"/>
  <c r="H102"/>
  <c r="H103"/>
  <c r="H104"/>
  <c r="H107"/>
  <c r="H108"/>
  <c r="H109"/>
  <c r="H110"/>
  <c r="H111"/>
  <c r="H112"/>
  <c r="H115"/>
  <c r="H116"/>
  <c r="H117"/>
  <c r="H118"/>
  <c r="H119"/>
  <c r="H121"/>
  <c r="H124"/>
  <c r="H125"/>
  <c r="H126"/>
  <c r="H127"/>
  <c r="H128"/>
  <c r="H129"/>
  <c r="H130"/>
  <c r="H131"/>
  <c r="H132"/>
  <c r="H133"/>
  <c r="H134"/>
  <c r="H137"/>
  <c r="H138"/>
  <c r="H139"/>
  <c r="H140"/>
  <c r="H143"/>
  <c r="H144"/>
  <c r="H145"/>
  <c r="H148"/>
  <c r="H149"/>
  <c r="H150"/>
  <c r="H153"/>
  <c r="H154"/>
  <c r="H155"/>
  <c r="H158"/>
  <c r="H159"/>
  <c r="H160"/>
  <c r="H163"/>
  <c r="H164"/>
  <c r="H165"/>
  <c r="H168"/>
  <c r="H169"/>
  <c r="H170"/>
  <c r="H173"/>
  <c r="H174"/>
  <c r="H175"/>
  <c r="H178"/>
  <c r="H179"/>
  <c r="H182"/>
  <c r="H183"/>
  <c r="H184"/>
  <c r="H185"/>
  <c r="H187"/>
  <c r="H188"/>
  <c r="H189"/>
  <c r="H190"/>
  <c r="H193"/>
  <c r="H194"/>
  <c r="H195"/>
  <c r="H196"/>
  <c r="H199"/>
  <c r="H200"/>
  <c r="H201"/>
  <c r="H202"/>
  <c r="H205"/>
  <c r="H206"/>
  <c r="H207"/>
  <c r="H208"/>
  <c r="H211"/>
  <c r="H212"/>
  <c r="H213"/>
  <c r="H214"/>
  <c r="H217"/>
  <c r="H218"/>
  <c r="H219"/>
  <c r="H220"/>
  <c r="H223"/>
  <c r="H224"/>
  <c r="H225"/>
  <c r="H226"/>
  <c r="H229"/>
  <c r="H230"/>
  <c r="H231"/>
  <c r="H232"/>
  <c r="H235"/>
  <c r="H236"/>
  <c r="H237"/>
  <c r="H238"/>
  <c r="H241"/>
  <c r="H242"/>
  <c r="H243"/>
  <c r="H244"/>
  <c r="H247"/>
  <c r="H248"/>
  <c r="H249"/>
  <c r="H250"/>
  <c r="H253"/>
  <c r="H254"/>
  <c r="H255"/>
  <c r="H256"/>
  <c r="H259"/>
  <c r="H260"/>
  <c r="H261"/>
  <c r="H262"/>
  <c r="H265"/>
  <c r="H266"/>
  <c r="H267"/>
  <c r="H268"/>
  <c r="H271"/>
  <c r="H272"/>
  <c r="H273"/>
  <c r="H274"/>
  <c r="H277"/>
  <c r="H278"/>
  <c r="H279"/>
  <c r="H280"/>
  <c r="H283"/>
  <c r="H284"/>
  <c r="H285"/>
  <c r="H286"/>
  <c r="H289"/>
  <c r="H290"/>
  <c r="H291"/>
  <c r="H292"/>
  <c r="H295"/>
  <c r="H296"/>
  <c r="H297"/>
  <c r="H298"/>
  <c r="H301"/>
  <c r="H302"/>
  <c r="H303"/>
  <c r="H304"/>
  <c r="H307"/>
  <c r="H308"/>
  <c r="H309"/>
  <c r="H310"/>
  <c r="H313"/>
  <c r="H314"/>
  <c r="H315"/>
  <c r="H316"/>
  <c r="H319"/>
  <c r="H320"/>
  <c r="H321"/>
  <c r="H322"/>
  <c r="H325"/>
  <c r="H326"/>
  <c r="H327"/>
  <c r="H328"/>
  <c r="H331"/>
  <c r="H332"/>
  <c r="H333"/>
  <c r="H334"/>
  <c r="H337"/>
  <c r="H338"/>
  <c r="H339"/>
  <c r="H340"/>
  <c r="H343"/>
  <c r="H344"/>
  <c r="H345"/>
  <c r="H346"/>
  <c r="H349"/>
  <c r="H350"/>
  <c r="H351"/>
  <c r="H352"/>
  <c r="H355"/>
  <c r="H356"/>
  <c r="H357"/>
  <c r="H358"/>
  <c r="H361"/>
  <c r="H362"/>
  <c r="H363"/>
  <c r="H364"/>
  <c r="H367"/>
  <c r="H368"/>
  <c r="H369"/>
  <c r="H370"/>
  <c r="H373"/>
  <c r="H374"/>
  <c r="H375"/>
  <c r="H376"/>
  <c r="H379"/>
  <c r="H380"/>
  <c r="H381"/>
  <c r="H382"/>
  <c r="H385"/>
  <c r="H386"/>
  <c r="H387"/>
  <c r="H388"/>
  <c r="H391"/>
  <c r="H392"/>
  <c r="H393"/>
  <c r="H394"/>
  <c r="H397"/>
  <c r="H398"/>
  <c r="H399"/>
  <c r="H400"/>
  <c r="H403"/>
  <c r="H404"/>
  <c r="H405"/>
  <c r="H406"/>
  <c r="H409"/>
  <c r="H410"/>
  <c r="H411"/>
  <c r="H412"/>
  <c r="H415"/>
  <c r="H416"/>
  <c r="H417"/>
  <c r="H420"/>
  <c r="H421"/>
  <c r="H422"/>
  <c r="H423"/>
  <c r="H424"/>
  <c r="H427"/>
  <c r="H428"/>
  <c r="H429"/>
  <c r="H430"/>
  <c r="H431"/>
  <c r="H434"/>
  <c r="H435"/>
  <c r="H436"/>
  <c r="H437"/>
  <c r="H438"/>
  <c r="H441"/>
  <c r="H442"/>
  <c r="H443"/>
  <c r="H444"/>
  <c r="H445"/>
  <c r="H448"/>
  <c r="H449"/>
  <c r="H450"/>
  <c r="H451"/>
  <c r="H452"/>
  <c r="H455"/>
  <c r="H456"/>
  <c r="H457"/>
  <c r="H458"/>
  <c r="H459"/>
  <c r="H462"/>
  <c r="H463"/>
  <c r="H464"/>
  <c r="H465"/>
  <c r="H466"/>
  <c r="H469"/>
  <c r="H470"/>
  <c r="H471"/>
  <c r="H472"/>
  <c r="H473"/>
  <c r="H476"/>
  <c r="H477"/>
  <c r="H478"/>
  <c r="H479"/>
  <c r="H480"/>
  <c r="H483"/>
  <c r="H484"/>
  <c r="H485"/>
  <c r="H486"/>
  <c r="H487"/>
  <c r="H490"/>
  <c r="H491"/>
  <c r="H492"/>
  <c r="H493"/>
  <c r="H494"/>
  <c r="H497"/>
  <c r="H498"/>
  <c r="H499"/>
  <c r="H500"/>
  <c r="H501"/>
  <c r="H504"/>
  <c r="H505"/>
  <c r="H506"/>
  <c r="H507"/>
  <c r="H508"/>
  <c r="H511"/>
  <c r="H512"/>
  <c r="H513"/>
  <c r="H514"/>
  <c r="H515"/>
  <c r="H518"/>
  <c r="H519"/>
  <c r="H520"/>
  <c r="H521"/>
  <c r="H522"/>
  <c r="H525"/>
  <c r="H526"/>
  <c r="H527"/>
  <c r="H528"/>
  <c r="H529"/>
  <c r="H532"/>
  <c r="H533"/>
  <c r="H534"/>
  <c r="H535"/>
  <c r="H536"/>
  <c r="H539"/>
  <c r="H540"/>
  <c r="H541"/>
  <c r="H542"/>
  <c r="H543"/>
  <c r="H546"/>
  <c r="H547"/>
  <c r="H548"/>
  <c r="H549"/>
  <c r="H550"/>
  <c r="H553"/>
  <c r="H554"/>
  <c r="H555"/>
  <c r="H556"/>
  <c r="H557"/>
  <c r="H560"/>
  <c r="H561"/>
  <c r="H562"/>
  <c r="H563"/>
  <c r="H564"/>
  <c r="H567"/>
  <c r="H568"/>
  <c r="H569"/>
  <c r="H570"/>
  <c r="H571"/>
  <c r="H574"/>
  <c r="H575"/>
  <c r="H576"/>
  <c r="H577"/>
  <c r="H578"/>
  <c r="H581"/>
  <c r="H582"/>
  <c r="H583"/>
  <c r="H584"/>
  <c r="H585"/>
  <c r="H588"/>
  <c r="H589"/>
  <c r="H590"/>
  <c r="H591"/>
  <c r="H592"/>
  <c r="H595"/>
  <c r="H596"/>
  <c r="H597"/>
  <c r="H598"/>
  <c r="H599"/>
  <c r="H602"/>
  <c r="H603"/>
  <c r="H604"/>
  <c r="H605"/>
  <c r="H606"/>
  <c r="H609"/>
  <c r="H610"/>
  <c r="H611"/>
  <c r="H612"/>
  <c r="H613"/>
  <c r="H616"/>
  <c r="H617"/>
  <c r="H618"/>
  <c r="H619"/>
  <c r="H620"/>
  <c r="H623"/>
  <c r="H624"/>
  <c r="H625"/>
  <c r="H626"/>
  <c r="H627"/>
  <c r="H630"/>
  <c r="H631"/>
  <c r="H632"/>
  <c r="H633"/>
  <c r="H634"/>
  <c r="H637"/>
  <c r="H638"/>
  <c r="H639"/>
  <c r="H640"/>
  <c r="H641"/>
  <c r="H644"/>
  <c r="H645"/>
  <c r="H646"/>
  <c r="H647"/>
  <c r="H648"/>
  <c r="H651"/>
  <c r="H652"/>
  <c r="H653"/>
  <c r="H654"/>
  <c r="H655"/>
  <c r="H658"/>
  <c r="H659"/>
  <c r="H660"/>
  <c r="H661"/>
  <c r="H662"/>
  <c r="H665"/>
  <c r="H666"/>
  <c r="H667"/>
  <c r="H668"/>
  <c r="H669"/>
  <c r="H672"/>
  <c r="H673"/>
  <c r="H674"/>
  <c r="H675"/>
  <c r="H676"/>
  <c r="H679"/>
  <c r="H680"/>
  <c r="H681"/>
  <c r="H682"/>
  <c r="H683"/>
  <c r="H686"/>
  <c r="H687"/>
  <c r="H688"/>
  <c r="H689"/>
  <c r="H690"/>
  <c r="H693"/>
  <c r="H694"/>
  <c r="H695"/>
  <c r="H698"/>
  <c r="H699"/>
  <c r="H700"/>
  <c r="H703"/>
  <c r="H704"/>
  <c r="H705"/>
  <c r="H708"/>
  <c r="H709"/>
  <c r="H710"/>
  <c r="H713"/>
  <c r="H714"/>
  <c r="H715"/>
  <c r="H718"/>
  <c r="H719"/>
  <c r="H720"/>
  <c r="H723"/>
  <c r="H724"/>
  <c r="H725"/>
  <c r="H728"/>
  <c r="H729"/>
  <c r="H730"/>
  <c r="H733"/>
  <c r="H734"/>
  <c r="H735"/>
  <c r="H738"/>
  <c r="H739"/>
  <c r="H740"/>
  <c r="H743"/>
  <c r="H744"/>
  <c r="H745"/>
  <c r="H748"/>
  <c r="H749"/>
  <c r="H750"/>
  <c r="H753"/>
  <c r="H754"/>
  <c r="H755"/>
  <c r="H758"/>
  <c r="H759"/>
  <c r="H760"/>
  <c r="H763"/>
  <c r="H764"/>
  <c r="H765"/>
  <c r="H768"/>
  <c r="H769"/>
  <c r="H770"/>
  <c r="H773"/>
  <c r="H774"/>
  <c r="H775"/>
  <c r="H778"/>
  <c r="H779"/>
  <c r="H780"/>
  <c r="H783"/>
  <c r="H784"/>
  <c r="H785"/>
  <c r="H788"/>
  <c r="H789"/>
  <c r="H790"/>
  <c r="H793"/>
  <c r="H794"/>
  <c r="H795"/>
  <c r="H798"/>
  <c r="H799"/>
  <c r="H800"/>
  <c r="H803"/>
  <c r="H804"/>
  <c r="H805"/>
  <c r="H808"/>
  <c r="H809"/>
  <c r="H810"/>
  <c r="H813"/>
  <c r="H814"/>
  <c r="H815"/>
  <c r="H818"/>
  <c r="H819"/>
  <c r="H820"/>
  <c r="H823"/>
  <c r="H824"/>
  <c r="H825"/>
  <c r="H828"/>
  <c r="H829"/>
  <c r="H830"/>
  <c r="H833"/>
  <c r="H834"/>
  <c r="H835"/>
  <c r="H838"/>
  <c r="H839"/>
  <c r="H840"/>
  <c r="H843"/>
  <c r="H844"/>
  <c r="H845"/>
  <c r="H848"/>
  <c r="H849"/>
  <c r="H850"/>
  <c r="H853"/>
  <c r="H854"/>
  <c r="H855"/>
  <c r="H858"/>
  <c r="H859"/>
  <c r="H860"/>
  <c r="H863"/>
  <c r="H864"/>
  <c r="H865"/>
  <c r="H868"/>
  <c r="H869"/>
  <c r="H870"/>
  <c r="H873"/>
  <c r="H874"/>
  <c r="H875"/>
  <c r="H878"/>
  <c r="H879"/>
  <c r="H880"/>
  <c r="H883"/>
  <c r="H884"/>
  <c r="H885"/>
  <c r="H888"/>
  <c r="H889"/>
  <c r="H890"/>
  <c r="H893"/>
  <c r="H894"/>
  <c r="H895"/>
  <c r="H898"/>
  <c r="H899"/>
  <c r="H900"/>
  <c r="H903"/>
  <c r="H904"/>
  <c r="H905"/>
  <c r="H908"/>
  <c r="H909"/>
  <c r="H910"/>
  <c r="H913"/>
  <c r="H914"/>
  <c r="H915"/>
  <c r="H918"/>
  <c r="H919"/>
  <c r="H920"/>
  <c r="H923"/>
  <c r="H924"/>
  <c r="H925"/>
  <c r="H928"/>
  <c r="H929"/>
  <c r="H930"/>
  <c r="H933"/>
  <c r="H934"/>
  <c r="H935"/>
  <c r="H938"/>
  <c r="H939"/>
  <c r="H940"/>
  <c r="H943"/>
  <c r="H944"/>
  <c r="H945"/>
  <c r="H948"/>
  <c r="H949"/>
  <c r="H950"/>
  <c r="H953"/>
  <c r="H954"/>
  <c r="H955"/>
  <c r="H958"/>
  <c r="H959"/>
  <c r="H960"/>
  <c r="H963"/>
  <c r="H964"/>
  <c r="H965"/>
  <c r="H968"/>
  <c r="H969"/>
  <c r="H970"/>
  <c r="H973"/>
  <c r="H974"/>
  <c r="H975"/>
  <c r="H978"/>
  <c r="H979"/>
  <c r="H980"/>
  <c r="H983"/>
  <c r="H984"/>
  <c r="H985"/>
  <c r="H988"/>
  <c r="H989"/>
  <c r="H990"/>
  <c r="H993"/>
  <c r="H994"/>
  <c r="H995"/>
  <c r="H998"/>
  <c r="H999"/>
  <c r="H1000"/>
  <c r="H1003"/>
  <c r="H1004"/>
  <c r="H1005"/>
  <c r="H1008"/>
  <c r="H1009"/>
  <c r="H1010"/>
  <c r="H1013"/>
  <c r="H1014"/>
  <c r="H1015"/>
  <c r="H1018"/>
  <c r="H1019"/>
  <c r="H1020"/>
  <c r="H1023"/>
  <c r="H1024"/>
  <c r="H1025"/>
  <c r="H1028"/>
  <c r="H1029"/>
  <c r="H1030"/>
  <c r="H1033"/>
  <c r="H1034"/>
  <c r="H1035"/>
  <c r="H1038"/>
  <c r="H1039"/>
  <c r="H1040"/>
  <c r="H1043"/>
  <c r="H1044"/>
  <c r="H1045"/>
  <c r="H1048"/>
  <c r="H1049"/>
  <c r="H1050"/>
  <c r="H1053"/>
  <c r="H1054"/>
  <c r="H1055"/>
  <c r="H1058"/>
  <c r="H1059"/>
  <c r="H1060"/>
  <c r="H1063"/>
  <c r="H1064"/>
  <c r="H1065"/>
  <c r="H1068"/>
  <c r="H1069"/>
  <c r="H1070"/>
  <c r="H1073"/>
  <c r="H1074"/>
  <c r="H1075"/>
  <c r="H1078"/>
  <c r="H1079"/>
  <c r="H1080"/>
  <c r="H1081"/>
  <c r="H1082"/>
  <c r="H1083"/>
  <c r="H1084"/>
  <c r="H1085"/>
  <c r="H1086"/>
  <c r="H1087"/>
  <c r="H1088"/>
  <c r="H1090"/>
  <c r="H1091"/>
  <c r="H1092"/>
  <c r="H1093"/>
  <c r="H1096"/>
  <c r="H1097"/>
  <c r="H1098"/>
  <c r="H1099"/>
  <c r="H1100"/>
  <c r="H1101"/>
  <c r="H1102"/>
  <c r="H1103"/>
  <c r="H1104"/>
  <c r="H1105"/>
  <c r="H1106"/>
  <c r="H1107"/>
  <c r="H1108"/>
  <c r="H1110"/>
  <c r="H1111"/>
  <c r="H1112"/>
  <c r="H1113"/>
  <c r="H1116"/>
  <c r="H1117"/>
  <c r="H1118"/>
  <c r="H1119"/>
  <c r="H1120"/>
  <c r="H1121"/>
  <c r="H1122"/>
  <c r="H1123"/>
  <c r="H1124"/>
  <c r="H1125"/>
  <c r="H1126"/>
  <c r="H1127"/>
  <c r="H1128"/>
  <c r="H1130"/>
  <c r="H1131"/>
  <c r="H1132"/>
  <c r="H1133"/>
  <c r="H1136"/>
  <c r="H1137"/>
  <c r="H1138"/>
  <c r="H1139"/>
  <c r="H1140"/>
  <c r="H1141"/>
  <c r="H1142"/>
  <c r="H1143"/>
  <c r="H1144"/>
  <c r="H1145"/>
  <c r="H1146"/>
  <c r="H1147"/>
  <c r="H1148"/>
  <c r="H1150"/>
  <c r="H1151"/>
  <c r="H1152"/>
  <c r="H1153"/>
  <c r="H1156"/>
  <c r="H1157"/>
  <c r="H1158"/>
  <c r="H1159"/>
  <c r="H1160"/>
  <c r="H1161"/>
  <c r="H1162"/>
  <c r="H1163"/>
  <c r="H1164"/>
  <c r="H1165"/>
  <c r="H1166"/>
  <c r="H1167"/>
  <c r="H1168"/>
  <c r="H1170"/>
  <c r="H1171"/>
  <c r="H1172"/>
  <c r="H1173"/>
  <c r="H1176"/>
  <c r="H1177"/>
  <c r="H1178"/>
  <c r="H1179"/>
  <c r="H1180"/>
  <c r="H1181"/>
  <c r="H1182"/>
  <c r="H1183"/>
  <c r="H1184"/>
  <c r="H1185"/>
  <c r="H1186"/>
  <c r="H1187"/>
  <c r="H1188"/>
  <c r="H1190"/>
  <c r="H1191"/>
  <c r="H1192"/>
  <c r="H1193"/>
  <c r="H1196"/>
  <c r="H1197"/>
  <c r="H1198"/>
  <c r="H1199"/>
  <c r="H1200"/>
  <c r="H1201"/>
  <c r="H1202"/>
  <c r="H1203"/>
  <c r="H1204"/>
  <c r="H1205"/>
  <c r="H1206"/>
  <c r="H1207"/>
  <c r="H1208"/>
  <c r="H1210"/>
  <c r="H1211"/>
  <c r="H1212"/>
  <c r="H1213"/>
  <c r="H1216"/>
  <c r="H1217"/>
  <c r="H1218"/>
  <c r="H1219"/>
  <c r="H1220"/>
  <c r="H1221"/>
  <c r="H1222"/>
  <c r="H1223"/>
  <c r="H1224"/>
  <c r="H1225"/>
  <c r="H1226"/>
  <c r="H1227"/>
  <c r="H1228"/>
  <c r="H1230"/>
  <c r="H1231"/>
  <c r="H1232"/>
  <c r="H1233"/>
  <c r="H1236"/>
  <c r="H1237"/>
  <c r="H1238"/>
  <c r="H1239"/>
  <c r="H1240"/>
  <c r="H1241"/>
  <c r="H1242"/>
  <c r="H1243"/>
  <c r="H1244"/>
  <c r="H1245"/>
  <c r="H1246"/>
  <c r="H1247"/>
  <c r="H1248"/>
  <c r="H1250"/>
  <c r="H1251"/>
  <c r="H1252"/>
  <c r="H1253"/>
  <c r="H1256"/>
  <c r="H1257"/>
  <c r="H1258"/>
  <c r="H1259"/>
  <c r="H1260"/>
  <c r="H1261"/>
  <c r="H1262"/>
  <c r="H1263"/>
  <c r="H1264"/>
  <c r="H1265"/>
  <c r="H1266"/>
  <c r="H1267"/>
  <c r="H1268"/>
  <c r="H1270"/>
  <c r="H1271"/>
  <c r="H1272"/>
  <c r="H1273"/>
  <c r="H1276"/>
  <c r="H1277"/>
  <c r="H1278"/>
  <c r="H1279"/>
  <c r="H1280"/>
  <c r="H1281"/>
  <c r="H1282"/>
  <c r="H1283"/>
  <c r="H1284"/>
  <c r="H1285"/>
  <c r="H1286"/>
  <c r="H1287"/>
  <c r="H1288"/>
  <c r="H1290"/>
  <c r="H1291"/>
  <c r="H1292"/>
  <c r="H1293"/>
  <c r="H1296"/>
  <c r="H1297"/>
  <c r="H1298"/>
  <c r="H1299"/>
  <c r="H1300"/>
  <c r="H1301"/>
  <c r="H1302"/>
  <c r="H1303"/>
  <c r="H1304"/>
  <c r="H1305"/>
  <c r="H1306"/>
  <c r="H1307"/>
  <c r="H1308"/>
  <c r="H1310"/>
  <c r="H1311"/>
  <c r="H1312"/>
  <c r="H1313"/>
  <c r="H1316"/>
  <c r="H1317"/>
  <c r="H1318"/>
  <c r="H1319"/>
  <c r="H1320"/>
  <c r="H1321"/>
  <c r="H1322"/>
  <c r="H1323"/>
  <c r="H1324"/>
  <c r="H1325"/>
  <c r="H1326"/>
  <c r="H1327"/>
  <c r="H1328"/>
  <c r="H1330"/>
  <c r="H1331"/>
  <c r="H1332"/>
  <c r="H1333"/>
  <c r="H1336"/>
  <c r="H1337"/>
  <c r="H1338"/>
  <c r="H1339"/>
  <c r="H1340"/>
  <c r="H1341"/>
  <c r="H1342"/>
  <c r="H1343"/>
  <c r="H1344"/>
  <c r="H1345"/>
  <c r="H1346"/>
  <c r="H1347"/>
  <c r="H1348"/>
  <c r="H1350"/>
  <c r="H1351"/>
  <c r="H1352"/>
  <c r="H1353"/>
  <c r="H1356"/>
  <c r="H1357"/>
  <c r="H1358"/>
  <c r="H1359"/>
  <c r="H1360"/>
  <c r="H1361"/>
  <c r="H1362"/>
  <c r="H1363"/>
  <c r="H1364"/>
  <c r="H1365"/>
  <c r="H1366"/>
  <c r="H1367"/>
  <c r="H1368"/>
  <c r="H1370"/>
  <c r="H1371"/>
  <c r="H1372"/>
  <c r="H1373"/>
  <c r="H1376"/>
  <c r="H1377"/>
  <c r="H1378"/>
  <c r="H1379"/>
  <c r="H1380"/>
  <c r="H1381"/>
  <c r="H1382"/>
  <c r="H1383"/>
  <c r="H1384"/>
  <c r="H1385"/>
  <c r="H1386"/>
  <c r="H1387"/>
  <c r="H1388"/>
  <c r="H1390"/>
  <c r="H1391"/>
  <c r="H1392"/>
  <c r="H1393"/>
  <c r="H1396"/>
  <c r="H1397"/>
  <c r="H1398"/>
  <c r="H1399"/>
  <c r="H1400"/>
  <c r="H1401"/>
  <c r="H1402"/>
  <c r="H1403"/>
  <c r="H1404"/>
  <c r="H1405"/>
  <c r="H1406"/>
  <c r="H1407"/>
  <c r="H1408"/>
  <c r="H1410"/>
  <c r="H1411"/>
  <c r="H1412"/>
  <c r="H1413"/>
  <c r="H1416"/>
  <c r="H1417"/>
  <c r="H1418"/>
  <c r="H1419"/>
  <c r="H1420"/>
  <c r="H1421"/>
  <c r="H1422"/>
  <c r="H1423"/>
  <c r="H1424"/>
  <c r="H1425"/>
  <c r="H1426"/>
  <c r="H1427"/>
  <c r="H1428"/>
  <c r="H1430"/>
  <c r="H1431"/>
  <c r="H1432"/>
  <c r="H1433"/>
  <c r="H1436"/>
  <c r="H1437"/>
  <c r="H1438"/>
  <c r="H1439"/>
  <c r="H1440"/>
  <c r="H1441"/>
  <c r="H1442"/>
  <c r="H1443"/>
  <c r="H1444"/>
  <c r="H1445"/>
  <c r="H1446"/>
  <c r="H1447"/>
  <c r="H1448"/>
  <c r="H1450"/>
  <c r="H1451"/>
  <c r="H1452"/>
  <c r="H1453"/>
  <c r="H1456"/>
  <c r="H1457"/>
  <c r="H1458"/>
  <c r="H1459"/>
  <c r="H1460"/>
  <c r="H1461"/>
  <c r="H1462"/>
  <c r="H1463"/>
  <c r="H1464"/>
  <c r="H1465"/>
  <c r="H1466"/>
  <c r="H1467"/>
  <c r="H1468"/>
  <c r="H1470"/>
  <c r="H1471"/>
  <c r="H1472"/>
  <c r="H1473"/>
  <c r="H1476"/>
  <c r="H1477"/>
  <c r="H1478"/>
  <c r="H1479"/>
  <c r="H1480"/>
  <c r="H1481"/>
  <c r="H1482"/>
  <c r="H1483"/>
  <c r="H1484"/>
  <c r="H1485"/>
  <c r="H1486"/>
  <c r="H1487"/>
  <c r="H1488"/>
  <c r="H1490"/>
  <c r="H1491"/>
  <c r="H1492"/>
  <c r="H1493"/>
  <c r="H1496"/>
  <c r="H1497"/>
  <c r="H1498"/>
  <c r="H1499"/>
  <c r="H1500"/>
  <c r="H1501"/>
  <c r="H1502"/>
  <c r="H1503"/>
  <c r="H1504"/>
  <c r="H1505"/>
  <c r="H1506"/>
  <c r="H1507"/>
  <c r="H1508"/>
  <c r="H1510"/>
  <c r="H1511"/>
  <c r="H1512"/>
  <c r="H1513"/>
  <c r="H1516"/>
  <c r="H1517"/>
  <c r="H1518"/>
  <c r="H1519"/>
  <c r="H1520"/>
  <c r="H1521"/>
  <c r="H1522"/>
  <c r="H1523"/>
  <c r="H1524"/>
  <c r="H1525"/>
  <c r="H1526"/>
  <c r="H1527"/>
  <c r="H1528"/>
  <c r="H1530"/>
  <c r="H1531"/>
  <c r="H1532"/>
  <c r="H1533"/>
  <c r="H1536"/>
  <c r="H1537"/>
  <c r="H1538"/>
  <c r="H1539"/>
  <c r="H1540"/>
  <c r="H1541"/>
  <c r="H1542"/>
  <c r="H1543"/>
  <c r="H1544"/>
  <c r="H1545"/>
  <c r="H1546"/>
  <c r="H1547"/>
  <c r="H1548"/>
  <c r="H1550"/>
  <c r="H1551"/>
  <c r="H1552"/>
  <c r="H1553"/>
  <c r="H1556"/>
  <c r="H1557"/>
  <c r="H1558"/>
  <c r="H1559"/>
  <c r="H1560"/>
  <c r="H1561"/>
  <c r="H1562"/>
  <c r="H1563"/>
  <c r="H1564"/>
  <c r="H1565"/>
  <c r="H1566"/>
  <c r="H1567"/>
  <c r="H1568"/>
  <c r="H1570"/>
  <c r="H1571"/>
  <c r="H1572"/>
  <c r="H1573"/>
  <c r="H1576"/>
  <c r="H1577"/>
  <c r="H1578"/>
  <c r="H1579"/>
  <c r="H1580"/>
  <c r="H1581"/>
  <c r="H1582"/>
  <c r="H1583"/>
  <c r="H1584"/>
  <c r="H1585"/>
  <c r="H1586"/>
  <c r="H1587"/>
  <c r="H1588"/>
  <c r="H1590"/>
  <c r="H1591"/>
  <c r="H1592"/>
  <c r="H1593"/>
  <c r="H1596"/>
  <c r="H1597"/>
  <c r="H1598"/>
  <c r="H1599"/>
  <c r="H1600"/>
  <c r="H1601"/>
  <c r="H1602"/>
  <c r="H1603"/>
  <c r="H1604"/>
  <c r="H1605"/>
  <c r="H1606"/>
  <c r="H1607"/>
  <c r="H1608"/>
  <c r="H1610"/>
  <c r="H1611"/>
  <c r="H1612"/>
  <c r="H1613"/>
  <c r="H1616"/>
  <c r="H1617"/>
  <c r="H1618"/>
  <c r="H1619"/>
  <c r="H1620"/>
  <c r="H1621"/>
  <c r="H1622"/>
  <c r="H1623"/>
  <c r="H1624"/>
  <c r="H1625"/>
  <c r="H1626"/>
  <c r="H1627"/>
  <c r="H1628"/>
  <c r="H1630"/>
  <c r="H1631"/>
  <c r="H1632"/>
  <c r="H1633"/>
  <c r="H1636"/>
  <c r="H1637"/>
  <c r="H1638"/>
  <c r="H1639"/>
  <c r="H1640"/>
  <c r="H1641"/>
  <c r="H1642"/>
  <c r="H1643"/>
  <c r="H1644"/>
  <c r="H1645"/>
  <c r="H1646"/>
  <c r="H1647"/>
  <c r="H1648"/>
  <c r="H1650"/>
  <c r="H1651"/>
  <c r="H1652"/>
  <c r="H1653"/>
  <c r="H1656"/>
  <c r="H1657"/>
  <c r="H1658"/>
  <c r="H1659"/>
  <c r="H1660"/>
  <c r="H1661"/>
  <c r="H1662"/>
  <c r="H1663"/>
  <c r="H1664"/>
  <c r="H1665"/>
  <c r="H1666"/>
  <c r="H1667"/>
  <c r="H1668"/>
  <c r="H1670"/>
  <c r="H1671"/>
  <c r="H1672"/>
  <c r="H1673"/>
  <c r="H1676"/>
  <c r="H1677"/>
  <c r="H1678"/>
  <c r="H1679"/>
  <c r="H1680"/>
  <c r="H1681"/>
  <c r="H1682"/>
  <c r="H1683"/>
  <c r="H1684"/>
  <c r="H1685"/>
  <c r="H1686"/>
  <c r="H1687"/>
  <c r="H1688"/>
  <c r="H1690"/>
  <c r="H1691"/>
  <c r="H1692"/>
  <c r="H1693"/>
  <c r="H1696"/>
  <c r="H1697"/>
  <c r="H1698"/>
  <c r="H1699"/>
  <c r="H1700"/>
  <c r="H1701"/>
  <c r="H1702"/>
  <c r="H1703"/>
  <c r="H1704"/>
  <c r="H1705"/>
  <c r="H1706"/>
  <c r="H1707"/>
  <c r="H1708"/>
  <c r="H1710"/>
  <c r="H1711"/>
  <c r="H1712"/>
  <c r="H1713"/>
  <c r="H1716"/>
  <c r="H1717"/>
  <c r="H1718"/>
  <c r="H1719"/>
  <c r="H1720"/>
  <c r="H1721"/>
  <c r="H1722"/>
  <c r="H1723"/>
  <c r="H1724"/>
  <c r="H1725"/>
  <c r="H1726"/>
  <c r="H1727"/>
  <c r="H1728"/>
  <c r="H1730"/>
  <c r="H1731"/>
  <c r="H1732"/>
  <c r="H1733"/>
  <c r="H1736"/>
  <c r="H1737"/>
  <c r="H1738"/>
  <c r="H1739"/>
  <c r="H1740"/>
  <c r="H1741"/>
  <c r="H1742"/>
  <c r="H1743"/>
  <c r="H1744"/>
  <c r="H1745"/>
  <c r="H1746"/>
  <c r="H1747"/>
  <c r="H1748"/>
  <c r="H1750"/>
  <c r="H1751"/>
  <c r="H1752"/>
  <c r="H1753"/>
  <c r="H1756"/>
  <c r="H1757"/>
  <c r="H1758"/>
  <c r="H1759"/>
  <c r="H1760"/>
  <c r="H1761"/>
  <c r="H1762"/>
  <c r="H1763"/>
  <c r="H1764"/>
  <c r="H1765"/>
  <c r="H1766"/>
  <c r="H1767"/>
  <c r="H1768"/>
  <c r="H1770"/>
  <c r="H1771"/>
  <c r="H1772"/>
  <c r="H1773"/>
  <c r="H1776"/>
  <c r="H1777"/>
  <c r="H1778"/>
  <c r="H1779"/>
  <c r="H1780"/>
  <c r="H1781"/>
  <c r="H1782"/>
  <c r="H1783"/>
  <c r="H1784"/>
  <c r="H1785"/>
  <c r="H1786"/>
  <c r="H1787"/>
  <c r="H1788"/>
  <c r="H1790"/>
  <c r="H1791"/>
  <c r="H1792"/>
  <c r="H1793"/>
  <c r="H1796"/>
  <c r="H1797"/>
  <c r="H1798"/>
  <c r="H1799"/>
  <c r="H1800"/>
  <c r="H1801"/>
  <c r="H1802"/>
  <c r="H1803"/>
  <c r="H1804"/>
  <c r="H1805"/>
  <c r="H1806"/>
  <c r="H1807"/>
  <c r="H1808"/>
  <c r="H1810"/>
  <c r="H1811"/>
  <c r="H1812"/>
  <c r="H1813"/>
  <c r="H1816"/>
  <c r="H1817"/>
  <c r="H1818"/>
  <c r="H1819"/>
  <c r="H1820"/>
  <c r="H1821"/>
  <c r="H1822"/>
  <c r="H1823"/>
  <c r="H1824"/>
  <c r="H1825"/>
  <c r="H1826"/>
  <c r="H1827"/>
  <c r="H1828"/>
  <c r="H1830"/>
  <c r="H1831"/>
  <c r="H1832"/>
  <c r="H1833"/>
  <c r="H1836"/>
  <c r="H1837"/>
  <c r="H1838"/>
  <c r="H1839"/>
  <c r="H1840"/>
  <c r="H1841"/>
  <c r="H1842"/>
  <c r="H1843"/>
  <c r="H1844"/>
  <c r="H1845"/>
  <c r="H1846"/>
  <c r="H1847"/>
  <c r="H1848"/>
  <c r="H1850"/>
  <c r="H1851"/>
  <c r="H1852"/>
  <c r="H1853"/>
  <c r="H1856"/>
  <c r="H1857"/>
  <c r="H1858"/>
  <c r="H1859"/>
  <c r="H1860"/>
  <c r="H1861"/>
  <c r="H1862"/>
  <c r="H1863"/>
  <c r="H1864"/>
  <c r="H1865"/>
  <c r="H1866"/>
  <c r="H1867"/>
  <c r="H1868"/>
  <c r="H1870"/>
  <c r="H1871"/>
  <c r="H1872"/>
  <c r="H1873"/>
  <c r="H1876"/>
  <c r="H1877"/>
  <c r="H1880"/>
  <c r="H1881"/>
  <c r="H1882"/>
  <c r="H1885"/>
  <c r="H1886"/>
  <c r="H1887"/>
  <c r="H1890"/>
  <c r="H1891"/>
  <c r="H1892"/>
  <c r="H1895"/>
  <c r="H1896"/>
  <c r="H1897"/>
  <c r="H1900"/>
  <c r="H1901"/>
  <c r="H1902"/>
  <c r="H1905"/>
  <c r="H1906"/>
  <c r="H1907"/>
  <c r="H1910"/>
  <c r="H1911"/>
  <c r="H1912"/>
  <c r="H1915"/>
  <c r="H1916"/>
  <c r="H1917"/>
  <c r="H1920"/>
  <c r="H1921"/>
  <c r="H1922"/>
  <c r="H1925"/>
  <c r="H1926"/>
  <c r="H1927"/>
  <c r="H1930"/>
  <c r="H1931"/>
  <c r="H1932"/>
  <c r="H1935"/>
  <c r="H1936"/>
  <c r="H1937"/>
  <c r="H1940"/>
  <c r="H1941"/>
  <c r="H1942"/>
  <c r="H1945"/>
  <c r="H1946"/>
  <c r="H1947"/>
  <c r="H1950"/>
  <c r="H1951"/>
  <c r="H1952"/>
  <c r="H1955"/>
  <c r="H1956"/>
  <c r="H1957"/>
  <c r="H1960"/>
  <c r="H1961"/>
  <c r="H1962"/>
  <c r="H1965"/>
  <c r="H1966"/>
  <c r="H1967"/>
  <c r="H1970"/>
  <c r="H1971"/>
  <c r="H1972"/>
  <c r="H1975"/>
  <c r="H1976"/>
  <c r="H1977"/>
  <c r="H1980"/>
  <c r="H1981"/>
  <c r="H1982"/>
  <c r="H1985"/>
  <c r="H1986"/>
  <c r="H1987"/>
  <c r="H1990"/>
  <c r="H1991"/>
  <c r="H1992"/>
  <c r="H1995"/>
  <c r="H1996"/>
  <c r="H1997"/>
  <c r="H2000"/>
  <c r="H2001"/>
  <c r="H2002"/>
  <c r="H2005"/>
  <c r="H2006"/>
  <c r="H2007"/>
  <c r="H2010"/>
  <c r="H2011"/>
  <c r="H2012"/>
  <c r="H2015"/>
  <c r="H2016"/>
  <c r="H2017"/>
  <c r="H2020"/>
  <c r="H2021"/>
  <c r="H2022"/>
  <c r="H2025"/>
  <c r="H2026"/>
  <c r="H2027"/>
  <c r="H2030"/>
  <c r="H2031"/>
  <c r="H2032"/>
  <c r="H2035"/>
  <c r="H2036"/>
  <c r="H2037"/>
  <c r="H2040"/>
  <c r="H2041"/>
  <c r="H2042"/>
  <c r="H2045"/>
  <c r="H2046"/>
  <c r="H2047"/>
  <c r="H2050"/>
  <c r="H2051"/>
  <c r="H2052"/>
  <c r="H2055"/>
  <c r="H2056"/>
  <c r="H2057"/>
  <c r="H2060"/>
  <c r="H2061"/>
  <c r="H2062"/>
  <c r="H2065"/>
  <c r="H2066"/>
  <c r="H2067"/>
  <c r="H2070"/>
  <c r="H2071"/>
  <c r="H2072"/>
  <c r="H2075"/>
  <c r="H2076"/>
  <c r="H2077"/>
  <c r="H2078"/>
  <c r="H2079"/>
  <c r="H2080"/>
  <c r="H2082"/>
  <c r="H2083"/>
  <c r="H2084"/>
  <c r="H2085"/>
  <c r="H2086"/>
  <c r="H2087"/>
  <c r="H2090"/>
  <c r="H2091"/>
  <c r="H2092"/>
  <c r="H2094"/>
  <c r="H2095"/>
  <c r="H2098"/>
  <c r="H2099"/>
  <c r="H2100"/>
  <c r="H2101"/>
  <c r="H2104"/>
  <c r="H2105"/>
  <c r="O5" i="6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I272"/>
  <c r="H273"/>
  <c r="H272" s="1"/>
  <c r="I273"/>
  <c r="J273"/>
  <c r="J272" s="1"/>
  <c r="K273"/>
  <c r="K272" s="1"/>
  <c r="L273"/>
  <c r="L272" s="1"/>
  <c r="M273"/>
  <c r="M272" s="1"/>
  <c r="N273"/>
  <c r="N272" s="1"/>
  <c r="H274"/>
  <c r="I274"/>
  <c r="J274"/>
  <c r="K274"/>
  <c r="L274"/>
  <c r="M274"/>
  <c r="N274"/>
  <c r="H275"/>
  <c r="I275"/>
  <c r="J275"/>
  <c r="K275"/>
  <c r="L275"/>
  <c r="M275"/>
  <c r="N275"/>
  <c r="H276"/>
  <c r="I276"/>
  <c r="I277" s="1"/>
  <c r="J276"/>
  <c r="J277" s="1"/>
  <c r="K276"/>
  <c r="K277" s="1"/>
  <c r="L276"/>
  <c r="L277" s="1"/>
  <c r="M276"/>
  <c r="M277" s="1"/>
  <c r="N276"/>
  <c r="N277" s="1"/>
  <c r="H277"/>
  <c r="H233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I233"/>
  <c r="I234" s="1"/>
  <c r="I235" s="1"/>
  <c r="I236" s="1"/>
  <c r="I237" s="1"/>
  <c r="I238" s="1"/>
  <c r="I239" s="1"/>
  <c r="I240" s="1"/>
  <c r="I241" s="1"/>
  <c r="I242" s="1"/>
  <c r="I243" s="1"/>
  <c r="I244" s="1"/>
  <c r="I245" s="1"/>
  <c r="I246" s="1"/>
  <c r="I247" s="1"/>
  <c r="I248" s="1"/>
  <c r="I249" s="1"/>
  <c r="I250" s="1"/>
  <c r="I251" s="1"/>
  <c r="I252" s="1"/>
  <c r="I253" s="1"/>
  <c r="I254" s="1"/>
  <c r="I255" s="1"/>
  <c r="I256" s="1"/>
  <c r="I257" s="1"/>
  <c r="I258" s="1"/>
  <c r="I259" s="1"/>
  <c r="I260" s="1"/>
  <c r="I261" s="1"/>
  <c r="I262" s="1"/>
  <c r="I263" s="1"/>
  <c r="I264" s="1"/>
  <c r="I265" s="1"/>
  <c r="I266" s="1"/>
  <c r="I267" s="1"/>
  <c r="I268" s="1"/>
  <c r="I269" s="1"/>
  <c r="I270" s="1"/>
  <c r="I271" s="1"/>
  <c r="J233"/>
  <c r="J234" s="1"/>
  <c r="J235" s="1"/>
  <c r="J236" s="1"/>
  <c r="J237" s="1"/>
  <c r="J238" s="1"/>
  <c r="J239" s="1"/>
  <c r="J240" s="1"/>
  <c r="J241" s="1"/>
  <c r="J242" s="1"/>
  <c r="J243" s="1"/>
  <c r="J244" s="1"/>
  <c r="J245" s="1"/>
  <c r="J246" s="1"/>
  <c r="J247" s="1"/>
  <c r="J248" s="1"/>
  <c r="J249" s="1"/>
  <c r="J250" s="1"/>
  <c r="J251" s="1"/>
  <c r="J252" s="1"/>
  <c r="J253" s="1"/>
  <c r="J254" s="1"/>
  <c r="J255" s="1"/>
  <c r="J256" s="1"/>
  <c r="J257" s="1"/>
  <c r="J258" s="1"/>
  <c r="J259" s="1"/>
  <c r="J260" s="1"/>
  <c r="J261" s="1"/>
  <c r="J262" s="1"/>
  <c r="J263" s="1"/>
  <c r="J264" s="1"/>
  <c r="J265" s="1"/>
  <c r="J266" s="1"/>
  <c r="J267" s="1"/>
  <c r="J268" s="1"/>
  <c r="J269" s="1"/>
  <c r="J270" s="1"/>
  <c r="J271" s="1"/>
  <c r="K233"/>
  <c r="K234" s="1"/>
  <c r="K235" s="1"/>
  <c r="K236" s="1"/>
  <c r="K237" s="1"/>
  <c r="K238" s="1"/>
  <c r="K239" s="1"/>
  <c r="K240" s="1"/>
  <c r="K241" s="1"/>
  <c r="K242" s="1"/>
  <c r="K243" s="1"/>
  <c r="K244" s="1"/>
  <c r="K245" s="1"/>
  <c r="K246" s="1"/>
  <c r="K247" s="1"/>
  <c r="K248" s="1"/>
  <c r="K249" s="1"/>
  <c r="K250" s="1"/>
  <c r="K251" s="1"/>
  <c r="K252" s="1"/>
  <c r="K253" s="1"/>
  <c r="K254" s="1"/>
  <c r="K255" s="1"/>
  <c r="K256" s="1"/>
  <c r="K257" s="1"/>
  <c r="K258" s="1"/>
  <c r="K259" s="1"/>
  <c r="K260" s="1"/>
  <c r="K261" s="1"/>
  <c r="K262" s="1"/>
  <c r="K263" s="1"/>
  <c r="K264" s="1"/>
  <c r="K265" s="1"/>
  <c r="K266" s="1"/>
  <c r="K267" s="1"/>
  <c r="K268" s="1"/>
  <c r="K269" s="1"/>
  <c r="K270" s="1"/>
  <c r="K271" s="1"/>
  <c r="L233"/>
  <c r="L234" s="1"/>
  <c r="L235" s="1"/>
  <c r="L236" s="1"/>
  <c r="L237" s="1"/>
  <c r="L238" s="1"/>
  <c r="L239" s="1"/>
  <c r="L240" s="1"/>
  <c r="L241" s="1"/>
  <c r="L242" s="1"/>
  <c r="L243" s="1"/>
  <c r="L244" s="1"/>
  <c r="L245" s="1"/>
  <c r="L246" s="1"/>
  <c r="L247" s="1"/>
  <c r="L248" s="1"/>
  <c r="L249" s="1"/>
  <c r="L250" s="1"/>
  <c r="L251" s="1"/>
  <c r="L252" s="1"/>
  <c r="L253" s="1"/>
  <c r="L254" s="1"/>
  <c r="L255" s="1"/>
  <c r="L256" s="1"/>
  <c r="L257" s="1"/>
  <c r="L258" s="1"/>
  <c r="L259" s="1"/>
  <c r="L260" s="1"/>
  <c r="L261" s="1"/>
  <c r="L262" s="1"/>
  <c r="L263" s="1"/>
  <c r="L264" s="1"/>
  <c r="L265" s="1"/>
  <c r="L266" s="1"/>
  <c r="L267" s="1"/>
  <c r="L268" s="1"/>
  <c r="L269" s="1"/>
  <c r="L270" s="1"/>
  <c r="L271" s="1"/>
  <c r="M233"/>
  <c r="N233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M234"/>
  <c r="M235" s="1"/>
  <c r="M236" s="1"/>
  <c r="M237" s="1"/>
  <c r="M238" s="1"/>
  <c r="M239" s="1"/>
  <c r="M240" s="1"/>
  <c r="M241" s="1"/>
  <c r="M242" s="1"/>
  <c r="M243" s="1"/>
  <c r="M244" s="1"/>
  <c r="M245" s="1"/>
  <c r="M246" s="1"/>
  <c r="M247" s="1"/>
  <c r="M248" s="1"/>
  <c r="M249" s="1"/>
  <c r="M250" s="1"/>
  <c r="M251" s="1"/>
  <c r="M252" s="1"/>
  <c r="M253" s="1"/>
  <c r="M254" s="1"/>
  <c r="M255" s="1"/>
  <c r="M256" s="1"/>
  <c r="M257" s="1"/>
  <c r="M258" s="1"/>
  <c r="M259" s="1"/>
  <c r="M260" s="1"/>
  <c r="M261" s="1"/>
  <c r="M262" s="1"/>
  <c r="M263" s="1"/>
  <c r="M264" s="1"/>
  <c r="M265" s="1"/>
  <c r="M266" s="1"/>
  <c r="M267" s="1"/>
  <c r="M268" s="1"/>
  <c r="M269" s="1"/>
  <c r="M270" s="1"/>
  <c r="M271" s="1"/>
  <c r="H35"/>
  <c r="I35"/>
  <c r="J35"/>
  <c r="K35"/>
  <c r="L35"/>
  <c r="M35"/>
  <c r="N35"/>
  <c r="H36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5" s="1"/>
  <c r="H66" s="1"/>
  <c r="H67" s="1"/>
  <c r="H68" s="1"/>
  <c r="H69" s="1"/>
  <c r="H70" s="1"/>
  <c r="H71" s="1"/>
  <c r="H72" s="1"/>
  <c r="H73" s="1"/>
  <c r="H74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I36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5" s="1"/>
  <c r="I66" s="1"/>
  <c r="I67" s="1"/>
  <c r="I68" s="1"/>
  <c r="I69" s="1"/>
  <c r="I70" s="1"/>
  <c r="I71" s="1"/>
  <c r="I72" s="1"/>
  <c r="I73" s="1"/>
  <c r="I74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J36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5" s="1"/>
  <c r="J66" s="1"/>
  <c r="J67" s="1"/>
  <c r="J68" s="1"/>
  <c r="J69" s="1"/>
  <c r="J70" s="1"/>
  <c r="J71" s="1"/>
  <c r="J72" s="1"/>
  <c r="J73" s="1"/>
  <c r="J74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K36"/>
  <c r="L36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5" s="1"/>
  <c r="L66" s="1"/>
  <c r="L67" s="1"/>
  <c r="L68" s="1"/>
  <c r="L69" s="1"/>
  <c r="L70" s="1"/>
  <c r="L71" s="1"/>
  <c r="L72" s="1"/>
  <c r="L73" s="1"/>
  <c r="L74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M36"/>
  <c r="M37" s="1"/>
  <c r="M38" s="1"/>
  <c r="M39" s="1"/>
  <c r="M40" s="1"/>
  <c r="M41" s="1"/>
  <c r="M42" s="1"/>
  <c r="M43" s="1"/>
  <c r="M44" s="1"/>
  <c r="M45" s="1"/>
  <c r="M46" s="1"/>
  <c r="M47" s="1"/>
  <c r="M48" s="1"/>
  <c r="M49" s="1"/>
  <c r="M50" s="1"/>
  <c r="M51" s="1"/>
  <c r="M52" s="1"/>
  <c r="M53" s="1"/>
  <c r="M54" s="1"/>
  <c r="M55" s="1"/>
  <c r="M56" s="1"/>
  <c r="M57" s="1"/>
  <c r="M58" s="1"/>
  <c r="M59" s="1"/>
  <c r="M60" s="1"/>
  <c r="M61" s="1"/>
  <c r="M62" s="1"/>
  <c r="M63" s="1"/>
  <c r="M65" s="1"/>
  <c r="M66" s="1"/>
  <c r="M67" s="1"/>
  <c r="M68" s="1"/>
  <c r="M69" s="1"/>
  <c r="M70" s="1"/>
  <c r="M71" s="1"/>
  <c r="M72" s="1"/>
  <c r="M73" s="1"/>
  <c r="M74" s="1"/>
  <c r="M76" s="1"/>
  <c r="M77" s="1"/>
  <c r="M78" s="1"/>
  <c r="M79" s="1"/>
  <c r="M80" s="1"/>
  <c r="M81" s="1"/>
  <c r="M82" s="1"/>
  <c r="M83" s="1"/>
  <c r="M84" s="1"/>
  <c r="M85" s="1"/>
  <c r="M86" s="1"/>
  <c r="M87" s="1"/>
  <c r="M88" s="1"/>
  <c r="M89" s="1"/>
  <c r="M90" s="1"/>
  <c r="M91" s="1"/>
  <c r="M92" s="1"/>
  <c r="M93" s="1"/>
  <c r="M94" s="1"/>
  <c r="M95" s="1"/>
  <c r="N36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5" s="1"/>
  <c r="N66" s="1"/>
  <c r="N67" s="1"/>
  <c r="N68" s="1"/>
  <c r="N69" s="1"/>
  <c r="N70" s="1"/>
  <c r="N71" s="1"/>
  <c r="N72" s="1"/>
  <c r="N73" s="1"/>
  <c r="N74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K37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5" s="1"/>
  <c r="K66" s="1"/>
  <c r="K67" s="1"/>
  <c r="K68" s="1"/>
  <c r="K69" s="1"/>
  <c r="K70" s="1"/>
  <c r="K71" s="1"/>
  <c r="K72" s="1"/>
  <c r="K73" s="1"/>
  <c r="K74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H64"/>
  <c r="I64"/>
  <c r="J64"/>
  <c r="K64"/>
  <c r="L64"/>
  <c r="M64"/>
  <c r="N64"/>
  <c r="H75"/>
  <c r="I75"/>
  <c r="J75"/>
  <c r="K75"/>
  <c r="L75"/>
  <c r="M75"/>
  <c r="N75"/>
  <c r="H98"/>
  <c r="H99" s="1"/>
  <c r="H101" s="1"/>
  <c r="H103" s="1"/>
  <c r="H104" s="1"/>
  <c r="H105" s="1"/>
  <c r="I98"/>
  <c r="I99" s="1"/>
  <c r="I101" s="1"/>
  <c r="I103" s="1"/>
  <c r="I104" s="1"/>
  <c r="I105" s="1"/>
  <c r="J98"/>
  <c r="J99" s="1"/>
  <c r="J101" s="1"/>
  <c r="J103" s="1"/>
  <c r="J104" s="1"/>
  <c r="J105" s="1"/>
  <c r="K98"/>
  <c r="K99" s="1"/>
  <c r="K101" s="1"/>
  <c r="K103" s="1"/>
  <c r="K104" s="1"/>
  <c r="K105" s="1"/>
  <c r="L98"/>
  <c r="L99" s="1"/>
  <c r="L101" s="1"/>
  <c r="L103" s="1"/>
  <c r="L104" s="1"/>
  <c r="L105" s="1"/>
  <c r="M98"/>
  <c r="M99" s="1"/>
  <c r="M101" s="1"/>
  <c r="M103" s="1"/>
  <c r="M104" s="1"/>
  <c r="M105" s="1"/>
  <c r="N98"/>
  <c r="N99" s="1"/>
  <c r="N101" s="1"/>
  <c r="N103" s="1"/>
  <c r="N104" s="1"/>
  <c r="N105" s="1"/>
  <c r="H192"/>
  <c r="I192"/>
  <c r="J192"/>
  <c r="K192"/>
  <c r="L192"/>
  <c r="M192"/>
  <c r="N192"/>
  <c r="H193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I193"/>
  <c r="I194" s="1"/>
  <c r="I195" s="1"/>
  <c r="I196" s="1"/>
  <c r="I197" s="1"/>
  <c r="I198" s="1"/>
  <c r="I199" s="1"/>
  <c r="I200" s="1"/>
  <c r="I201" s="1"/>
  <c r="I202" s="1"/>
  <c r="I203" s="1"/>
  <c r="I204" s="1"/>
  <c r="I205" s="1"/>
  <c r="I206" s="1"/>
  <c r="I207" s="1"/>
  <c r="I208" s="1"/>
  <c r="I209" s="1"/>
  <c r="I210" s="1"/>
  <c r="I211" s="1"/>
  <c r="I212" s="1"/>
  <c r="I213" s="1"/>
  <c r="I214" s="1"/>
  <c r="I215" s="1"/>
  <c r="I216" s="1"/>
  <c r="I217" s="1"/>
  <c r="I218" s="1"/>
  <c r="I219" s="1"/>
  <c r="I220" s="1"/>
  <c r="I221" s="1"/>
  <c r="I222" s="1"/>
  <c r="I223" s="1"/>
  <c r="I224" s="1"/>
  <c r="I225" s="1"/>
  <c r="I226" s="1"/>
  <c r="I227" s="1"/>
  <c r="I228" s="1"/>
  <c r="I229" s="1"/>
  <c r="I230" s="1"/>
  <c r="I231" s="1"/>
  <c r="J193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230" s="1"/>
  <c r="J231" s="1"/>
  <c r="K193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K208" s="1"/>
  <c r="K209" s="1"/>
  <c r="K210" s="1"/>
  <c r="K211" s="1"/>
  <c r="K212" s="1"/>
  <c r="K213" s="1"/>
  <c r="K214" s="1"/>
  <c r="K215" s="1"/>
  <c r="K216" s="1"/>
  <c r="K217" s="1"/>
  <c r="K218" s="1"/>
  <c r="K219" s="1"/>
  <c r="K220" s="1"/>
  <c r="K221" s="1"/>
  <c r="K222" s="1"/>
  <c r="K223" s="1"/>
  <c r="K224" s="1"/>
  <c r="K225" s="1"/>
  <c r="K226" s="1"/>
  <c r="K227" s="1"/>
  <c r="K228" s="1"/>
  <c r="K229" s="1"/>
  <c r="K230" s="1"/>
  <c r="K231" s="1"/>
  <c r="L193"/>
  <c r="L194" s="1"/>
  <c r="L195" s="1"/>
  <c r="L196" s="1"/>
  <c r="L197" s="1"/>
  <c r="L198" s="1"/>
  <c r="L199" s="1"/>
  <c r="L200" s="1"/>
  <c r="L201" s="1"/>
  <c r="L202" s="1"/>
  <c r="L203" s="1"/>
  <c r="L204" s="1"/>
  <c r="L205" s="1"/>
  <c r="L206" s="1"/>
  <c r="L207" s="1"/>
  <c r="L208" s="1"/>
  <c r="L209" s="1"/>
  <c r="L210" s="1"/>
  <c r="L211" s="1"/>
  <c r="L212" s="1"/>
  <c r="L213" s="1"/>
  <c r="L214" s="1"/>
  <c r="L215" s="1"/>
  <c r="L216" s="1"/>
  <c r="L217" s="1"/>
  <c r="L218" s="1"/>
  <c r="L219" s="1"/>
  <c r="L220" s="1"/>
  <c r="L221" s="1"/>
  <c r="L222" s="1"/>
  <c r="L223" s="1"/>
  <c r="L224" s="1"/>
  <c r="L225" s="1"/>
  <c r="L226" s="1"/>
  <c r="L227" s="1"/>
  <c r="L228" s="1"/>
  <c r="L229" s="1"/>
  <c r="L230" s="1"/>
  <c r="L231" s="1"/>
  <c r="M193"/>
  <c r="M194" s="1"/>
  <c r="M195" s="1"/>
  <c r="M196" s="1"/>
  <c r="M197" s="1"/>
  <c r="M198" s="1"/>
  <c r="M199" s="1"/>
  <c r="M200" s="1"/>
  <c r="M201" s="1"/>
  <c r="M202" s="1"/>
  <c r="M203" s="1"/>
  <c r="M204" s="1"/>
  <c r="M205" s="1"/>
  <c r="M206" s="1"/>
  <c r="M207" s="1"/>
  <c r="M208" s="1"/>
  <c r="M209" s="1"/>
  <c r="M210" s="1"/>
  <c r="M211" s="1"/>
  <c r="M212" s="1"/>
  <c r="M213" s="1"/>
  <c r="M214" s="1"/>
  <c r="M215" s="1"/>
  <c r="M216" s="1"/>
  <c r="M217" s="1"/>
  <c r="M218" s="1"/>
  <c r="M219" s="1"/>
  <c r="M220" s="1"/>
  <c r="M221" s="1"/>
  <c r="M222" s="1"/>
  <c r="M223" s="1"/>
  <c r="M224" s="1"/>
  <c r="M225" s="1"/>
  <c r="M226" s="1"/>
  <c r="M227" s="1"/>
  <c r="M228" s="1"/>
  <c r="M229" s="1"/>
  <c r="M230" s="1"/>
  <c r="M231" s="1"/>
  <c r="N193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H232"/>
  <c r="I232"/>
  <c r="J232"/>
  <c r="K232"/>
  <c r="L232"/>
  <c r="M232"/>
  <c r="N232"/>
  <c r="H28"/>
  <c r="H29" s="1"/>
  <c r="H30" s="1"/>
  <c r="H31" s="1"/>
  <c r="H32" s="1"/>
  <c r="H33" s="1"/>
  <c r="H34" s="1"/>
  <c r="I28"/>
  <c r="I29" s="1"/>
  <c r="I30" s="1"/>
  <c r="I31" s="1"/>
  <c r="I32" s="1"/>
  <c r="I33" s="1"/>
  <c r="I34" s="1"/>
  <c r="J28"/>
  <c r="J29" s="1"/>
  <c r="J30" s="1"/>
  <c r="J31" s="1"/>
  <c r="J32" s="1"/>
  <c r="J33" s="1"/>
  <c r="J34" s="1"/>
  <c r="K28"/>
  <c r="K29" s="1"/>
  <c r="K30" s="1"/>
  <c r="K31" s="1"/>
  <c r="K32" s="1"/>
  <c r="K33" s="1"/>
  <c r="K34" s="1"/>
  <c r="L28"/>
  <c r="L29" s="1"/>
  <c r="L30" s="1"/>
  <c r="L31" s="1"/>
  <c r="L32" s="1"/>
  <c r="L33" s="1"/>
  <c r="L34" s="1"/>
  <c r="M28"/>
  <c r="M29" s="1"/>
  <c r="M30" s="1"/>
  <c r="M31" s="1"/>
  <c r="M32" s="1"/>
  <c r="M33" s="1"/>
  <c r="M34" s="1"/>
  <c r="N28"/>
  <c r="N29" s="1"/>
  <c r="N30" s="1"/>
  <c r="N31" s="1"/>
  <c r="N32" s="1"/>
  <c r="N33" s="1"/>
  <c r="N34" s="1"/>
  <c r="H23"/>
  <c r="H26" s="1"/>
  <c r="I23"/>
  <c r="I26" s="1"/>
  <c r="J23"/>
  <c r="J26" s="1"/>
  <c r="K23"/>
  <c r="K26" s="1"/>
  <c r="L23"/>
  <c r="L26" s="1"/>
  <c r="M23"/>
  <c r="N23"/>
  <c r="N26" s="1"/>
  <c r="H24"/>
  <c r="I24"/>
  <c r="J24"/>
  <c r="K24"/>
  <c r="L24"/>
  <c r="M24"/>
  <c r="N24"/>
  <c r="H25"/>
  <c r="H27" s="1"/>
  <c r="I25"/>
  <c r="I27" s="1"/>
  <c r="J25"/>
  <c r="J27" s="1"/>
  <c r="K25"/>
  <c r="K27" s="1"/>
  <c r="L25"/>
  <c r="L27" s="1"/>
  <c r="M25"/>
  <c r="M27" s="1"/>
  <c r="N25"/>
  <c r="N27" s="1"/>
  <c r="M26"/>
  <c r="H12"/>
  <c r="I12"/>
  <c r="J12"/>
  <c r="K12"/>
  <c r="L12"/>
  <c r="M12"/>
  <c r="N12"/>
  <c r="H13"/>
  <c r="I13"/>
  <c r="J13"/>
  <c r="K13"/>
  <c r="L13"/>
  <c r="M13"/>
  <c r="N13"/>
  <c r="H14"/>
  <c r="I14"/>
  <c r="J14"/>
  <c r="K14"/>
  <c r="L14"/>
  <c r="M14"/>
  <c r="N14"/>
  <c r="H15"/>
  <c r="I15"/>
  <c r="J15"/>
  <c r="K15"/>
  <c r="L15"/>
  <c r="M15"/>
  <c r="N15"/>
  <c r="H16"/>
  <c r="I16"/>
  <c r="J16"/>
  <c r="K16"/>
  <c r="L16"/>
  <c r="M16"/>
  <c r="N16"/>
  <c r="H17"/>
  <c r="I17"/>
  <c r="J17"/>
  <c r="K17"/>
  <c r="L17"/>
  <c r="M17"/>
  <c r="N17"/>
  <c r="H18"/>
  <c r="I18"/>
  <c r="J18"/>
  <c r="K18"/>
  <c r="L18"/>
  <c r="M18"/>
  <c r="N18"/>
  <c r="H19"/>
  <c r="I19"/>
  <c r="J19"/>
  <c r="K19"/>
  <c r="L19"/>
  <c r="M19"/>
  <c r="N19"/>
  <c r="H20"/>
  <c r="I20"/>
  <c r="J20"/>
  <c r="K20"/>
  <c r="L20"/>
  <c r="M20"/>
  <c r="N20"/>
  <c r="H21"/>
  <c r="I21"/>
  <c r="J21"/>
  <c r="K21"/>
  <c r="L21"/>
  <c r="M21"/>
  <c r="N21"/>
  <c r="H22"/>
  <c r="I22"/>
  <c r="J22"/>
  <c r="K22"/>
  <c r="L22"/>
  <c r="M22"/>
  <c r="N22"/>
  <c r="H4"/>
  <c r="I4"/>
  <c r="J4"/>
  <c r="K4"/>
  <c r="L4"/>
  <c r="M4"/>
  <c r="N4"/>
  <c r="H5"/>
  <c r="I5"/>
  <c r="J5"/>
  <c r="K5"/>
  <c r="L5"/>
  <c r="M5"/>
  <c r="N5"/>
  <c r="H6"/>
  <c r="I6"/>
  <c r="J6"/>
  <c r="K6"/>
  <c r="L6"/>
  <c r="M6"/>
  <c r="N6"/>
  <c r="H7"/>
  <c r="I7"/>
  <c r="J7"/>
  <c r="K7"/>
  <c r="L7"/>
  <c r="M7"/>
  <c r="N7"/>
  <c r="H8"/>
  <c r="I8"/>
  <c r="J8"/>
  <c r="K8"/>
  <c r="L8"/>
  <c r="M8"/>
  <c r="N8"/>
  <c r="H9"/>
  <c r="I9"/>
  <c r="J9"/>
  <c r="K9"/>
  <c r="L9"/>
  <c r="M9"/>
  <c r="N9"/>
  <c r="H10"/>
  <c r="I10"/>
  <c r="J10"/>
  <c r="K10"/>
  <c r="L10"/>
  <c r="M10"/>
  <c r="N10"/>
  <c r="H11"/>
  <c r="I11"/>
  <c r="J11"/>
  <c r="K11"/>
  <c r="L11"/>
  <c r="M11"/>
  <c r="N11"/>
  <c r="D32" i="8"/>
  <c r="D772" i="1"/>
  <c r="D28" i="8"/>
  <c r="D35"/>
  <c r="D38"/>
  <c r="D40"/>
  <c r="D39"/>
  <c r="D42"/>
  <c r="D45"/>
  <c r="D43"/>
  <c r="D47"/>
  <c r="D44"/>
  <c r="D41"/>
  <c r="D37"/>
  <c r="D36"/>
  <c r="D33"/>
  <c r="D34"/>
  <c r="D31"/>
  <c r="D30"/>
  <c r="D29"/>
  <c r="D46"/>
  <c r="D10"/>
  <c r="D11"/>
  <c r="D15"/>
  <c r="D27"/>
  <c r="D26"/>
  <c r="D25"/>
  <c r="D24"/>
  <c r="D23"/>
  <c r="D22"/>
  <c r="D21"/>
  <c r="D20"/>
  <c r="D19"/>
  <c r="D14"/>
  <c r="D16"/>
  <c r="D17"/>
  <c r="D18"/>
  <c r="D13"/>
  <c r="D12"/>
  <c r="D9"/>
  <c r="D8"/>
  <c r="D7"/>
  <c r="D6"/>
  <c r="D5"/>
  <c r="D4"/>
  <c r="D3"/>
  <c r="E16" i="6"/>
  <c r="E21"/>
  <c r="D2103" i="1"/>
  <c r="D277" i="6" s="1"/>
  <c r="D2097" i="1"/>
  <c r="D276" i="6" s="1"/>
  <c r="D2093" i="1"/>
  <c r="D275" i="6" s="1"/>
  <c r="D2089" i="1"/>
  <c r="D274" i="6" s="1"/>
  <c r="D2082" i="1"/>
  <c r="D273" i="6" s="1"/>
  <c r="D2074" i="1"/>
  <c r="D272" i="6" s="1"/>
  <c r="D2039" i="1"/>
  <c r="D265" i="6" s="1"/>
  <c r="D2044" i="1"/>
  <c r="D2049"/>
  <c r="D267" i="6" s="1"/>
  <c r="D2054" i="1"/>
  <c r="D268" i="6" s="1"/>
  <c r="D2059" i="1"/>
  <c r="D2064"/>
  <c r="D2069"/>
  <c r="D1894"/>
  <c r="D236" i="6" s="1"/>
  <c r="D1899" i="1"/>
  <c r="D1904"/>
  <c r="D1909"/>
  <c r="D1914"/>
  <c r="D1919"/>
  <c r="D1924"/>
  <c r="D1929"/>
  <c r="D243" i="6" s="1"/>
  <c r="D1934" i="1"/>
  <c r="D244" i="6" s="1"/>
  <c r="D1939" i="1"/>
  <c r="D1944"/>
  <c r="D1949"/>
  <c r="D1954"/>
  <c r="D248" i="6" s="1"/>
  <c r="D1959" i="1"/>
  <c r="D1964"/>
  <c r="D1969"/>
  <c r="D1974"/>
  <c r="D1979"/>
  <c r="D1984"/>
  <c r="D1989"/>
  <c r="D255" i="6" s="1"/>
  <c r="D1994" i="1"/>
  <c r="D256" i="6" s="1"/>
  <c r="D1999" i="1"/>
  <c r="D2004"/>
  <c r="D2009"/>
  <c r="D2014"/>
  <c r="D260" i="6" s="1"/>
  <c r="D2019" i="1"/>
  <c r="D2024"/>
  <c r="D2029"/>
  <c r="D2034"/>
  <c r="D1889"/>
  <c r="D235" i="6" s="1"/>
  <c r="D1884" i="1"/>
  <c r="D234" i="6" s="1"/>
  <c r="D1879" i="1"/>
  <c r="D233" i="6" s="1"/>
  <c r="D1875" i="1"/>
  <c r="D232" i="6" s="1"/>
  <c r="D1635" i="1"/>
  <c r="D220" i="6" s="1"/>
  <c r="D1655" i="1"/>
  <c r="D1675"/>
  <c r="D1695"/>
  <c r="D1715"/>
  <c r="D1735"/>
  <c r="D1755"/>
  <c r="D1775"/>
  <c r="D1795"/>
  <c r="D1815"/>
  <c r="D1835"/>
  <c r="D230" i="6" s="1"/>
  <c r="D1855" i="1"/>
  <c r="D231" i="6" s="1"/>
  <c r="D1535" i="1"/>
  <c r="D1555"/>
  <c r="D1575"/>
  <c r="D1595"/>
  <c r="D1615"/>
  <c r="D1395"/>
  <c r="D208" i="6" s="1"/>
  <c r="D1415" i="1"/>
  <c r="D209" i="6" s="1"/>
  <c r="D1435" i="1"/>
  <c r="D1455"/>
  <c r="D1475"/>
  <c r="D1495"/>
  <c r="D213" i="6" s="1"/>
  <c r="D1515" i="1"/>
  <c r="D214" i="6" s="1"/>
  <c r="D1275" i="1"/>
  <c r="D202" i="6" s="1"/>
  <c r="D1295" i="1"/>
  <c r="D1315"/>
  <c r="D1335"/>
  <c r="D205" i="6" s="1"/>
  <c r="D1355" i="1"/>
  <c r="D1375"/>
  <c r="D1255"/>
  <c r="D201" i="6" s="1"/>
  <c r="D1235" i="1"/>
  <c r="D200" i="6" s="1"/>
  <c r="D1215" i="1"/>
  <c r="D199" i="6" s="1"/>
  <c r="D1195" i="1"/>
  <c r="D198" i="6" s="1"/>
  <c r="D1175" i="1"/>
  <c r="D197" i="6" s="1"/>
  <c r="D1155" i="1"/>
  <c r="D196" i="6" s="1"/>
  <c r="D1135" i="1"/>
  <c r="D195" i="6" s="1"/>
  <c r="D1115" i="1"/>
  <c r="D1095"/>
  <c r="D193" i="6" s="1"/>
  <c r="D1077" i="1"/>
  <c r="D192" i="6" s="1"/>
  <c r="D1072" i="1"/>
  <c r="D191" i="6" s="1"/>
  <c r="D1032" i="1"/>
  <c r="D1037"/>
  <c r="D184" i="6" s="1"/>
  <c r="D1042" i="1"/>
  <c r="D1047"/>
  <c r="D1052"/>
  <c r="D1057"/>
  <c r="D188" i="6" s="1"/>
  <c r="D1062" i="1"/>
  <c r="D189" i="6" s="1"/>
  <c r="D1067" i="1"/>
  <c r="D1012"/>
  <c r="D1017"/>
  <c r="D1022"/>
  <c r="D181" i="6" s="1"/>
  <c r="D1027" i="1"/>
  <c r="D852"/>
  <c r="D147" i="6" s="1"/>
  <c r="D857" i="1"/>
  <c r="D862"/>
  <c r="D867"/>
  <c r="D872"/>
  <c r="D877"/>
  <c r="D152" i="6" s="1"/>
  <c r="D882" i="1"/>
  <c r="D153" i="6" s="1"/>
  <c r="D887" i="1"/>
  <c r="D892"/>
  <c r="D897"/>
  <c r="D156" i="6" s="1"/>
  <c r="D902" i="1"/>
  <c r="D157" i="6" s="1"/>
  <c r="D907" i="1"/>
  <c r="D912"/>
  <c r="D159" i="6" s="1"/>
  <c r="D917" i="1"/>
  <c r="D160" i="6" s="1"/>
  <c r="D922" i="1"/>
  <c r="D927"/>
  <c r="D932"/>
  <c r="D163" i="6" s="1"/>
  <c r="D937" i="1"/>
  <c r="D164" i="6" s="1"/>
  <c r="D942" i="1"/>
  <c r="D165" i="6" s="1"/>
  <c r="D947" i="1"/>
  <c r="D952"/>
  <c r="D957"/>
  <c r="D962"/>
  <c r="D169" i="6" s="1"/>
  <c r="D967" i="1"/>
  <c r="D972"/>
  <c r="D171" i="6" s="1"/>
  <c r="D977" i="1"/>
  <c r="D172" i="6" s="1"/>
  <c r="D982" i="1"/>
  <c r="D987"/>
  <c r="D992"/>
  <c r="D997"/>
  <c r="D176" i="6" s="1"/>
  <c r="D1002" i="1"/>
  <c r="D177" i="6" s="1"/>
  <c r="D1007" i="1"/>
  <c r="D817"/>
  <c r="D140" i="6" s="1"/>
  <c r="D822" i="1"/>
  <c r="D827"/>
  <c r="D142" i="6" s="1"/>
  <c r="D832" i="1"/>
  <c r="D837"/>
  <c r="D144" i="6" s="1"/>
  <c r="D842" i="1"/>
  <c r="D145" i="6" s="1"/>
  <c r="D847" i="1"/>
  <c r="D782"/>
  <c r="D133" i="6" s="1"/>
  <c r="D787" i="1"/>
  <c r="D134" i="6" s="1"/>
  <c r="D792" i="1"/>
  <c r="D135" i="6" s="1"/>
  <c r="D797" i="1"/>
  <c r="D136" i="6" s="1"/>
  <c r="D802" i="1"/>
  <c r="D807"/>
  <c r="D812"/>
  <c r="D139" i="6" s="1"/>
  <c r="D777" i="1"/>
  <c r="D132" i="6" s="1"/>
  <c r="D131"/>
  <c r="D717" i="1"/>
  <c r="D120" i="6" s="1"/>
  <c r="D722" i="1"/>
  <c r="D121" i="6" s="1"/>
  <c r="D727" i="1"/>
  <c r="D122" i="6" s="1"/>
  <c r="D732" i="1"/>
  <c r="D123" i="6" s="1"/>
  <c r="D737" i="1"/>
  <c r="D742"/>
  <c r="D125" i="6" s="1"/>
  <c r="D747" i="1"/>
  <c r="D126" i="6" s="1"/>
  <c r="D752" i="1"/>
  <c r="D127" i="6" s="1"/>
  <c r="D757" i="1"/>
  <c r="D762"/>
  <c r="D129" i="6" s="1"/>
  <c r="D767" i="1"/>
  <c r="D130" i="6" s="1"/>
  <c r="D702" i="1"/>
  <c r="D117" i="6" s="1"/>
  <c r="D707" i="1"/>
  <c r="D118" i="6" s="1"/>
  <c r="D712" i="1"/>
  <c r="D697"/>
  <c r="D116" i="6" s="1"/>
  <c r="D692" i="1"/>
  <c r="D115" i="6" s="1"/>
  <c r="D686" i="1"/>
  <c r="D114" i="6" s="1"/>
  <c r="D678" i="1"/>
  <c r="D113" i="6" s="1"/>
  <c r="D671" i="1"/>
  <c r="D112" i="6" s="1"/>
  <c r="D657" i="1"/>
  <c r="D110" i="6" s="1"/>
  <c r="D664" i="1"/>
  <c r="D111" i="6" s="1"/>
  <c r="D552" i="1"/>
  <c r="D95" i="6" s="1"/>
  <c r="D559" i="1"/>
  <c r="D96" i="6" s="1"/>
  <c r="D566" i="1"/>
  <c r="D97" i="6" s="1"/>
  <c r="D573" i="1"/>
  <c r="D98" i="6" s="1"/>
  <c r="D580" i="1"/>
  <c r="D99" i="6" s="1"/>
  <c r="D587" i="1"/>
  <c r="D100" i="6" s="1"/>
  <c r="D594" i="1"/>
  <c r="D101" i="6" s="1"/>
  <c r="D601" i="1"/>
  <c r="D102" i="6" s="1"/>
  <c r="D608" i="1"/>
  <c r="D103" i="6" s="1"/>
  <c r="D615" i="1"/>
  <c r="D104" i="6" s="1"/>
  <c r="D622" i="1"/>
  <c r="D105" i="6" s="1"/>
  <c r="D629" i="1"/>
  <c r="D106" i="6" s="1"/>
  <c r="D636" i="1"/>
  <c r="D107" i="6" s="1"/>
  <c r="D643" i="1"/>
  <c r="D108" i="6" s="1"/>
  <c r="D650" i="1"/>
  <c r="D109" i="6" s="1"/>
  <c r="D531" i="1"/>
  <c r="D92" i="6" s="1"/>
  <c r="D538" i="1"/>
  <c r="D93" i="6" s="1"/>
  <c r="D545" i="1"/>
  <c r="D489"/>
  <c r="D86" i="6" s="1"/>
  <c r="D496" i="1"/>
  <c r="D87" i="6" s="1"/>
  <c r="D503" i="1"/>
  <c r="D88" i="6" s="1"/>
  <c r="D510" i="1"/>
  <c r="D89" i="6" s="1"/>
  <c r="D517" i="1"/>
  <c r="D90" i="6" s="1"/>
  <c r="D524" i="1"/>
  <c r="D91" i="6" s="1"/>
  <c r="D454" i="1"/>
  <c r="D81" i="6" s="1"/>
  <c r="D461" i="1"/>
  <c r="D82" i="6" s="1"/>
  <c r="D468" i="1"/>
  <c r="D83" i="6" s="1"/>
  <c r="D475" i="1"/>
  <c r="D84" i="6" s="1"/>
  <c r="D482" i="1"/>
  <c r="D85" i="6" s="1"/>
  <c r="D433" i="1"/>
  <c r="D78" i="6" s="1"/>
  <c r="D440" i="1"/>
  <c r="D79" i="6" s="1"/>
  <c r="D447" i="1"/>
  <c r="D80" i="6" s="1"/>
  <c r="D426" i="1"/>
  <c r="D77" i="6" s="1"/>
  <c r="D419" i="1"/>
  <c r="D76" i="6" s="1"/>
  <c r="D414" i="1"/>
  <c r="D75" i="6" s="1"/>
  <c r="D270" i="1"/>
  <c r="D51" i="6" s="1"/>
  <c r="D276" i="1"/>
  <c r="D282"/>
  <c r="D53" i="6" s="1"/>
  <c r="D288" i="1"/>
  <c r="D294"/>
  <c r="D300"/>
  <c r="D306"/>
  <c r="D312"/>
  <c r="D318"/>
  <c r="D59" i="6" s="1"/>
  <c r="D324" i="1"/>
  <c r="D60" i="6" s="1"/>
  <c r="D330" i="1"/>
  <c r="D61" i="6" s="1"/>
  <c r="D336" i="1"/>
  <c r="D342"/>
  <c r="D63" i="6" s="1"/>
  <c r="D348" i="1"/>
  <c r="D354"/>
  <c r="D65" i="6" s="1"/>
  <c r="D360" i="1"/>
  <c r="D366"/>
  <c r="D372"/>
  <c r="D378"/>
  <c r="D384"/>
  <c r="D390"/>
  <c r="D71" i="6" s="1"/>
  <c r="D396" i="1"/>
  <c r="D72" i="6" s="1"/>
  <c r="D402" i="1"/>
  <c r="D73" i="6" s="1"/>
  <c r="D408" i="1"/>
  <c r="D252"/>
  <c r="D258"/>
  <c r="D264"/>
  <c r="D50" i="6" s="1"/>
  <c r="D246" i="1"/>
  <c r="D47" i="6" s="1"/>
  <c r="D240" i="1"/>
  <c r="D46" i="6" s="1"/>
  <c r="D234" i="1"/>
  <c r="D228"/>
  <c r="D44" i="6" s="1"/>
  <c r="D222" i="1"/>
  <c r="D43" i="6" s="1"/>
  <c r="D216" i="1"/>
  <c r="D42" i="6" s="1"/>
  <c r="D210" i="1"/>
  <c r="D41" i="6" s="1"/>
  <c r="D204" i="1"/>
  <c r="D40" i="6" s="1"/>
  <c r="D198" i="1"/>
  <c r="D39" i="6" s="1"/>
  <c r="D192" i="1"/>
  <c r="D38" i="6" s="1"/>
  <c r="D186" i="1"/>
  <c r="D37" i="6"/>
  <c r="D94"/>
  <c r="D119"/>
  <c r="D124"/>
  <c r="D128"/>
  <c r="D137"/>
  <c r="D138"/>
  <c r="D141"/>
  <c r="D143"/>
  <c r="D146"/>
  <c r="D148"/>
  <c r="D149"/>
  <c r="D150"/>
  <c r="D151"/>
  <c r="D154"/>
  <c r="D155"/>
  <c r="D158"/>
  <c r="D161"/>
  <c r="D162"/>
  <c r="D166"/>
  <c r="D167"/>
  <c r="D168"/>
  <c r="D170"/>
  <c r="D173"/>
  <c r="D174"/>
  <c r="D175"/>
  <c r="D178"/>
  <c r="D179"/>
  <c r="D180"/>
  <c r="D182"/>
  <c r="D183"/>
  <c r="D185"/>
  <c r="D186"/>
  <c r="D187"/>
  <c r="D190"/>
  <c r="D194"/>
  <c r="D203"/>
  <c r="D204"/>
  <c r="D206"/>
  <c r="D207"/>
  <c r="D210"/>
  <c r="D211"/>
  <c r="D212"/>
  <c r="D215"/>
  <c r="D216"/>
  <c r="D217"/>
  <c r="D218"/>
  <c r="D219"/>
  <c r="D221"/>
  <c r="D222"/>
  <c r="D223"/>
  <c r="D224"/>
  <c r="D225"/>
  <c r="D226"/>
  <c r="D227"/>
  <c r="D228"/>
  <c r="D229"/>
  <c r="D237"/>
  <c r="D238"/>
  <c r="D239"/>
  <c r="D240"/>
  <c r="D241"/>
  <c r="D242"/>
  <c r="D245"/>
  <c r="D246"/>
  <c r="D247"/>
  <c r="D249"/>
  <c r="D250"/>
  <c r="D251"/>
  <c r="D252"/>
  <c r="D253"/>
  <c r="D254"/>
  <c r="D257"/>
  <c r="D258"/>
  <c r="D259"/>
  <c r="D261"/>
  <c r="D262"/>
  <c r="D263"/>
  <c r="D264"/>
  <c r="D266"/>
  <c r="D269"/>
  <c r="D270"/>
  <c r="D271"/>
  <c r="D45"/>
  <c r="D48"/>
  <c r="D49"/>
  <c r="D52"/>
  <c r="D54"/>
  <c r="D55"/>
  <c r="D56"/>
  <c r="D57"/>
  <c r="D58"/>
  <c r="D62"/>
  <c r="D64"/>
  <c r="D66"/>
  <c r="D67"/>
  <c r="D68"/>
  <c r="D69"/>
  <c r="D70"/>
  <c r="D74"/>
  <c r="D24"/>
  <c r="D181" i="1"/>
  <c r="D36" i="6" s="1"/>
  <c r="D177" i="1"/>
  <c r="D35" i="6" s="1"/>
  <c r="D172" i="1"/>
  <c r="D34" i="6" s="1"/>
  <c r="D167" i="1"/>
  <c r="D33" i="6" s="1"/>
  <c r="D162" i="1"/>
  <c r="D32" i="6" s="1"/>
  <c r="D157" i="1"/>
  <c r="D31" i="6" s="1"/>
  <c r="D152" i="1"/>
  <c r="D30" i="6" s="1"/>
  <c r="D147" i="1"/>
  <c r="D29" i="6" s="1"/>
  <c r="D142" i="1"/>
  <c r="D28" i="6" s="1"/>
  <c r="D136" i="1"/>
  <c r="D27" i="6" s="1"/>
  <c r="D123" i="1"/>
  <c r="D26" i="6" s="1"/>
  <c r="D114" i="1"/>
  <c r="D25" i="6" s="1"/>
  <c r="D106" i="1"/>
  <c r="E10" i="6"/>
  <c r="E4"/>
  <c r="E5"/>
  <c r="E6"/>
  <c r="E7"/>
  <c r="E8"/>
  <c r="E9"/>
  <c r="E11"/>
  <c r="O4"/>
  <c r="D89" i="1"/>
  <c r="D23" i="6" s="1"/>
  <c r="D84" i="1"/>
  <c r="D22" i="6" s="1"/>
  <c r="D79" i="1"/>
  <c r="D21" i="6" s="1"/>
  <c r="D74" i="1"/>
  <c r="D20" i="6" s="1"/>
  <c r="D69" i="1"/>
  <c r="D19" i="6" s="1"/>
  <c r="D64" i="1"/>
  <c r="D18" i="6" s="1"/>
  <c r="D59" i="1"/>
  <c r="D17" i="6" s="1"/>
  <c r="D54" i="1"/>
  <c r="D16" i="6" s="1"/>
  <c r="D49" i="1"/>
  <c r="D15" i="6" s="1"/>
  <c r="D44" i="1"/>
  <c r="D14" i="6" s="1"/>
  <c r="D39" i="1"/>
  <c r="D13" i="6" s="1"/>
  <c r="D34" i="1"/>
  <c r="D12" i="6" s="1"/>
  <c r="D30" i="1"/>
  <c r="D11" i="6" s="1"/>
  <c r="D27" i="1"/>
  <c r="D10" i="6" s="1"/>
  <c r="D24" i="1"/>
  <c r="D9" i="6" s="1"/>
  <c r="D20" i="1"/>
  <c r="D8" i="6" s="1"/>
  <c r="D17" i="1"/>
  <c r="D7" i="6" s="1"/>
  <c r="D13" i="1"/>
  <c r="D6" i="6" s="1"/>
  <c r="D9" i="1"/>
  <c r="D5" i="6" s="1"/>
  <c r="D5" i="1"/>
  <c r="D4" i="6" s="1"/>
  <c r="G96" l="1"/>
  <c r="G106"/>
  <c r="G107" s="1"/>
  <c r="G108" s="1"/>
  <c r="G109" s="1"/>
  <c r="G110" s="1"/>
  <c r="G111" s="1"/>
  <c r="G112" s="1"/>
  <c r="G113" s="1"/>
  <c r="G114" s="1"/>
  <c r="G115" s="1"/>
  <c r="G116" s="1"/>
  <c r="G117" s="1"/>
  <c r="G118" s="1"/>
  <c r="G119" s="1"/>
  <c r="G120" s="1"/>
  <c r="G121" s="1"/>
  <c r="G122" s="1"/>
  <c r="G123" s="1"/>
  <c r="G124" s="1"/>
  <c r="G125" s="1"/>
  <c r="G126" s="1"/>
  <c r="G127" s="1"/>
  <c r="G128" s="1"/>
  <c r="G129" s="1"/>
  <c r="G130" s="1"/>
  <c r="G131" s="1"/>
  <c r="G132" s="1"/>
  <c r="G133" s="1"/>
  <c r="G134" s="1"/>
  <c r="G135" s="1"/>
  <c r="G136" s="1"/>
  <c r="G137" s="1"/>
  <c r="G138" s="1"/>
  <c r="G139" s="1"/>
  <c r="G140" s="1"/>
  <c r="G141" s="1"/>
  <c r="G142" s="1"/>
  <c r="G143" s="1"/>
  <c r="G144" s="1"/>
  <c r="G145" s="1"/>
  <c r="G146" s="1"/>
  <c r="G147" s="1"/>
  <c r="G148" s="1"/>
  <c r="G149" s="1"/>
  <c r="G150" s="1"/>
  <c r="G151" s="1"/>
  <c r="G152" s="1"/>
  <c r="G153" s="1"/>
  <c r="G154" s="1"/>
  <c r="G155" s="1"/>
  <c r="G156" s="1"/>
  <c r="G157" s="1"/>
  <c r="G158" s="1"/>
  <c r="G159" s="1"/>
  <c r="G160" s="1"/>
  <c r="G161" s="1"/>
  <c r="G162" s="1"/>
  <c r="G163" s="1"/>
  <c r="G164" s="1"/>
  <c r="G165" s="1"/>
  <c r="G166" s="1"/>
  <c r="G167" s="1"/>
  <c r="G168" s="1"/>
  <c r="G169" s="1"/>
  <c r="G170" s="1"/>
  <c r="G171" s="1"/>
  <c r="G172" s="1"/>
  <c r="G173" s="1"/>
  <c r="G174" s="1"/>
  <c r="G175" s="1"/>
  <c r="G176" s="1"/>
  <c r="G177" s="1"/>
  <c r="G178" s="1"/>
  <c r="G179" s="1"/>
  <c r="G180" s="1"/>
  <c r="G181" s="1"/>
  <c r="G182" s="1"/>
  <c r="G183" s="1"/>
  <c r="G184" s="1"/>
  <c r="G185" s="1"/>
  <c r="G186" s="1"/>
  <c r="G187" s="1"/>
  <c r="G188" s="1"/>
  <c r="G189" s="1"/>
  <c r="G190" s="1"/>
  <c r="G191" s="1"/>
  <c r="H96"/>
  <c r="H106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M106"/>
  <c r="M107" s="1"/>
  <c r="M108" s="1"/>
  <c r="M109" s="1"/>
  <c r="M110" s="1"/>
  <c r="M111" s="1"/>
  <c r="M112" s="1"/>
  <c r="M113" s="1"/>
  <c r="M114" s="1"/>
  <c r="M115" s="1"/>
  <c r="M116" s="1"/>
  <c r="M117" s="1"/>
  <c r="M118" s="1"/>
  <c r="M119" s="1"/>
  <c r="M120" s="1"/>
  <c r="M121" s="1"/>
  <c r="M122" s="1"/>
  <c r="M123" s="1"/>
  <c r="M124" s="1"/>
  <c r="M125" s="1"/>
  <c r="M126" s="1"/>
  <c r="M127" s="1"/>
  <c r="M128" s="1"/>
  <c r="M129" s="1"/>
  <c r="M130" s="1"/>
  <c r="M131" s="1"/>
  <c r="M132" s="1"/>
  <c r="M133" s="1"/>
  <c r="M134" s="1"/>
  <c r="M135" s="1"/>
  <c r="M136" s="1"/>
  <c r="M137" s="1"/>
  <c r="M138" s="1"/>
  <c r="M139" s="1"/>
  <c r="M140" s="1"/>
  <c r="M141" s="1"/>
  <c r="M142" s="1"/>
  <c r="M143" s="1"/>
  <c r="M144" s="1"/>
  <c r="M145" s="1"/>
  <c r="M146" s="1"/>
  <c r="M147" s="1"/>
  <c r="M148" s="1"/>
  <c r="M149" s="1"/>
  <c r="M150" s="1"/>
  <c r="M151" s="1"/>
  <c r="M152" s="1"/>
  <c r="M153" s="1"/>
  <c r="M154" s="1"/>
  <c r="M155" s="1"/>
  <c r="M156" s="1"/>
  <c r="M157" s="1"/>
  <c r="M158" s="1"/>
  <c r="M159" s="1"/>
  <c r="M160" s="1"/>
  <c r="M161" s="1"/>
  <c r="M162" s="1"/>
  <c r="M163" s="1"/>
  <c r="M164" s="1"/>
  <c r="M165" s="1"/>
  <c r="M166" s="1"/>
  <c r="M167" s="1"/>
  <c r="M168" s="1"/>
  <c r="M169" s="1"/>
  <c r="M170" s="1"/>
  <c r="M171" s="1"/>
  <c r="M172" s="1"/>
  <c r="M173" s="1"/>
  <c r="M174" s="1"/>
  <c r="M175" s="1"/>
  <c r="M176" s="1"/>
  <c r="M177" s="1"/>
  <c r="M178" s="1"/>
  <c r="M179" s="1"/>
  <c r="M180" s="1"/>
  <c r="M181" s="1"/>
  <c r="M182" s="1"/>
  <c r="M183" s="1"/>
  <c r="M184" s="1"/>
  <c r="M185" s="1"/>
  <c r="M186" s="1"/>
  <c r="M187" s="1"/>
  <c r="M188" s="1"/>
  <c r="M189" s="1"/>
  <c r="M190" s="1"/>
  <c r="M191" s="1"/>
  <c r="M96"/>
  <c r="I96"/>
  <c r="I106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185" s="1"/>
  <c r="I186" s="1"/>
  <c r="I187" s="1"/>
  <c r="I188" s="1"/>
  <c r="I189" s="1"/>
  <c r="I190" s="1"/>
  <c r="I191" s="1"/>
  <c r="J96"/>
  <c r="J106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N106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96"/>
  <c r="K96"/>
  <c r="K106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L96"/>
  <c r="L106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L153" s="1"/>
  <c r="L154" s="1"/>
  <c r="L155" s="1"/>
  <c r="L156" s="1"/>
  <c r="L157" s="1"/>
  <c r="L158" s="1"/>
  <c r="L159" s="1"/>
  <c r="L160" s="1"/>
  <c r="L161" s="1"/>
  <c r="L162" s="1"/>
  <c r="L163" s="1"/>
  <c r="L164" s="1"/>
  <c r="L165" s="1"/>
  <c r="L166" s="1"/>
  <c r="L167" s="1"/>
  <c r="L168" s="1"/>
  <c r="L169" s="1"/>
  <c r="L170" s="1"/>
  <c r="L171" s="1"/>
  <c r="L172" s="1"/>
  <c r="L173" s="1"/>
  <c r="L174" s="1"/>
  <c r="L175" s="1"/>
  <c r="L176" s="1"/>
  <c r="L177" s="1"/>
  <c r="L178" s="1"/>
  <c r="L179" s="1"/>
  <c r="L180" s="1"/>
  <c r="L181" s="1"/>
  <c r="L182" s="1"/>
  <c r="L183" s="1"/>
  <c r="L184" s="1"/>
  <c r="L185" s="1"/>
  <c r="L186" s="1"/>
  <c r="L187" s="1"/>
  <c r="L188" s="1"/>
  <c r="L189" s="1"/>
  <c r="L190" s="1"/>
  <c r="L191" s="1"/>
  <c r="G97" l="1"/>
  <c r="G100"/>
  <c r="G102" s="1"/>
  <c r="M97"/>
  <c r="M100"/>
  <c r="M102" s="1"/>
  <c r="K97"/>
  <c r="K100"/>
  <c r="K102" s="1"/>
  <c r="L97"/>
  <c r="L100"/>
  <c r="L102" s="1"/>
  <c r="H100"/>
  <c r="H102" s="1"/>
  <c r="H97"/>
  <c r="I97"/>
  <c r="I100"/>
  <c r="I102" s="1"/>
  <c r="J97"/>
  <c r="J100"/>
  <c r="J102" s="1"/>
  <c r="N97"/>
  <c r="N100"/>
  <c r="N102" s="1"/>
</calcChain>
</file>

<file path=xl/sharedStrings.xml><?xml version="1.0" encoding="utf-8"?>
<sst xmlns="http://schemas.openxmlformats.org/spreadsheetml/2006/main" count="5415" uniqueCount="713">
  <si>
    <t>Limpeza mecanizada da camada vegetal</t>
  </si>
  <si>
    <t>Expurgo de jazida</t>
  </si>
  <si>
    <t>Manutenção de caminhos de serviço</t>
  </si>
  <si>
    <t>Umedecimento de caminho de serviço</t>
  </si>
  <si>
    <t>Escavação mecânica com retroescavadeira em material de 1ª categoria</t>
  </si>
  <si>
    <t>Descrição SICRO</t>
  </si>
  <si>
    <t>Escavação de vala em material de 3ª categoria - com escavadeira e rompedor hidráulico</t>
  </si>
  <si>
    <t>Escavação em material de 3ª categoria - com escavadeira e rompedor hidráulico</t>
  </si>
  <si>
    <t>Fragmentação de blocos de rocha com escavadeira e rompedor hidráulico</t>
  </si>
  <si>
    <t>Escavação em material de 3ª categoria - com perfuratriz sobre esteiras</t>
  </si>
  <si>
    <t>Desmonte de material de 3ªcategoria a frio - com argamassa expansiva a céu aberto</t>
  </si>
  <si>
    <t>Desmonte de matacões ou bloco de rocha por meio de explosivos</t>
  </si>
  <si>
    <t>Pré-fissuramento de material de 3ª categoria</t>
  </si>
  <si>
    <t>Camada drenante com conformação de trator de esteiras</t>
  </si>
  <si>
    <t>Construção de corpo de aterro com materialde 3ª categoria oriundo de corte</t>
  </si>
  <si>
    <t>Compactação de camada final de aterro em rocha</t>
  </si>
  <si>
    <t>Escavação,  carga e transporte de solos moles com escavadeira e caminhão basculante</t>
  </si>
  <si>
    <t>Compactação de aterro</t>
  </si>
  <si>
    <t>Escavação, carga e transporte de material de 3ª categoria</t>
  </si>
  <si>
    <t>Escavação e transporte de material de 3ª categoria - DMT de até 50 m</t>
  </si>
  <si>
    <t>Escavação, carga e transporte de material de 1ª ou 2ª categoria com escavadeira ecaminhão basculante</t>
  </si>
  <si>
    <t>Escavação,  carga e transporte de material de 2ª categoria com carregadeira de pneus, trator de esteiras e caminhão basculante</t>
  </si>
  <si>
    <t>Escavação e transporte de material de 2ªcategoriacomtratordeesteiras-DMTdeaté50m</t>
  </si>
  <si>
    <t>Escavação,  carga e transporte de materialde1ªcategoriacomcarregadeiradepneus, tratorde esteiras e caminhão basculante</t>
  </si>
  <si>
    <t>Escavação e transporte de material de 1ªcategoriacomtratordeesteiras-DMTdeaté50m</t>
  </si>
  <si>
    <t>Desmatamento, destocamento e limpeza-área com árvores de diâmetro até 0, 15 m</t>
  </si>
  <si>
    <t xml:space="preserve">Destocamento de árvores de diâmetro de 0,15 a 0,30 m </t>
  </si>
  <si>
    <t>Destocamento de árvores de diâmetro superior a 0, 30 m</t>
  </si>
  <si>
    <t>Subgrupo</t>
  </si>
  <si>
    <t>2.1.1</t>
  </si>
  <si>
    <t>2.1.2</t>
  </si>
  <si>
    <t xml:space="preserve">Destocamento de árvores de diâmetro superior a  0,15m </t>
  </si>
  <si>
    <t>2.1.3</t>
  </si>
  <si>
    <t>2.2.1</t>
  </si>
  <si>
    <t>2.3.1</t>
  </si>
  <si>
    <t>2.3.2</t>
  </si>
  <si>
    <t>2.4.1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</si>
  <si>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</si>
  <si>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</si>
  <si>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</si>
  <si>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</si>
  <si>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</si>
  <si>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</si>
  <si>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</si>
  <si>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</si>
  <si>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</si>
  <si>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</si>
  <si>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</si>
  <si>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</si>
  <si>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</si>
  <si>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</si>
  <si>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</si>
  <si>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</si>
  <si>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</si>
  <si>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2.7.1</t>
  </si>
  <si>
    <t>2.7.2</t>
  </si>
  <si>
    <t>2.8.1</t>
  </si>
  <si>
    <t>2.9.1</t>
  </si>
  <si>
    <t>Compactação de aterros a 100% do Proctor intermediário</t>
  </si>
  <si>
    <t>Compactação de aterros a 100% do Proctor normal</t>
  </si>
  <si>
    <t xml:space="preserve">Camada drenante com conformação de trator de esteira - areia comercial </t>
  </si>
  <si>
    <t xml:space="preserve">Camada drenante com conformação de trator de esteira - areia extraída </t>
  </si>
  <si>
    <t>Escavação de vala em material de 3ª categoria - resistência à compressão acima de 110 MPa - com escavadeira e rompedor hidráulico 1.700 kg</t>
  </si>
  <si>
    <t>Escavação de vala em material de 3ª categoria - resistência à compressão até 50 MPa - com escavadeira e rompedor hidráulico 1.700 kg</t>
  </si>
  <si>
    <t>Escavação de vala em material de 3ª categoria - resistência à compressão de 50 a 70 MPa - com escavadeira e rompedor hidráulico 1.700 kg</t>
  </si>
  <si>
    <t>Escavação de vala em material de 3ª categoria - resistência à compressão de 70 a 90 MPa - com escavadeira e rompedor hidráulico 1.700 kg</t>
  </si>
  <si>
    <t>Escavação de vala em material de 3ª categoria - resistência à compressão de 90 a 110 MPa - com escavadeira e rompedor hidráulico 1.700 kg</t>
  </si>
  <si>
    <t>5502967</t>
  </si>
  <si>
    <t>5502963</t>
  </si>
  <si>
    <t>5502964</t>
  </si>
  <si>
    <t>5502965</t>
  </si>
  <si>
    <t>5502966</t>
  </si>
  <si>
    <t>5501717</t>
  </si>
  <si>
    <t>5501712</t>
  </si>
  <si>
    <t>5501713</t>
  </si>
  <si>
    <t>5501711</t>
  </si>
  <si>
    <t>5501714</t>
  </si>
  <si>
    <t>5501715</t>
  </si>
  <si>
    <t>5501716</t>
  </si>
  <si>
    <t>5501906</t>
  </si>
  <si>
    <t>5501932</t>
  </si>
  <si>
    <t>5501881</t>
  </si>
  <si>
    <t>5501907</t>
  </si>
  <si>
    <t>5501933</t>
  </si>
  <si>
    <t>5501882</t>
  </si>
  <si>
    <t>5501908</t>
  </si>
  <si>
    <t>5501934</t>
  </si>
  <si>
    <t>5501883</t>
  </si>
  <si>
    <t>5501909</t>
  </si>
  <si>
    <t>5501935</t>
  </si>
  <si>
    <t>5501884</t>
  </si>
  <si>
    <t>5501910</t>
  </si>
  <si>
    <t>5501936</t>
  </si>
  <si>
    <t>5501885</t>
  </si>
  <si>
    <t>5501911</t>
  </si>
  <si>
    <t>5501937</t>
  </si>
  <si>
    <t>5501886</t>
  </si>
  <si>
    <t>5501912</t>
  </si>
  <si>
    <t>5501938</t>
  </si>
  <si>
    <t>5501876</t>
  </si>
  <si>
    <t>5501902</t>
  </si>
  <si>
    <t>5501928</t>
  </si>
  <si>
    <t>5501877</t>
  </si>
  <si>
    <t>5501903</t>
  </si>
  <si>
    <t>5501929</t>
  </si>
  <si>
    <t>5501875</t>
  </si>
  <si>
    <t>5501901</t>
  </si>
  <si>
    <t>5501927</t>
  </si>
  <si>
    <t>5501878</t>
  </si>
  <si>
    <t>5501904</t>
  </si>
  <si>
    <t>5501930</t>
  </si>
  <si>
    <t>5501879</t>
  </si>
  <si>
    <t>5501905</t>
  </si>
  <si>
    <t>5501931</t>
  </si>
  <si>
    <t>5502825</t>
  </si>
  <si>
    <t>5502826</t>
  </si>
  <si>
    <t>5502827</t>
  </si>
  <si>
    <t xml:space="preserve">5501880
</t>
  </si>
  <si>
    <t>5502356</t>
  </si>
  <si>
    <t>5502382</t>
  </si>
  <si>
    <t>5502408</t>
  </si>
  <si>
    <t>5502357</t>
  </si>
  <si>
    <t>5502383</t>
  </si>
  <si>
    <t>5502409</t>
  </si>
  <si>
    <t>5502358</t>
  </si>
  <si>
    <t>5502384</t>
  </si>
  <si>
    <t>5502410</t>
  </si>
  <si>
    <t>5502359</t>
  </si>
  <si>
    <t>5502385</t>
  </si>
  <si>
    <t>5502411</t>
  </si>
  <si>
    <t>5502360</t>
  </si>
  <si>
    <t>5502386</t>
  </si>
  <si>
    <t>5502412</t>
  </si>
  <si>
    <t>5502361</t>
  </si>
  <si>
    <t>5502387</t>
  </si>
  <si>
    <t>5502413</t>
  </si>
  <si>
    <t>5502362</t>
  </si>
  <si>
    <t>5502388</t>
  </si>
  <si>
    <t>5502414</t>
  </si>
  <si>
    <t>5502352</t>
  </si>
  <si>
    <t>5502378</t>
  </si>
  <si>
    <t>5502404</t>
  </si>
  <si>
    <t>5502353</t>
  </si>
  <si>
    <t>5502379</t>
  </si>
  <si>
    <t>5502405</t>
  </si>
  <si>
    <t>5502351</t>
  </si>
  <si>
    <t>5502377</t>
  </si>
  <si>
    <t>5502403</t>
  </si>
  <si>
    <t>5502354</t>
  </si>
  <si>
    <t>5502380</t>
  </si>
  <si>
    <t>5502406</t>
  </si>
  <si>
    <t>5502355</t>
  </si>
  <si>
    <t>5502381</t>
  </si>
  <si>
    <t>5502407</t>
  </si>
  <si>
    <t>5502857</t>
  </si>
  <si>
    <t>5502859</t>
  </si>
  <si>
    <t>5502858</t>
  </si>
  <si>
    <t>5502114</t>
  </si>
  <si>
    <t>5502140</t>
  </si>
  <si>
    <t>5502166</t>
  </si>
  <si>
    <t>5502115</t>
  </si>
  <si>
    <t>5502141</t>
  </si>
  <si>
    <t>5502167</t>
  </si>
  <si>
    <t>5502116</t>
  </si>
  <si>
    <t>5502142</t>
  </si>
  <si>
    <t>5502168</t>
  </si>
  <si>
    <t>5502117</t>
  </si>
  <si>
    <t>5502143</t>
  </si>
  <si>
    <t>5502169</t>
  </si>
  <si>
    <t>5502118</t>
  </si>
  <si>
    <t>5502144</t>
  </si>
  <si>
    <t>5502170</t>
  </si>
  <si>
    <t>5502119</t>
  </si>
  <si>
    <t>5502145</t>
  </si>
  <si>
    <t>5502120</t>
  </si>
  <si>
    <t>5502146</t>
  </si>
  <si>
    <t>5502172</t>
  </si>
  <si>
    <t>5502110</t>
  </si>
  <si>
    <t>5502136</t>
  </si>
  <si>
    <t>5502162</t>
  </si>
  <si>
    <t>5502111</t>
  </si>
  <si>
    <t>5502137</t>
  </si>
  <si>
    <t>5502163</t>
  </si>
  <si>
    <t>5502109</t>
  </si>
  <si>
    <t>5502135</t>
  </si>
  <si>
    <t>5502161</t>
  </si>
  <si>
    <t>5502112</t>
  </si>
  <si>
    <t>5502138</t>
  </si>
  <si>
    <t>5502164</t>
  </si>
  <si>
    <t>5502113</t>
  </si>
  <si>
    <t>5502139</t>
  </si>
  <si>
    <t>5502165</t>
  </si>
  <si>
    <t>5502834</t>
  </si>
  <si>
    <t>5502835</t>
  </si>
  <si>
    <t>5502836</t>
  </si>
  <si>
    <t>5502590</t>
  </si>
  <si>
    <t>5502616</t>
  </si>
  <si>
    <t>5502642</t>
  </si>
  <si>
    <t>5502591</t>
  </si>
  <si>
    <t>5502617</t>
  </si>
  <si>
    <t>5502643</t>
  </si>
  <si>
    <t>5502592</t>
  </si>
  <si>
    <t>5502618</t>
  </si>
  <si>
    <t>5502644</t>
  </si>
  <si>
    <t>5502593</t>
  </si>
  <si>
    <t>5502619</t>
  </si>
  <si>
    <t>5502645</t>
  </si>
  <si>
    <t>5502594</t>
  </si>
  <si>
    <t>5502620</t>
  </si>
  <si>
    <t>5502646</t>
  </si>
  <si>
    <t>5502595</t>
  </si>
  <si>
    <t>5502621</t>
  </si>
  <si>
    <t>5502647</t>
  </si>
  <si>
    <t>5502596</t>
  </si>
  <si>
    <t>5502622</t>
  </si>
  <si>
    <t>5502648</t>
  </si>
  <si>
    <t>5502586</t>
  </si>
  <si>
    <t>5502612</t>
  </si>
  <si>
    <t>5502638</t>
  </si>
  <si>
    <t>5502587</t>
  </si>
  <si>
    <t>5502613</t>
  </si>
  <si>
    <t>5502639</t>
  </si>
  <si>
    <t>5502585</t>
  </si>
  <si>
    <t>5502611</t>
  </si>
  <si>
    <t>5502637</t>
  </si>
  <si>
    <t>5502588</t>
  </si>
  <si>
    <t>5502614</t>
  </si>
  <si>
    <t>5502640</t>
  </si>
  <si>
    <t>5502589</t>
  </si>
  <si>
    <t>5502615</t>
  </si>
  <si>
    <t>5502641</t>
  </si>
  <si>
    <t>5502880</t>
  </si>
  <si>
    <t>5502881</t>
  </si>
  <si>
    <t>5502882</t>
  </si>
  <si>
    <t>5502747</t>
  </si>
  <si>
    <t>5502773</t>
  </si>
  <si>
    <t>5502799</t>
  </si>
  <si>
    <t>5502748</t>
  </si>
  <si>
    <t>5502774</t>
  </si>
  <si>
    <t>5502800</t>
  </si>
  <si>
    <t>5502749</t>
  </si>
  <si>
    <t>5502775</t>
  </si>
  <si>
    <t>5502801</t>
  </si>
  <si>
    <t>5502750</t>
  </si>
  <si>
    <t>5502776</t>
  </si>
  <si>
    <t>5502802</t>
  </si>
  <si>
    <t>5502751</t>
  </si>
  <si>
    <t>5502777</t>
  </si>
  <si>
    <t>5502803</t>
  </si>
  <si>
    <t>5502752</t>
  </si>
  <si>
    <t>5502778</t>
  </si>
  <si>
    <t>5502804</t>
  </si>
  <si>
    <t>5502753</t>
  </si>
  <si>
    <t>5502779</t>
  </si>
  <si>
    <t>5502805</t>
  </si>
  <si>
    <t>5502743</t>
  </si>
  <si>
    <t>5502769</t>
  </si>
  <si>
    <t>5502795</t>
  </si>
  <si>
    <t>5502744</t>
  </si>
  <si>
    <t>5502770</t>
  </si>
  <si>
    <t>5502796</t>
  </si>
  <si>
    <t>5502742</t>
  </si>
  <si>
    <t>5502768</t>
  </si>
  <si>
    <t>5502794</t>
  </si>
  <si>
    <t>5502745</t>
  </si>
  <si>
    <t>5502771</t>
  </si>
  <si>
    <t>5502797</t>
  </si>
  <si>
    <t>5502746</t>
  </si>
  <si>
    <t>5502772</t>
  </si>
  <si>
    <t>5502798</t>
  </si>
  <si>
    <t>5502886</t>
  </si>
  <si>
    <t>5502887</t>
  </si>
  <si>
    <t>5502888</t>
  </si>
  <si>
    <t>5502820</t>
  </si>
  <si>
    <t>5502904</t>
  </si>
  <si>
    <t>5502930</t>
  </si>
  <si>
    <t>5502956</t>
  </si>
  <si>
    <t>5502905</t>
  </si>
  <si>
    <t>5502931</t>
  </si>
  <si>
    <t>5502957</t>
  </si>
  <si>
    <t>5502906</t>
  </si>
  <si>
    <t>5502932</t>
  </si>
  <si>
    <t>5502958</t>
  </si>
  <si>
    <t>5502907</t>
  </si>
  <si>
    <t>5502933</t>
  </si>
  <si>
    <t>5502959</t>
  </si>
  <si>
    <t>5502908</t>
  </si>
  <si>
    <t>5502934</t>
  </si>
  <si>
    <t>5502960</t>
  </si>
  <si>
    <t>5502909</t>
  </si>
  <si>
    <t>5502935</t>
  </si>
  <si>
    <t>5502961</t>
  </si>
  <si>
    <t>5502910</t>
  </si>
  <si>
    <t>5502936</t>
  </si>
  <si>
    <t>5502962</t>
  </si>
  <si>
    <t>5502900</t>
  </si>
  <si>
    <t>5502926</t>
  </si>
  <si>
    <t>5502952</t>
  </si>
  <si>
    <t>5502901</t>
  </si>
  <si>
    <t>5502927</t>
  </si>
  <si>
    <t>5502953</t>
  </si>
  <si>
    <t>5502899</t>
  </si>
  <si>
    <t>5502925</t>
  </si>
  <si>
    <t>5502951</t>
  </si>
  <si>
    <t>5502902</t>
  </si>
  <si>
    <t>5502928</t>
  </si>
  <si>
    <t>5502954</t>
  </si>
  <si>
    <t>5502903</t>
  </si>
  <si>
    <t>5502929</t>
  </si>
  <si>
    <t>5502955</t>
  </si>
  <si>
    <t>5502889</t>
  </si>
  <si>
    <t>5502996</t>
  </si>
  <si>
    <t>5502997</t>
  </si>
  <si>
    <t>5502806</t>
  </si>
  <si>
    <t>5502807</t>
  </si>
  <si>
    <t>5503041</t>
  </si>
  <si>
    <t>5502822</t>
  </si>
  <si>
    <t>5502979</t>
  </si>
  <si>
    <t>5500991</t>
  </si>
  <si>
    <t>5515739</t>
  </si>
  <si>
    <t>5505766</t>
  </si>
  <si>
    <t>5501701</t>
  </si>
  <si>
    <t>5501702</t>
  </si>
  <si>
    <t>5502972</t>
  </si>
  <si>
    <t>5502968</t>
  </si>
  <si>
    <t>5502969</t>
  </si>
  <si>
    <t>5502970</t>
  </si>
  <si>
    <t>5502971</t>
  </si>
  <si>
    <t>5502663</t>
  </si>
  <si>
    <t>5502993</t>
  </si>
  <si>
    <t>Escavação em material de 3ª categoria - resistência à compressão acima de 110 MPa - com escavadeira e rompedor hidráulico 1.700 kg</t>
  </si>
  <si>
    <t>Escavação em material de 3ª categoria - resistência à compressão até 50 MPa - com escavadeira e rompedor hidráulico 1.700 kg</t>
  </si>
  <si>
    <t>Escavação em material de 3ª categoria - resistência à compressão de 50 a 70 MPa - com escavadeira e rompedor hidráulico 1.700 kg</t>
  </si>
  <si>
    <t>Escavação em material de 3ª categoria - resistência à compressão de 70 a 90 MPa - com escavadeira e rompedor hidráulico 1.700 kg</t>
  </si>
  <si>
    <t>Escavação em material de 3ª categoria - resistência à compressão de 90 a 110 MPa - com escavadeira e rompedor hidráulico 1.700 kg</t>
  </si>
  <si>
    <t>5501706</t>
  </si>
  <si>
    <t>Escavação, carga e transporte de material de 1ª categoria - DMT de 1.000 a 1.200 m - caminho de serviço em leito natural - com carregadeira e caminhão basculante de 14 m³</t>
  </si>
  <si>
    <t>Escavação, carga e transporte de material de 1ª categoria - DMT de 1.000 a 1.200 m - caminho de serviço em leito natural - com escavadeira e caminhão basculante de 14 m³</t>
  </si>
  <si>
    <t>Escavação, carga e transporte de material de 1ª categoria - DMT de 1.000 a 1.200 m - caminho de serviço em revestimento primário - com carregadeira e caminhão basculante de 14 m³</t>
  </si>
  <si>
    <t>Escavação, carga e transporte de material de 1ª categoria - DMT de 1.000 a 1.200 m - caminho de serviço em revestimento primário - com escavadeira e caminhão basculante de 14 m³</t>
  </si>
  <si>
    <t>Escavação, carga e transporte de material de 1ª categoria - DMT de 1.000 a 1.200 m - caminho de serviço pavimentado - com carregadeira e caminhão basculante de 14 m³</t>
  </si>
  <si>
    <t>Escavação, carga e transporte de material de 1ª categoria - DMT de 1.000 a 1.200 m - caminho de serviço pavimentado - com escavadeira e caminhão basculante de 14 m³</t>
  </si>
  <si>
    <t>Escavação, carga e transporte de material de 1ª categoria - DMT de 1.200 a 1.400 m - caminho de serviço em leito natural - com carregadeira e caminhão basculante de 14 m³</t>
  </si>
  <si>
    <t>Escavação, carga e transporte de material de 1ª categoria - DMT de 1.200 a 1.400 m - caminho de serviço em leito natural - com escavadeira e caminhão basculante de 14 m³</t>
  </si>
  <si>
    <t>Escavação, carga e transporte de material de 1ª categoria - DMT de 1.200 a 1.400 m - caminho de serviço em revestimento primário - com carregadeira e caminhão basculante de 14 m³</t>
  </si>
  <si>
    <t>Escavação, carga e transporte de material de 1ª categoria - DMT de 1.200 a 1.400 m - caminho de serviço em revestimento primário - com escavadeira e caminhão basculante de 14 m³</t>
  </si>
  <si>
    <t>Escavação, carga e transporte de material de 1ª categoria - DMT de 1.200 a 1.400 m - caminho de serviço pavimentado - com carregadeira e caminhão basculante de 14 m³</t>
  </si>
  <si>
    <t>Escavação, carga e transporte de material de 1ª categoria - DMT de 1.200 a 1.400 m - caminho de serviço pavimentado - com escavadeira e caminhão basculante de 14 m³</t>
  </si>
  <si>
    <t>Escavação, carga e transporte de material de 1ª categoria - DMT de 1.400 a 1.600 m - caminho de serviço em leito natural - com carregadeira e caminhão basculante de 14 m³</t>
  </si>
  <si>
    <t>Escavação, carga e transporte de material de 1ª categoria - DMT de 1.400 a 1.600 m - caminho de serviço em leito natural - com escavadeira e caminhão basculante de 14 m³</t>
  </si>
  <si>
    <t>Escavação, carga e transporte de material de 1ª categoria - DMT de 1.400 a 1.600 m - caminho de serviço em revestimento primário - com carregadeira e caminhão basculante de 14 m³</t>
  </si>
  <si>
    <t>Escavação, carga e transporte de material de 1ª categoria - DMT de 1.400 a 1.600 m - caminho de serviço em revestimento primário - com escavadeira e caminhão basculante de 14 m³</t>
  </si>
  <si>
    <t>Escavação, carga e transporte de material de 1ª categoria - DMT de 1.400 a 1.600 m - caminho de serviço pavimentado - com carregadeira e caminhão basculante de 14 m³</t>
  </si>
  <si>
    <t>Escavação, carga e transporte de material de 1ª categoria - DMT de 1.400 a 1.600 m - caminho de serviço pavimentado - com escavadeira e caminhão basculante de 14 m³</t>
  </si>
  <si>
    <t>Escavação, carga e transporte de material de 1ª categoria - DMT de 1.600 a 1.800 m - caminho de serviço em leito natural - com carregadeira e caminhão basculante de 14 m³</t>
  </si>
  <si>
    <t>Escavação, carga e transporte de material de 1ª categoria - DMT de 1.600 a 1.800 m - caminho de serviço em leito natural - com escavadeira e caminhão basculante de 14 m³</t>
  </si>
  <si>
    <t>Escavação, carga e transporte de material de 1ª categoria - DMT de 1.600 a 1.800 m - caminho de serviço em revestimento primário - com carregadeira e caminhão basculante de 14 m³</t>
  </si>
  <si>
    <t>Escavação, carga e transporte de material de 1ª categoria - DMT de 1.600 a 1.800 m - caminho de serviço em revestimento primário - com escavadeira e caminhão basculante de 14 m³</t>
  </si>
  <si>
    <t>Escavação, carga e transporte de material de 1ª categoria - DMT de 1.600 a 1.800 m - caminho de serviço pavimentado - com carregadeira e caminhão basculante de 14 m³</t>
  </si>
  <si>
    <t>Escavação, carga e transporte de material de 1ª categoria - DMT de 1.600 a 1.800 m - caminho de serviço pavimentado - com escavadeira e caminhão basculante de 14 m³</t>
  </si>
  <si>
    <t>Escavação, carga e transporte de material de 1ª categoria - DMT de 1.800 a 2.000 m - caminho de serviço em leito natural - com carregadeira e caminhão basculante de 14 m³</t>
  </si>
  <si>
    <t>Escavação, carga e transporte de material de 1ª categoria - DMT de 1.800 a 2.000 m - caminho de serviço em leito natural - com escavadeira e caminhão basculante de 14 m³</t>
  </si>
  <si>
    <t>Escavação, carga e transporte de material de 1ª categoria - DMT de 1.800 a 2.000 m - caminho de serviço em revestimento primário - com carregadeira e caminhão basculante de 14 m³</t>
  </si>
  <si>
    <t>Escavação, carga e transporte de material de 1ª categoria - DMT de 1.800 a 2.000 m - caminho de serviço em revestimento primário - com escavadeira e caminhão basculante de 14 m³</t>
  </si>
  <si>
    <t>Escavação, carga e transporte de material de 1ª categoria - DMT de 1.800 a 2.000 m - caminho de serviço pavimentado - com carregadeira e caminhão basculante de 14 m³</t>
  </si>
  <si>
    <t>Escavação, carga e transporte de material de 1ª categoria - DMT de 1.800 a 2.000 m - caminho de serviço pavimentado - com escavadeira e caminhão basculante de 14 m³</t>
  </si>
  <si>
    <t>Escavação, carga e transporte de material de 1ª categoria - DMT de 2.000 a 2.500 m - caminho de serviço em leito natural - com carregadeira e caminhão basculante de 14 m³</t>
  </si>
  <si>
    <t>Escavação, carga e transporte de material de 1ª categoria - DMT de 2.000 a 2.500 m - caminho de serviço em leito natural - com escavadeira e caminhão basculante de 14 m³</t>
  </si>
  <si>
    <t>Escavação, carga e transporte de material de 1ª categoria - DMT de 2.000 a 2.500 m - caminho de serviço em revestimento primário - com carregadeira e caminhão basculante de 14 m³</t>
  </si>
  <si>
    <t>Escavação, carga e transporte de material de 1ª categoria - DMT de 2.000 a 2.500 m - caminho de serviço em revestimento primário - com escavadeira e caminhão basculante de 14 m³</t>
  </si>
  <si>
    <t>Escavação, carga e transporte de material de 1ª categoria - DMT de 2.000 a 2.500 m - caminho de serviço pavimentado - com carregadeira e caminhão basculante de 14 m³</t>
  </si>
  <si>
    <t>Escavação, carga e transporte de material de 1ª categoria - DMT de 2.500 a 3.000 m - caminho de serviço em leito natural - com carregadeira e caminhão basculante de 14 m³</t>
  </si>
  <si>
    <t>Escavação, carga e transporte de material de 1ª categoria - DMT de 2.500 a 3.000 m - caminho de serviço em leito natural - com escavadeira e caminhão basculante de 14 m³</t>
  </si>
  <si>
    <t>Escavação, carga e transporte de material de 1ª categoria - DMT de 2.500 a 3.000 m - caminho de serviço em revestimento primário - com carregadeira e caminhão basculante de 14 m³</t>
  </si>
  <si>
    <t>Escavação, carga e transporte de material de 1ª categoria - DMT de 2.500 a 3.000 m - caminho de serviço em revestimento primário - com escavadeira e caminhão basculante de 14 m³</t>
  </si>
  <si>
    <t>Escavação, carga e transporte de material de 1ª categoria - DMT de 2.500 a 3.000 m - caminho de serviço pavimentado - com carregadeira e caminhão basculante de 14 m³</t>
  </si>
  <si>
    <t>Escavação, carga e transporte de material de 1ª categoria - DMT de 2.500 a 3.000 m - caminho de serviço pavimentado - com escavadeira e caminhão basculante de 14 m³</t>
  </si>
  <si>
    <t>Escavação, carga e transporte de material de 1ª categoria - DMT de 200 a 400 m - caminho de serviço em leito natural - com carregadeira e caminhão basculante de 14 m³</t>
  </si>
  <si>
    <t>Escavação, carga e transporte de material de 1ª categoria - DMT de 200 a 400 m - caminho de serviço em leito natural - com escavadeira e caminhão basculante de 14 m³</t>
  </si>
  <si>
    <t>Escavação, carga e transporte de material de 1ª categoria - DMT de 200 a 400 m - caminho de serviço em revestimento primário - com carregadeira e caminhão basculante de 14 m³</t>
  </si>
  <si>
    <t>Escavação, carga e transporte de material de 1ª categoria - DMT de 200 a 400 m - caminho de serviço em revestimento primário - com escavadeira e caminhão basculante de 14 m³</t>
  </si>
  <si>
    <t>Escavação, carga e transporte de material de 1ª categoria - DMT de 200 a 400 m - caminho de serviço pavimentado - com carregadeira e caminhão basculante de 14 m³</t>
  </si>
  <si>
    <t>Escavação, carga e transporte de material de 1ª categoria - DMT de 200 a 400 m - caminho de serviço pavimentado - com escavadeira e caminhão basculante de 14 m³</t>
  </si>
  <si>
    <t>Escavação, carga e transporte de material de 1ª categoria - DMT de 400 a 600 m - caminho de serviço em leito natural - com carregadeira e caminhão basculante de 14 m³</t>
  </si>
  <si>
    <t>Escavação, carga e transporte de material de 1ª categoria - DMT de 400 a 600 m - caminho de serviço em leito natural - com escavadeira e caminhão basculante de 14 m³</t>
  </si>
  <si>
    <t>Escavação, carga e transporte de material de 1ª categoria - DMT de 400 a 600 m - caminho de serviço em revestimento primário - com carregadeira e caminhão basculante de 14 m³</t>
  </si>
  <si>
    <t>Escavação, carga e transporte de material de 1ª categoria - DMT de 400 a 600 m - caminho de serviço em revestimento primário - com escavadeira e caminhão basculante de 14 m³</t>
  </si>
  <si>
    <t>Escavação, carga e transporte de material de 1ª categoria - DMT de 400 a 600 m - caminho de serviço pavimentado - com carregadeira e caminhão basculante de 14 m³</t>
  </si>
  <si>
    <t>Escavação, carga e transporte de material de 1ª categoria - DMT de 400 a 600 m - caminho de serviço pavimentado - com escavadeira e caminhão basculante de 14 m³</t>
  </si>
  <si>
    <t>Escavação, carga e transporte de material de 1ª categoria - DMT de 50 a 200 m - caminho de serviço em leito natural - com carregadeira e caminhão basculante de 14 m³</t>
  </si>
  <si>
    <t>Escavação, carga e transporte de material de 1ª categoria - DMT de 50 a 200 m - caminho de serviço em leito natural - com escavadeira e caminhão basculante de 14 m³</t>
  </si>
  <si>
    <t>Escavação, carga e transporte de material de 1ª categoria - DMT de 50 a 200 m - caminho de serviço em revestimento primário - com carregadeira e caminhão basculante de 14 m³</t>
  </si>
  <si>
    <t>Escavação, carga e transporte de material de 1ª categoria - DMT de 50 a 200 m - caminho de serviço em revestimento primário - com escavadeira e caminhão basculante de 14 m³</t>
  </si>
  <si>
    <t>Escavação, carga e transporte de material de 1ª categoria - DMT de 50 a 200 m - caminho de serviço pavimentado - com carregadeira e caminhão basculante de 14 m³</t>
  </si>
  <si>
    <t>Escavação, carga e transporte de material de 1ª categoria - DMT de 50 a 200 m - caminho de serviço pavimentado - com escavadeira e caminhão basculante de 14 m³</t>
  </si>
  <si>
    <t>Escavação, carga e transporte de material de 1ª categoria - DMT de 600 a 800 m - caminho de serviço em leito natural - com carregadeira e caminhão basculante de 14 m³</t>
  </si>
  <si>
    <t>Escavação, carga e transporte de material de 1ª categoria - DMT de 600 a 800 m - caminho de serviço em leito natural - com escavadeira e caminhão basculante de 14 m³</t>
  </si>
  <si>
    <t>Escavação, carga e transporte de material de 1ª categoria - DMT de 600 a 800 m - caminho de serviço em revestimento primário - com carregadeira e caminhão basculante de 14 m³</t>
  </si>
  <si>
    <t>Escavação, carga e transporte de material de 1ª categoria - DMT de 600 a 800 m - caminho de serviço em revestimento primário - com escavadeira e caminhão basculante de 14 m³</t>
  </si>
  <si>
    <t>Escavação, carga e transporte de material de 1ª categoria - DMT de 600 a 800 m - caminho de serviço pavimentado - com carregadeira e caminhão basculante de 14 m³</t>
  </si>
  <si>
    <t>Escavação, carga e transporte de material de 1ª categoria - DMT de 600 a 800 m - caminho de serviço pavimentado - com escavadeira e caminhão basculante de 14 m³</t>
  </si>
  <si>
    <t>Escavação, carga e transporte de material de 1ª categoria - DMT de 800 a 1.000 m - caminho de serviço em leito natural - com carregadeira e caminhão basculante de 14 m³</t>
  </si>
  <si>
    <t>Escavação, carga e transporte de material de 1ª categoria - DMT de 800 a 1.000 m - caminho de serviço em leito natural - com escavadeira e caminhão basculante de 14 m³</t>
  </si>
  <si>
    <t>Escavação, carga e transporte de material de 1ª categoria - DMT de 800 a 1.000 m - caminho de serviço em revestimento primário - com carregadeira e caminhão basculante de 14 m³</t>
  </si>
  <si>
    <t>Escavação, carga e transporte de material de 1ª categoria - DMT de 800 a 1.000 m - caminho de serviço em revestimento primário - com escavadeira e caminhão basculante de 14 m³</t>
  </si>
  <si>
    <t>Escavação, carga e transporte de material de 1ª categoria - DMT de 800 a 1.000 m - caminho de serviço pavimentado - com carregadeira e caminhão basculante de 14 m³</t>
  </si>
  <si>
    <t>Escavação, carga e transporte de material de 1ª categoria - DMT de 800 a 1.000 m - caminho de serviço pavimentado - com escavadeira e caminhão basculante de 14 m³</t>
  </si>
  <si>
    <t>Escavação, carga e transporte de material de 1ª categoria na distância de 3.000 m - caminho de serviço em leito natural - com carregadeira e caminhão basculante de 14 m³</t>
  </si>
  <si>
    <t>Escavação, carga e transporte de material de 1ª categoria na distância de 3.000 m - caminho de serviço em leito natural - com escavadeira e caminhão basculante de 14 m³</t>
  </si>
  <si>
    <t>Escavação, carga e transporte de material de 1ª categoria na distância de 3.000 m - caminho de serviço em revestimento primário - com carregadeira e caminhão basculante de 14 m³</t>
  </si>
  <si>
    <t>Escavação, carga e transporte de material de 1ª categoria na distância de 3.000 m - caminho de serviço em revestimento primário - com escavadeira e caminhão basculante de 14 m³</t>
  </si>
  <si>
    <t>Escavação, carga e transporte de material de 1ª categoria na distância de 3.000 m - caminho de serviço pavimentado - com carregadeira e caminhão basculante de 14 m³</t>
  </si>
  <si>
    <t>Escavação, carga e transporte de material de 1ª categoria na distância de 3.000 m - caminho de serviço pavimentado - com escavadeira e caminhão basculante de 14 m³</t>
  </si>
  <si>
    <t>Escavação, carga e transporte de material de 2ª categoria - DMT de 1.000 a 1.200 m - caminho de serviço em leito natural - com carregadeira e caminhão basculante de 14 m³</t>
  </si>
  <si>
    <t>Escavação, carga e transporte de material de 2ª categoria - DMT de 1.000 a 1.200 m - caminho de serviço em leito natural - com escavadeira e caminhão basculante de 14 m³</t>
  </si>
  <si>
    <t>Escavação, carga e transporte de material de 2ª categoria - DMT de 1.000 a 1.200 m - caminho de serviço em revestimento primário - com carregadeira e caminhão basculante de 14 m³</t>
  </si>
  <si>
    <t>Escavação, carga e transporte de material de 2ª categoria - DMT de 1.000 a 1.200 m - caminho de serviço em revestimento primário - com escavadeira e caminhão basculante de 14 m³</t>
  </si>
  <si>
    <t>Escavação, carga e transporte de material de 2ª categoria - DMT de 1.000 a 1.200 m - caminho de serviço pavimentado - com carregadeira e caminhão basculante de 14 m³</t>
  </si>
  <si>
    <t>Escavação, carga e transporte de material de 2ª categoria - DMT de 1.000 a 1.200 m - caminho de serviço pavimentado - com escavadeira e caminhão basculante de 14 m³</t>
  </si>
  <si>
    <t>Escavação, carga e transporte de material de 2ª categoria - DMT de 1.200 a 1.400 m - caminho de serviço em leito natural - com carregadeira e caminhão basculante de 14 m³</t>
  </si>
  <si>
    <t>Escavação, carga e transporte de material de 2ª categoria - DMT de 1.200 a 1.400 m - caminho de serviço em leito natural - com escavadeira e caminhão basculante de 14 m³</t>
  </si>
  <si>
    <t>Escavação, carga e transporte de material de 2ª categoria - DMT de 1.200 a 1.400 m - caminho de serviço em revestimento primário - com carregadeira e caminhão basculante de 14 m³</t>
  </si>
  <si>
    <t>Escavação, carga e transporte de material de 2ª categoria - DMT de 1.200 a 1.400 m - caminho de serviço em revestimento primário - com escavadeira e caminhão basculante de 14 m³</t>
  </si>
  <si>
    <t>Escavação, carga e transporte de material de 2ª categoria - DMT de 1.200 a 1.400 m - caminho de serviço pavimentado - com carregadeira e caminhão basculante de 14 m³</t>
  </si>
  <si>
    <t>Escavação, carga e transporte de material de 2ª categoria - DMT de 1.200 a 1.400 m - caminho de serviço pavimentado - com escavadeira e caminhão basculante de 14 m³</t>
  </si>
  <si>
    <t>Escavação, carga e transporte de material de 2ª categoria - DMT de 1.400 a 1.600 m - caminho de serviço em leito natural - com carregadeira e caminhão basculante de 14 m³</t>
  </si>
  <si>
    <t>Escavação, carga e transporte de material de 2ª categoria - DMT de 1.400 a 1.600 m - caminho de serviço em leito natural - com escavadeira e caminhão basculante de 14 m³</t>
  </si>
  <si>
    <t>Escavação, carga e transporte de material de 2ª categoria - DMT de 1.400 a 1.600 m - caminho de serviço em revestimento primário - com carregadeira e caminhão basculante de 14 m³</t>
  </si>
  <si>
    <t>Escavação, carga e transporte de material de 2ª categoria - DMT de 1.400 a 1.600 m - caminho de serviço em revestimento primário - com escavadeira e caminhão basculante de 14 m³</t>
  </si>
  <si>
    <t>Escavação, carga e transporte de material de 2ª categoria - DMT de 1.400 a 1.600 m - caminho de serviço pavimentado - com carregadeira e caminhão basculante de 14 m³</t>
  </si>
  <si>
    <t>Escavação, carga e transporte de material de 2ª categoria - DMT de 1.400 a 1.600 m - caminho de serviço pavimentado - com escavadeira e caminhão basculante de 14 m³</t>
  </si>
  <si>
    <t>Escavação, carga e transporte de material de 2ª categoria - DMT de 1.600 a 1.800 m - caminho de serviço em leito natural - com carregadeira e caminhão basculante de 14 m³</t>
  </si>
  <si>
    <t>Escavação, carga e transporte de material de 2ª categoria - DMT de 1.600 a 1.800 m - caminho de serviço em leito natural - com escavadeira e caminhão basculante de 14 m³</t>
  </si>
  <si>
    <t>Escavação, carga e transporte de material de 2ª categoria - DMT de 1.600 a 1.800 m - caminho de serviço em revestimento primário - com carregadeira e caminhão basculante de 14 m³</t>
  </si>
  <si>
    <t>Escavação, carga e transporte de material de 2ª categoria - DMT de 1.600 a 1.800 m - caminho de serviço em revestimento primário - com escavadeira e caminhão basculante de 14 m³</t>
  </si>
  <si>
    <t>Escavação, carga e transporte de material de 2ª categoria - DMT de 1.600 a 1.800 m - caminho de serviço pavimentado - com carregadeira e caminhão basculante de 14 m³</t>
  </si>
  <si>
    <t>Escavação, carga e transporte de material de 2ª categoria - DMT de 1.600 a 1.800 m - caminho de serviço pavimentado - com escavadeira e caminhão basculante de 14 m³</t>
  </si>
  <si>
    <t>Escavação, carga e transporte de material de 2ª categoria - DMT de 1.800 a 2.000 m - caminho de serviço em leito natural - com carregadeira e caminhão basculante de 14 m³</t>
  </si>
  <si>
    <t>Escavação, carga e transporte de material de 2ª categoria - DMT de 1.800 a 2.000 m - caminho de serviço em leito natural - com escavadeira e caminhão basculante de 14 m³</t>
  </si>
  <si>
    <t>Escavação, carga e transporte de material de 2ª categoria - DMT de 1.800 a 2.000 m - caminho de serviço em revestimento primário - com carregadeira e caminhão basculante de 14 m³</t>
  </si>
  <si>
    <t>Escavação, carga e transporte de material de 2ª categoria - DMT de 1.800 a 2.000 m - caminho de serviço em revestimento primário - com escavadeira e caminhão basculante de 14 m³</t>
  </si>
  <si>
    <t>Escavação, carga e transporte de material de 2ª categoria - DMT de 1.800 a 2.000 m - caminho de serviço pavimentado - com carregadeira e caminhão basculante de 14 m³</t>
  </si>
  <si>
    <t>Escavação, carga e transporte de material de 2ª categoria - DMT de 1.800 a 2.000 m - caminho de serviço pavimentado - com escavadeira e caminhão basculante de 14 m³</t>
  </si>
  <si>
    <t>Escavação, carga e transporte de material de 2ª categoria - DMT de 2.000 a 2.500 m - caminho de serviço em leito natural - com carregadeira e caminhão basculante de 14 m³</t>
  </si>
  <si>
    <t>Escavação, carga e transporte de material de 2ª categoria - DMT de 2.000 a 2.500 m - caminho de serviço em leito natural - com escavadeira e caminhão basculante de 14 m³</t>
  </si>
  <si>
    <t>Escavação, carga e transporte de material de 2ª categoria - DMT de 2.000 a 2.500 m - caminho de serviço em revestimento primário - com carregadeira e caminhão basculante de 14 m³</t>
  </si>
  <si>
    <t>Escavação, carga e transporte de material de 2ª categoria - DMT de 2.000 a 2.500 m - caminho de serviço em revestimento primário - com escavadeira e caminhão basculante de 14 m³</t>
  </si>
  <si>
    <t>Escavação, carga e transporte de material de 2ª categoria - DMT de 2.000 a 2.500 m - caminho de serviço pavimentado - com carregadeira e caminhão basculante de 14 m³</t>
  </si>
  <si>
    <t>Escavação, carga e transporte de material de 2ª categoria - DMT de 2.000 a 2.500 m - caminho de serviço pavimentado - com escavadeira e caminhão basculante de 14 m³</t>
  </si>
  <si>
    <t>Escavação, carga e transporte de material de 2ª categoria - DMT de 2.500 a 3.000 m - caminho de serviço em leito natural - com carregadeira e caminhão basculante de 14 m³</t>
  </si>
  <si>
    <t>Escavação, carga e transporte de material de 2ª categoria - DMT de 2.500 a 3.000 m - caminho de serviço em leito natural - com escavadeira e caminhão basculante de 14 m³</t>
  </si>
  <si>
    <t>Escavação, carga e transporte de material de 2ª categoria - DMT de 2.500 a 3.000 m - caminho de serviço em revestimento primário - com carregadeira e caminhão basculante de 14 m³</t>
  </si>
  <si>
    <t>Escavação, carga e transporte de material de 2ª categoria - DMT de 2.500 a 3.000 m - caminho de serviço em revestimento primário - com escavadeira e caminhão basculante de 14 m³</t>
  </si>
  <si>
    <t>Escavação, carga e transporte de material de 2ª categoria - DMT de 2.500 a 3.000 m - caminho de serviço pavimentado - com carregadeira e caminhão basculante de 14 m³</t>
  </si>
  <si>
    <t>Escavação, carga e transporte de material de 2ª categoria - DMT de 2.500 a 3.000 m - caminho de serviço pavimentado - com escavadeira e caminhão basculante de 14 m³</t>
  </si>
  <si>
    <t>Escavação, carga e transporte de material de 2ª categoria - DMT de 200 a 400 m - caminho de serviço em leito natural - com carregadeira e caminhão basculante de 14 m³</t>
  </si>
  <si>
    <t>Escavação, carga e transporte de material de 2ª categoria - DMT de 200 a 400 m - caminho de serviço em leito natural - com escavadeira e caminhão basculante de 14 m³</t>
  </si>
  <si>
    <t>Escavação, carga e transporte de material de 2ª categoria - DMT de 200 a 400 m - caminho de serviço em revestimento primário - com carregadeira e caminhão basculante de 14 m³</t>
  </si>
  <si>
    <t>Escavação, carga e transporte de material de 2ª categoria - DMT de 200 a 400 m - caminho de serviço em revestimento primário - com escavadeira e caminhão basculante de 14 m³</t>
  </si>
  <si>
    <t>Escavação, carga e transporte de material de 2ª categoria - DMT de 200 a 400 m - caminho de serviço pavimentado - com carregadeira e caminhão basculante de 14 m³</t>
  </si>
  <si>
    <t>Escavação, carga e transporte de material de 2ª categoria - DMT de 200 a 400 m - caminho de serviço pavimentado - com escavadeira e caminhão basculante de 14 m³</t>
  </si>
  <si>
    <t>Escavação, carga e transporte de material de 2ª categoria - DMT de 400 a 600 m - caminho de serviço em leito natural - com carregadeira e caminhão basculante de 14 m³</t>
  </si>
  <si>
    <t>Escavação, carga e transporte de material de 2ª categoria - DMT de 400 a 600 m - caminho de serviço em leito natural - com escavadeira e caminhão basculante de 14 m³</t>
  </si>
  <si>
    <t>Escavação, carga e transporte de material de 2ª categoria - DMT de 400 a 600 m - caminho de serviço em revestimento primário - com carregadeira e caminhão basculante de 14 m³</t>
  </si>
  <si>
    <t>Escavação, carga e transporte de material de 2ª categoria - DMT de 400 a 600 m - caminho de serviço em revestimento primário - com escavadeira e caminhão basculante de 14 m³</t>
  </si>
  <si>
    <t>Escavação, carga e transporte de material de 2ª categoria - DMT de 400 a 600 m - caminho de serviço pavimentado - com carregadeira e caminhão basculante de 14 m³</t>
  </si>
  <si>
    <t>Escavação, carga e transporte de material de 2ª categoria - DMT de 400 a 600 m - caminho de serviço pavimentado - com escavadeira e caminhão basculante de 14 m³</t>
  </si>
  <si>
    <t>Escavação, carga e transporte de material de 2ª categoria - DMT de 50 a 200 m - caminho de serviço em leito natural - com carregadeira e caminhão basculante de 14 m³</t>
  </si>
  <si>
    <t>Escavação, carga e transporte de material de 2ª categoria - DMT de 50 a 200 m - caminho de serviço em leito natural - com escavadeira e caminhão basculante de 14 m³</t>
  </si>
  <si>
    <t>Escavação, carga e transporte de material de 2ª categoria - DMT de 50 a 200 m - caminho de serviço em revestimento primário - com carregadeira e caminhão basculante de 14 m³</t>
  </si>
  <si>
    <t>Escavação, carga e transporte de material de 2ª categoria - DMT de 50 a 200 m - caminho de serviço em revestimento primário - com escavadeira e caminhão basculante de 14 m³</t>
  </si>
  <si>
    <t>Escavação, carga e transporte de material de 2ª categoria - DMT de 50 a 200 m - caminho de serviço pavimentado - com carregadeira e caminhão basculante de 14 m³</t>
  </si>
  <si>
    <t>Escavação, carga e transporte de material de 2ª categoria - DMT de 50 a 200 m - caminho de serviço pavimentado - com escavadeira e caminhão basculante de 14 m³</t>
  </si>
  <si>
    <t>5502187</t>
  </si>
  <si>
    <t>Escavação, carga e transporte de material de 2ª categoria - DMT de 600 a 800 m - caminho de serviço em leito natural - com carregadeira e caminhão basculante de 14 m³</t>
  </si>
  <si>
    <t>Escavação, carga e transporte de material de 2ª categoria - DMT de 600 a 800 m - caminho de serviço em leito natural - com escavadeira e caminhão basculante de 14 m³</t>
  </si>
  <si>
    <t>Escavação, carga e transporte de material de 2ª categoria - DMT de 600 a 800 m - caminho de serviço em revestimento primário - com carregadeira e caminhão basculante de 14 m³</t>
  </si>
  <si>
    <t>Escavação, carga e transporte de material de 2ª categoria - DMT de 600 a 800 m - caminho de serviço em revestimento primário - com escavadeira e caminhão basculante de 14 m³</t>
  </si>
  <si>
    <t>Escavação, carga e transporte de material de 2ª categoria - DMT de 600 a 800 m - caminho de serviço pavimentado - com carregadeira e caminhão basculante de 14 m³</t>
  </si>
  <si>
    <t>Escavação, carga e transporte de material de 2ª categoria - DMT de 600 a 800 m - caminho de serviço pavimentado - com escavadeira e caminhão basculante de 14 m³</t>
  </si>
  <si>
    <t>Escavação, carga e transporte de material de 2ª categoria - DMT de 800 a 1.000 m - caminho de serviço em leito natural - com carregadeira e caminhão basculante de 14 m³</t>
  </si>
  <si>
    <t>Escavação, carga e transporte de material de 2ª categoria - DMT de 800 a 1.000 m - caminho de serviço em leito natural - com escavadeira e caminhão basculante de 14 m³</t>
  </si>
  <si>
    <t>Escavação, carga e transporte de material de 2ª categoria - DMT de 800 a 1.000 m - caminho de serviço em revestimento primário - com carregadeira e caminhão basculante de 14 m³</t>
  </si>
  <si>
    <t>Escavação, carga e transporte de material de 2ª categoria - DMT de 800 a 1.000 m - caminho de serviço em revestimento primário - com escavadeira e caminhão basculante de 14 m³</t>
  </si>
  <si>
    <t>Escavação, carga e transporte de material de 2ª categoria - DMT de 800 a 1.000 m - caminho de serviço pavimentado - com carregadeira e caminhão basculante de 14 m³</t>
  </si>
  <si>
    <t>Escavação, carga e transporte de material de 2ª categoria - DMT de 800 a 1.000 m - caminho de serviço pavimentado - com escavadeira e caminhão basculante de 14 m³</t>
  </si>
  <si>
    <t>Escavação, carga e transporte de material de 2ª categoria na distância de 3.000 m - caminho de serviço em leito natural - com escavadeira e caminhão basculante de 14 m³</t>
  </si>
  <si>
    <t>Escavação, carga e transporte de material de 2ª categoria na distância de 3.000 m - caminho de serviço em leito natural com carregadeira e caminhão basculante de 14 m³</t>
  </si>
  <si>
    <t>Escavação, carga e transporte de material de 2ª categoria na distância de 3.000 m - caminho de serviço em revestimento primário - com escavadeira e caminhão basculante de 14 m³</t>
  </si>
  <si>
    <t>Escavação, carga e transporte de material de 2ª categoria na distância de 3.000 m - caminho de serviço pavimentado - com carregadeira e caminhão basculante de 14 m³</t>
  </si>
  <si>
    <t>Escavação, carga e transporte de material de 2ª categoria na distância de 3.000 m - caminho de serviço pavimentado - com escavadeira e caminhão basculante de 14 m³</t>
  </si>
  <si>
    <t>Escavação, carga e transporte de material de 2ª categoria na distância de 3.000 m -caminho de serviço com revestimento primário com carregadeira e caminhão basculante de 14 m³</t>
  </si>
  <si>
    <t>Escavação, carga e transporte de material de 3ª categoria - DMT de 1.000 a 1.200 m - caminho de serviço em leito natural com caminhão basculante de 12 m³</t>
  </si>
  <si>
    <t>Escavação, carga e transporte de material de 3ª categoria - DMT de 1.000 a 1.200 m - caminho de serviço em revestimento primário - com caminhão basculante de 12 m³</t>
  </si>
  <si>
    <t>Escavação, carga e transporte de material de 3ª categoria - DMT de 1.000 a 1.200 m - caminho de serviço pavimentado - com caminhão basculante de 12 m³</t>
  </si>
  <si>
    <t>Escavação, carga e transporte de material de 3ª categoria - DMT de 1.200 a 1.400 m - caminho de serviço em leito natural com caminhão basculante de 12 m³</t>
  </si>
  <si>
    <t>Escavação, carga e transporte de material de 3ª categoria - DMT de 1.200 a 1.400 m - caminho de serviço em revestimento primário - com caminhão basculante de 12 m³</t>
  </si>
  <si>
    <t>Escavação, carga e transporte de material de 3ª categoria - DMT de 1.200 a 1.400 m - caminho de serviço pavimentado - com caminhão basculante de 12 m³</t>
  </si>
  <si>
    <t>Escavação, carga e transporte de material de 3ª categoria - DMT de 1.400 a 1.600 m - caminho de serviço em leito natural com caminhão basculante de 12 m³</t>
  </si>
  <si>
    <t>Escavação, carga e transporte de material de 3ª categoria - DMT de 1.400 a 1.600 m - caminho de serviço em revestimento primário - com caminhão basculante de 12 m³</t>
  </si>
  <si>
    <t>Escavação, carga e transporte de material de 3ª categoria - DMT de 1.400 a 1.600 m - caminho de serviço pavimentado - com caminhão basculante de 12 m³</t>
  </si>
  <si>
    <t>Escavação, carga e transporte de material de 3ª categoria - DMT de 1.600 a 1.800 m - caminho de serviço em leito natural com caminhão basculante de 12 m³</t>
  </si>
  <si>
    <t>Escavação, carga e transporte de material de 3ª categoria - DMT de 1.600 a 1.800 m - caminho de serviço em revestimento primário - com caminhão basculante de 12 m³</t>
  </si>
  <si>
    <t>Escavação, carga e transporte de material de 3ª categoria - DMT de 1.600 a 1.800 m - caminho de serviço pavimentado - com caminhão basculante de 12 m³</t>
  </si>
  <si>
    <t>Escavação, carga e transporte de material de 3ª categoria - DMT de 1.800 a 2.000 m - caminho de serviço em leito natural com caminhão basculante de 12 m³</t>
  </si>
  <si>
    <t>Escavação, carga e transporte de material de 3ª categoria - DMT de 1.800 a 2.000 m - caminho de serviço em revestimento primário - com caminhão basculante de 12 m³</t>
  </si>
  <si>
    <t>Escavação, carga e transporte de material de 3ª categoria - DMT de 1.800 a 2.000 m - caminho de serviço pavimentado - com caminhão basculante de 12 m³</t>
  </si>
  <si>
    <t>Escavação, carga e transporte de material de 3ª categoria - DMT de 2.000 a 2.500 m - caminho de serviço em leito natural com caminhão basculante de 12 m³</t>
  </si>
  <si>
    <t>Escavação, carga e transporte de material de 3ª categoria - DMT de 2.000 a 2.500 m - caminho de serviço em revestimento primário - com caminhão basculante de 12 m³</t>
  </si>
  <si>
    <t>Escavação, carga e transporte de material de 3ª categoria - DMT de 2.000 a 2.500 m - caminho de serviço pavimentado - com caminhão basculante de 12 m³</t>
  </si>
  <si>
    <t>Escavação, carga e transporte de material de 3ª categoria - DMT de 2.500 a 3.000 m - caminho de serviço em leito natural com caminhão basculante de 12 m³</t>
  </si>
  <si>
    <t>Escavação, carga e transporte de material de 3ª categoria - DMT de 2.500 a 3.000 m - caminho de serviço em revestimento primário - com caminhão basculante de 12 m³</t>
  </si>
  <si>
    <t>Escavação, carga e transporte de material de 3ª categoria - DMT de 2.500 a 3.000 m - caminho de serviço pavimentado - com caminhão basculante de 12 m³</t>
  </si>
  <si>
    <t>Escavação, carga e transporte de material de 3ª categoria - DMT de 200 a 400 m - caminho de serviço em leito natural com caminhão basculante de 12 m³</t>
  </si>
  <si>
    <t>Escavação, carga e transporte de material de 3ª categoria - DMT de 200 a 400 m - caminho de serviço em revestimento primário - com caminhão basculante de 12 m³</t>
  </si>
  <si>
    <t>Escavação, carga e transporte de material de 3ª categoria - DMT de 200 a 400 m - caminho de serviço pavimentado - com caminhão basculante de 12 m³</t>
  </si>
  <si>
    <t>Escavação, carga e transporte de material de 3ª categoria - DMT de 400 a 600 m - caminho de serviço em leito natural com caminhão basculante de 12 m³</t>
  </si>
  <si>
    <t>Escavação, carga e transporte de material de 3ª categoria - DMT de 400 a 600 m - caminho de serviço em revestimento primário - com caminhão basculante de 12 m³</t>
  </si>
  <si>
    <t>Escavação, carga e transporte de material de 3ª categoria - DMT de 400 a 600 m - caminho de serviço pavimentado - com caminhão basculante de 12 m³</t>
  </si>
  <si>
    <t>Escavação, carga e transporte de material de 3ª categoria - DMT de 50 a 200 m - caminho de serviço em leito natural com caminhão basculante de 12 m³</t>
  </si>
  <si>
    <t>Escavação, carga e transporte de material de 3ª categoria - DMT de 50 a 200 m - caminho de serviço em revestimento primário - com caminhão basculante de 12 m³</t>
  </si>
  <si>
    <t>Escavação, carga e transporte de material de 3ª categoria - DMT de 50 a 200 m - caminho de serviço pavimentado - com caminhão basculante de 12 m³</t>
  </si>
  <si>
    <t>Escavação, carga e transporte de material de 3ª categoria - DMT de 600 a 800 m - caminho de serviço em leito natural com caminhão basculante de 12 m³</t>
  </si>
  <si>
    <t>Escavação, carga e transporte de material de 3ª categoria - DMT de 600 a 800 m - caminho de serviço em revestimento primário - com caminhão basculante de 12 m³</t>
  </si>
  <si>
    <t>Escavação, carga e transporte de material de 3ª categoria - DMT de 600 a 800 m - caminho de serviço pavimentado - com caminhão basculante de 12 m³</t>
  </si>
  <si>
    <t>Escavação, carga e transporte de material de 3ª categoria - DMT de 800 a 1.000 m - caminho de serviço em leito natural com caminhão basculante de 12 m³</t>
  </si>
  <si>
    <t>Escavação, carga e transporte de material de 3ª categoria - DMT de 800 a 1.000 m - caminho de serviço em revestimento primário - com caminhão basculante de 12 m³</t>
  </si>
  <si>
    <t>Escavação, carga e transporte de material de 3ª categoria - DMT de 800 a 1.000 m - caminho de serviço pavimentado - com caminhão basculante de 12 m³</t>
  </si>
  <si>
    <t>Escavação, carga e transporte de material de 3ª categoria na distância de 3.000 m - caminho de serviço em leito natural com caminhão basculante de 12 m³</t>
  </si>
  <si>
    <t>Escavação, carga e transporte de material de 3ª categoria na distância de 3.000 m - caminho de serviço em revestimento primário - com caminhão basculante de 12 m³</t>
  </si>
  <si>
    <t>Escavação, carga e transporte de material de 3ª categoria na distância de 3.000 m - caminho de serviço pavimentado - com caminhão basculante de 12 m³</t>
  </si>
  <si>
    <t>Escavação, carga e transporte de solos moles - DMT de 0 a 50 m</t>
  </si>
  <si>
    <t>Escavação, carga e transporte de solos moles - DMT de 1.000 a 1.200 m - caminho de serviço em leito natural - com caminhão basculante de 14 m³</t>
  </si>
  <si>
    <t>Escavação, carga e transporte de solos moles - DMT de 1.000 a 1.200 m - caminho de serviço em revestimento primário - com caminhão basculante de 14 m³</t>
  </si>
  <si>
    <t>Escavação, carga e transporte de solos moles - DMT de 1.000 a 1.200 m - caminho de serviço pavimentado - com caminhão basculante de 14 m³</t>
  </si>
  <si>
    <t>Escavação, carga e transporte de solos moles - DMT de 1.200 a 1.400 m - caminho de serviço em leito natural - com caminhão basculante de 14 m³</t>
  </si>
  <si>
    <t>Escavação, carga e transporte de solos moles - DMT de 1.200 a 1.400 m - caminho de serviço em revestimento primário - com caminhão basculante de 14 m³</t>
  </si>
  <si>
    <t>Escavação, carga e transporte de solos moles - DMT de 1.200 a 1.400 m - caminho de serviço pavimentado - com caminhão basculante de 14 m³</t>
  </si>
  <si>
    <t>Escavação, carga e transporte de solos moles - DMT de 1.400 a 1.600 m - caminho de serviço em leito natural - com caminhão basculante de 14 m³</t>
  </si>
  <si>
    <t>Escavação, carga e transporte de solos moles - DMT de 1.400 a 1.600 m - caminho de serviço em revestimento primário - com caminhão basculante de 14 m³</t>
  </si>
  <si>
    <t>Escavação, carga e transporte de solos moles - DMT de 1.400 a 1.600 m - caminho de serviço pavimentado - com caminhão basculante de 14 m³</t>
  </si>
  <si>
    <t>Escavação, carga e transporte de solos moles - DMT de 1.600 a 1.800 m - caminho de serviço em leito natural - com caminhão basculante de 14 m³</t>
  </si>
  <si>
    <t>Escavação, carga e transporte de solos moles - DMT de 1.600 a 1.800 m - caminho de serviço em revestimento primário - com caminhão basculante de 14 m³</t>
  </si>
  <si>
    <t>Escavação, carga e transporte de solos moles - DMT de 1.600 a 1.800 m - caminho de serviço pavimentado - com caminhão basculante de 14 m³</t>
  </si>
  <si>
    <t>Escavação, carga e transporte de solos moles - DMT de 1.800 a 2.000 m - caminho de serviço em leito natural - com caminhão basculante de 14 m³</t>
  </si>
  <si>
    <t>Escavação, carga e transporte de solos moles - DMT de 1.800 a 2.000 m - caminho de serviço em revestimento primário - com caminhão basculante de 14 m³</t>
  </si>
  <si>
    <t>Escavação, carga e transporte de solos moles - DMT de 1.800 a 2.000 m - caminho de serviço pavimentado - com caminhão basculante de 14 m³</t>
  </si>
  <si>
    <t>Escavação, carga e transporte de solos moles - DMT de 2.000 a 2.500 m - caminho de serviço em leito natural - com caminhão basculante de 14 m³</t>
  </si>
  <si>
    <t>Escavação, carga e transporte de solos moles - DMT de 2.000 a 2.500 m - caminho de serviço em revestimento primário - com caminhão basculante de 14 m³</t>
  </si>
  <si>
    <t>Escavação, carga e transporte de solos moles - DMT de 2.000 a 2.500 m - caminho de serviço pavimentado - com caminhão basculante de 14 m³</t>
  </si>
  <si>
    <t>Escavação, carga e transporte de solos moles - DMT de 2.500 a 3.000 m - caminho de serviço em leito natural - com caminhão basculante de 14 m³</t>
  </si>
  <si>
    <t>Escavação, carga e transporte de solos moles - DMT de 2.500 a 3.000 m - caminho de serviço em revestimento primário - com caminhão basculante de 14 m³</t>
  </si>
  <si>
    <t>Escavação, carga e transporte de solos moles - DMT de 2.500 a 3.000 m - caminho de serviço pavimentado - com caminhão basculante de 14 m³</t>
  </si>
  <si>
    <t>Escavação, carga e transporte de solos moles - DMT de 200 a 400 m - caminho de serviço em leito natural - com caminhão basculante de 14 m³</t>
  </si>
  <si>
    <t>Escavação, carga e transporte de solos moles - DMT de 200 a 400 m - caminho de serviço em revestimento primário - com caminhão basculante de 14 m³</t>
  </si>
  <si>
    <t>Escavação, carga e transporte de solos moles - DMT de 200 a 400 m - caminho de serviço pavimentado - com caminhão basculante de 14 m³</t>
  </si>
  <si>
    <t>Escavação, carga e transporte de solos moles - DMT de 400 a 600 m - caminho de serviço em leito natural - com caminhão basculante de 14 m³</t>
  </si>
  <si>
    <t>Escavação, carga e transporte de solos moles - DMT de 400 a 600 m - caminho de serviço em revestimento primário - com caminhão basculante de 14 m³</t>
  </si>
  <si>
    <t>Escavação, carga e transporte de solos moles - DMT de 400 a 600 m - caminho de serviço pavimentado - com caminhão basculante de 14 m³</t>
  </si>
  <si>
    <t>Escavação, carga e transporte de solos moles - DMT de 50 a 200 m - caminho de serviço em leito natural - com caminhão basculante de 14 m³</t>
  </si>
  <si>
    <t>Escavação, carga e transporte de solos moles - DMT de 50 a 200 m - caminho de serviço em revestimento primário - com caminhão basculante de 14 m³</t>
  </si>
  <si>
    <t>Escavação, carga e transporte de solos moles - DMT de 50 a 200 m - caminho de serviço pavimentado - com caminhão basculante de 14 m³</t>
  </si>
  <si>
    <t>Escavação, carga e transporte de solos moles - DMT de 600 a 800 m - caminho de serviço em leito natural - com caminhão basculante de 14 m³</t>
  </si>
  <si>
    <t>Escavação, carga e transporte de solos moles - DMT de 600 a 800 m - caminho de serviço em revestimento primário - com caminhão basculante de 14 m³</t>
  </si>
  <si>
    <t>Escavação, carga e transporte de solos moles - DMT de 600 a 800 m - caminho de serviço pavimentado - com caminhão basculante de 14 m³</t>
  </si>
  <si>
    <t>Escavação, carga e transporte de solos moles - DMT de 800 a 1.000 m - caminho de serviço em leito natural - com caminhão basculante de 14 m³</t>
  </si>
  <si>
    <t>Escavação, carga e transporte de solos moles - DMT de 800 a 1.000 m - caminho de serviço em revestimento primário - com caminhão basculante de 14 m³</t>
  </si>
  <si>
    <t>Escavação, carga e transporte de solos moles - DMT de 800 a 1.000 m - caminho de serviço pavimentado - com caminhão basculante de 14 m³</t>
  </si>
  <si>
    <t>Escavação, carga e transporte de solos moles na distância de 3.000 m - caminho de serviço em leito natural - com caminhão basculante de 14 m³</t>
  </si>
  <si>
    <t>Escavação, carga e transporte de solos moles na distância de 3.000 m - caminho de serviço em revestimento primário - com caminhão basculante de 14 m³</t>
  </si>
  <si>
    <t>Escavação, carga e transporte de solos moles na distância de 3.000 m - caminho de serviço pavimentado - com caminhão basculante de 14 m³</t>
  </si>
  <si>
    <t>Escavação, carga e transporte em material de 1ª categoria - DMT de 1.000 a 1.200 m com motoscraper</t>
  </si>
  <si>
    <t>Escavação, carga e transporte em material de 1ª categoria - DMT de 1.200 a 1.400 m com motoscraper</t>
  </si>
  <si>
    <t>Escavação, carga e transporte em material de 1ª categoria - DMT de 200 a 400 m com motoscraper</t>
  </si>
  <si>
    <t>Escavação, carga e transporte em material de 1ª categoria - DMT de 400 a 600 m com motoscraper</t>
  </si>
  <si>
    <t>Escavação, carga e transporte em material de 1ª categoria - DMT de 50 a 200 m com motoscraper</t>
  </si>
  <si>
    <t>5501710</t>
  </si>
  <si>
    <t>Escavação, carga e transporte em material de 1ª categoria - DMT de 600 a 800 m com motoscraper</t>
  </si>
  <si>
    <t>Escavação, carga e transporte em material de 1ª categoria - DMT de 800 a 1.000 m com motoscraper</t>
  </si>
  <si>
    <t>5502977</t>
  </si>
  <si>
    <t>5503018</t>
  </si>
  <si>
    <t>5505768</t>
  </si>
  <si>
    <t>5503020</t>
  </si>
  <si>
    <t>Código da Composição</t>
  </si>
  <si>
    <t>Código do Insumo</t>
  </si>
  <si>
    <t>Descrição do Insumo</t>
  </si>
  <si>
    <t>E9540</t>
  </si>
  <si>
    <t>Trator sobre esteiras com lâmina - 127 kW</t>
  </si>
  <si>
    <t>P9824</t>
  </si>
  <si>
    <t>Servente</t>
  </si>
  <si>
    <t>M0081</t>
  </si>
  <si>
    <t>Areia grossa</t>
  </si>
  <si>
    <t>Areia grossa - Caminhão basculante 10 m³</t>
  </si>
  <si>
    <t>E9571</t>
  </si>
  <si>
    <t>Caminhão tanque com capacidade de 10.000 l - 188 kW</t>
  </si>
  <si>
    <t>E9518</t>
  </si>
  <si>
    <t>Grade de 24 discos rebocável de D = 60 cm (24")</t>
  </si>
  <si>
    <t>E9524</t>
  </si>
  <si>
    <t>Motoniveladora - 93 kW</t>
  </si>
  <si>
    <t>E9685</t>
  </si>
  <si>
    <t>Rolo compactador pé de carneiro vibratório autopropelido por pneus de 11,6 t - 82 kW</t>
  </si>
  <si>
    <t>E9577</t>
  </si>
  <si>
    <t>Trator agrícola sobre pneus - 77 kW</t>
  </si>
  <si>
    <t>E9530</t>
  </si>
  <si>
    <t>Rolo compactador liso vibratório autopropelido por pneus de 11 t - 97 kW</t>
  </si>
  <si>
    <t>E9541</t>
  </si>
  <si>
    <t>Trator sobre esteiras com lâmina - 259 kW</t>
  </si>
  <si>
    <t>E9646</t>
  </si>
  <si>
    <t>Compressor de ar portátil de 58,52 l/s (124 PCM) - 27 kW</t>
  </si>
  <si>
    <t>E9527</t>
  </si>
  <si>
    <t>Martelete perfurador/rompedor a ar comprimido de 25 kg para rocha com capacidade de 2.040 gpm</t>
  </si>
  <si>
    <t>M1391</t>
  </si>
  <si>
    <t>Ponteiro para martelete - D = 22 mm e C = 1,00 m</t>
  </si>
  <si>
    <t>P9892</t>
  </si>
  <si>
    <t>Auxiliar de blaster</t>
  </si>
  <si>
    <t>P9852</t>
  </si>
  <si>
    <t>Blaster</t>
  </si>
  <si>
    <t>M2042</t>
  </si>
  <si>
    <t>Emulsão explosiva encartuchada</t>
  </si>
  <si>
    <t>M2141</t>
  </si>
  <si>
    <t>Nonel de iniciação para fogacho - C = 6,0 m</t>
  </si>
  <si>
    <t>M2145</t>
  </si>
  <si>
    <t>Série de brocas integrais S12</t>
  </si>
  <si>
    <t>E9671</t>
  </si>
  <si>
    <t>Compressor de ar portátil de 363,87 l/s (771 PCM) - 158,13 kW</t>
  </si>
  <si>
    <t>M0421</t>
  </si>
  <si>
    <t>Argamassa expansiva para desmonte de rocha e demolição de concreto</t>
  </si>
  <si>
    <t>Argamassa expansiva para desmonte de rocha e demolição de concreto - Caminhão carroceria 15 t</t>
  </si>
  <si>
    <t>E9775</t>
  </si>
  <si>
    <t>Escavadeira hidráulica com martelo hidráulico de 1.700 kg - 103 kW</t>
  </si>
  <si>
    <t>M0602</t>
  </si>
  <si>
    <t>Ponteiro para rompedor hidráulico de 1.700 kg</t>
  </si>
  <si>
    <t>Ponteiro para rompedor hidráulico de 1.700 kg - Caminhão carroceria 15 t</t>
  </si>
  <si>
    <t>E9574</t>
  </si>
  <si>
    <t>Perfuratriz sobre esteiras - 145 kW</t>
  </si>
  <si>
    <t>M2062</t>
  </si>
  <si>
    <t>Coroa de botões esféricos linha T38 - D = 64 mm (2 1/2")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</si>
  <si>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</si>
  <si>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</si>
  <si>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</si>
  <si>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</si>
  <si>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M2144</t>
  </si>
  <si>
    <t>Nonel de coluna - C = 6,0 m</t>
  </si>
  <si>
    <t>M2143</t>
  </si>
  <si>
    <t>Nonel de ligação - C = 6,0 m</t>
  </si>
  <si>
    <t>M2146</t>
  </si>
  <si>
    <t>Nonel iniciador - C = 150,0 m</t>
  </si>
  <si>
    <t>M2067</t>
  </si>
  <si>
    <t>Punho linha T38 para perfuratriz sobre esteiras - D = 38 mm (1 1/2")</t>
  </si>
  <si>
    <t>E9526</t>
  </si>
  <si>
    <t xml:space="preserve">Retroescavadeira de pneus - capacidade da caçamba da pá-carregadeira de 0,76 m³ e da retroescavadeira de 0,29 m³ - 58 kW </t>
  </si>
  <si>
    <t>E9667</t>
  </si>
  <si>
    <t>Caminhão basculante com capacidade de 14 m³ - 210 kW</t>
  </si>
  <si>
    <t>E9511</t>
  </si>
  <si>
    <t>Carregadeira de pneus com capacidade de 3,40 m³ - 195 kW</t>
  </si>
  <si>
    <t>E9515</t>
  </si>
  <si>
    <t>Escavadeira hidráulica sobre esteiras com caçamba com capacidade de 1,56 m³ - 118 kW</t>
  </si>
  <si>
    <t>E9565</t>
  </si>
  <si>
    <t>Trator sobre esteiras com lâmina e escarificador - 259 kW</t>
  </si>
  <si>
    <t>E9672</t>
  </si>
  <si>
    <t>Caminhão basculante para rocha com capacidade de 12 m³ - 188 kW</t>
  </si>
  <si>
    <t>E9117</t>
  </si>
  <si>
    <t>Carregadeira de pneus para rocha com capacidade de 2,50 m³ - 105 kW</t>
  </si>
  <si>
    <t>E9576</t>
  </si>
  <si>
    <t>Escavadeira hidráulica de longo alcance sobre esteiras - 103 kW</t>
  </si>
  <si>
    <t>E9575</t>
  </si>
  <si>
    <t>Caminhão basculante com caçamba estanque com capacidade de 14 m³ - 210 kW</t>
  </si>
  <si>
    <t>E9523</t>
  </si>
  <si>
    <t>Motoscraper - 304 kW</t>
  </si>
  <si>
    <t>Classificação NBR 15965</t>
  </si>
  <si>
    <t>Nível 1</t>
  </si>
  <si>
    <t>Nível 2</t>
  </si>
  <si>
    <t>Nível 3</t>
  </si>
  <si>
    <t>Nível 4</t>
  </si>
  <si>
    <t>Nível 5</t>
  </si>
  <si>
    <t>Nível 6</t>
  </si>
  <si>
    <t>Nível 7</t>
  </si>
  <si>
    <t>2Q</t>
  </si>
  <si>
    <t>50</t>
  </si>
  <si>
    <t>10</t>
  </si>
  <si>
    <t>00</t>
  </si>
  <si>
    <t>2N</t>
  </si>
  <si>
    <t>30</t>
  </si>
  <si>
    <t>06</t>
  </si>
  <si>
    <t>2C</t>
  </si>
  <si>
    <t>02</t>
  </si>
  <si>
    <t xml:space="preserve"> </t>
  </si>
  <si>
    <t>NBR 15965</t>
  </si>
  <si>
    <t>3. SUBGRUPO_G55</t>
  </si>
  <si>
    <t>Desmonte de blocos de rocha com martelete pneumático</t>
  </si>
  <si>
    <t>Escavação, carga e transporte em material de 1ª categoria com moto scraper</t>
  </si>
  <si>
    <t>14</t>
  </si>
  <si>
    <t>22</t>
  </si>
  <si>
    <t>26</t>
  </si>
  <si>
    <t>08</t>
  </si>
  <si>
    <t>28</t>
  </si>
  <si>
    <t>34</t>
  </si>
  <si>
    <t>54</t>
  </si>
  <si>
    <t>66</t>
  </si>
  <si>
    <t>18</t>
  </si>
  <si>
    <t>Caminhão basculante para rocha com capacidade de 12 m³ - 210 kW</t>
  </si>
  <si>
    <t>7. Nível 1</t>
  </si>
  <si>
    <t>8. Nível 2</t>
  </si>
  <si>
    <t>9. Nível 3</t>
  </si>
  <si>
    <t>10. Nível 4</t>
  </si>
  <si>
    <t>11. Nível 5</t>
  </si>
  <si>
    <t>12. Nível 6</t>
  </si>
  <si>
    <t>13. Nível 7</t>
  </si>
  <si>
    <t>Caminhão basculante com capacidade de 14 m³ - 210  kW</t>
  </si>
  <si>
    <t>COMPOSIÇÃO ANALÍTICA</t>
  </si>
  <si>
    <t>TEXTO_SERVICO</t>
  </si>
  <si>
    <t>Codigo do Insumo</t>
  </si>
  <si>
    <t>Código Insumo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</si>
</sst>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1F2328"/>
      <name val="Consolas"/>
      <family val="3"/>
    </font>
    <font>
      <sz val="14"/>
      <color theme="1"/>
      <name val="Calibri"/>
      <family val="2"/>
      <scheme val="minor"/>
    </font>
    <font>
      <sz val="14"/>
      <color rgb="FF1F2328"/>
      <name val="Consolas"/>
      <family val="3"/>
    </font>
    <font>
      <b/>
      <sz val="14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3" fillId="0" borderId="8" xfId="0" applyNumberFormat="1" applyFont="1" applyBorder="1" applyAlignment="1">
      <alignment horizontal="center" vertical="center"/>
    </xf>
    <xf numFmtId="0" fontId="3" fillId="0" borderId="0" xfId="0" applyFont="1"/>
    <xf numFmtId="49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1" fillId="0" borderId="26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Font="1"/>
    <xf numFmtId="0" fontId="3" fillId="0" borderId="8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1" xfId="0" applyNumberFormat="1" applyFont="1" applyBorder="1" applyAlignment="1">
      <alignment vertical="center"/>
    </xf>
    <xf numFmtId="0" fontId="6" fillId="0" borderId="31" xfId="0" applyNumberFormat="1" applyFont="1" applyBorder="1" applyAlignment="1">
      <alignment horizontal="center" vertical="center" wrapText="1"/>
    </xf>
    <xf numFmtId="0" fontId="7" fillId="0" borderId="32" xfId="0" applyNumberFormat="1" applyFont="1" applyBorder="1" applyAlignment="1">
      <alignment wrapText="1"/>
    </xf>
    <xf numFmtId="0" fontId="6" fillId="0" borderId="35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7" fillId="0" borderId="29" xfId="0" applyNumberFormat="1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NumberFormat="1" applyFont="1" applyBorder="1" applyAlignment="1">
      <alignment vertical="center"/>
    </xf>
    <xf numFmtId="0" fontId="6" fillId="0" borderId="7" xfId="0" applyNumberFormat="1" applyFont="1" applyBorder="1" applyAlignment="1">
      <alignment horizontal="center" vertical="center" wrapText="1"/>
    </xf>
    <xf numFmtId="0" fontId="7" fillId="0" borderId="37" xfId="0" applyNumberFormat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vertical="center" wrapText="1"/>
    </xf>
    <xf numFmtId="0" fontId="6" fillId="0" borderId="12" xfId="0" applyNumberFormat="1" applyFont="1" applyBorder="1" applyAlignment="1">
      <alignment horizontal="center" vertical="center" wrapText="1"/>
    </xf>
    <xf numFmtId="0" fontId="7" fillId="0" borderId="25" xfId="0" applyNumberFormat="1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NumberFormat="1" applyFont="1" applyBorder="1" applyAlignment="1">
      <alignment horizontal="center" vertical="center" wrapText="1"/>
    </xf>
    <xf numFmtId="0" fontId="8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49" fontId="0" fillId="0" borderId="35" xfId="0" applyNumberFormat="1" applyBorder="1" applyAlignment="1">
      <alignment horizontal="left" vertical="center" wrapText="1"/>
    </xf>
    <xf numFmtId="49" fontId="0" fillId="0" borderId="35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105"/>
  <sheetViews>
    <sheetView tabSelected="1" zoomScale="55" zoomScaleNormal="55" workbookViewId="0">
      <pane ySplit="4" topLeftCell="A2043" activePane="bottomLeft" state="frozen"/>
      <selection pane="bottomLeft" activeCell="E2064" sqref="E2064:E2068"/>
    </sheetView>
  </sheetViews>
  <sheetFormatPr defaultRowHeight="15"/>
  <cols>
    <col min="1" max="1" width="7.5703125" style="9" customWidth="1"/>
    <col min="2" max="2" width="43.28515625" style="9" customWidth="1"/>
    <col min="3" max="4" width="20.28515625" style="9" customWidth="1"/>
    <col min="5" max="5" width="61" style="9" customWidth="1"/>
    <col min="6" max="6" width="16.7109375" style="9" customWidth="1"/>
    <col min="7" max="7" width="43" style="18" customWidth="1"/>
    <col min="8" max="8" width="31.5703125" style="38" customWidth="1"/>
    <col min="9" max="9" width="9.85546875" style="39" customWidth="1"/>
    <col min="10" max="12" width="9.5703125" style="40" customWidth="1"/>
    <col min="13" max="15" width="9.5703125" style="41" customWidth="1"/>
  </cols>
  <sheetData>
    <row r="1" spans="1:15" s="8" customFormat="1">
      <c r="A1" s="9"/>
      <c r="B1" s="9"/>
      <c r="C1" s="9"/>
      <c r="D1" s="9"/>
      <c r="E1" s="9"/>
      <c r="F1" s="9"/>
      <c r="G1" s="18"/>
      <c r="H1" s="38"/>
      <c r="I1" s="39"/>
      <c r="J1" s="40"/>
      <c r="K1" s="40"/>
      <c r="L1" s="40"/>
      <c r="M1" s="41"/>
      <c r="N1" s="41"/>
      <c r="O1" s="41"/>
    </row>
    <row r="2" spans="1:15" s="8" customFormat="1" ht="15.75" thickBot="1">
      <c r="A2" s="9"/>
      <c r="B2" s="9"/>
      <c r="C2" s="9"/>
      <c r="D2" s="9"/>
      <c r="E2" s="9"/>
      <c r="F2" s="9"/>
      <c r="G2" s="18"/>
      <c r="H2" s="38"/>
      <c r="I2" s="39"/>
      <c r="J2" s="40"/>
      <c r="K2" s="40"/>
      <c r="L2" s="40"/>
      <c r="M2" s="41"/>
      <c r="N2" s="41"/>
      <c r="O2" s="41"/>
    </row>
    <row r="3" spans="1:15" ht="15.75" thickBot="1">
      <c r="F3" s="121" t="s">
        <v>709</v>
      </c>
      <c r="G3" s="122"/>
      <c r="H3" s="121" t="s">
        <v>687</v>
      </c>
      <c r="I3" s="122"/>
      <c r="J3" s="122"/>
      <c r="K3" s="122"/>
      <c r="L3" s="122"/>
      <c r="M3" s="122"/>
      <c r="N3" s="122"/>
      <c r="O3" s="123"/>
    </row>
    <row r="4" spans="1:15" ht="30.75" thickBot="1">
      <c r="A4" s="140" t="s">
        <v>28</v>
      </c>
      <c r="B4" s="141"/>
      <c r="C4" s="34" t="s">
        <v>583</v>
      </c>
      <c r="D4" s="35"/>
      <c r="E4" s="35" t="s">
        <v>5</v>
      </c>
      <c r="F4" s="26" t="s">
        <v>584</v>
      </c>
      <c r="G4" s="108" t="s">
        <v>585</v>
      </c>
      <c r="H4" s="108" t="s">
        <v>669</v>
      </c>
      <c r="I4" s="27" t="s">
        <v>670</v>
      </c>
      <c r="J4" s="27" t="s">
        <v>671</v>
      </c>
      <c r="K4" s="27" t="s">
        <v>672</v>
      </c>
      <c r="L4" s="27" t="s">
        <v>673</v>
      </c>
      <c r="M4" s="27" t="s">
        <v>674</v>
      </c>
      <c r="N4" s="27" t="s">
        <v>675</v>
      </c>
      <c r="O4" s="96" t="s">
        <v>676</v>
      </c>
    </row>
    <row r="5" spans="1:15">
      <c r="A5" s="135" t="s">
        <v>29</v>
      </c>
      <c r="B5" s="131" t="s">
        <v>25</v>
      </c>
      <c r="C5" s="132">
        <v>5501700</v>
      </c>
      <c r="D5" s="116" t="str">
        <f>A5</f>
        <v>2.1.1</v>
      </c>
      <c r="E5" s="116" t="s">
        <v>25</v>
      </c>
      <c r="F5" s="11"/>
      <c r="G5" s="20"/>
      <c r="H5" s="29"/>
      <c r="I5" s="29"/>
      <c r="J5" s="29"/>
      <c r="K5" s="29"/>
      <c r="L5" s="29"/>
      <c r="M5" s="29"/>
      <c r="N5" s="29"/>
      <c r="O5" s="97"/>
    </row>
    <row r="6" spans="1:15">
      <c r="A6" s="139"/>
      <c r="B6" s="118"/>
      <c r="C6" s="119"/>
      <c r="D6" s="120"/>
      <c r="E6" s="120"/>
      <c r="F6" s="11" t="s">
        <v>605</v>
      </c>
      <c r="G6" s="20" t="s">
        <v>606</v>
      </c>
      <c r="H6" s="29" t="str">
        <f>VLOOKUP(G6,'insumos terrapl'!$C$3:$K$47,2,0)</f>
        <v>2Q  62  30  02  14  00  00</v>
      </c>
      <c r="I6" s="29" t="str">
        <f>VLOOKUP(G6,'insumos terrapl'!$C$3:$K$47,3,0)</f>
        <v>2Q</v>
      </c>
      <c r="J6" s="29">
        <f>VLOOKUP(G6,'insumos terrapl'!$C$3:$K$47,4,0)</f>
        <v>62</v>
      </c>
      <c r="K6" s="29">
        <f>VLOOKUP(G6,'insumos terrapl'!$C$3:$K$47,5,0)</f>
        <v>30</v>
      </c>
      <c r="L6" s="29" t="str">
        <f>VLOOKUP(G6,'insumos terrapl'!$C$3:$K$47,6,0)</f>
        <v>02</v>
      </c>
      <c r="M6" s="29" t="str">
        <f>VLOOKUP(G6,'insumos terrapl'!$C$3:$K$47,7,0)</f>
        <v>14</v>
      </c>
      <c r="N6" s="29" t="str">
        <f>VLOOKUP(G6,'insumos terrapl'!$C$3:$K$47,8,0)</f>
        <v>00</v>
      </c>
      <c r="O6" s="97" t="str">
        <f>VLOOKUP(G6,'insumos terrapl'!$C$3:$K$47,9,0)</f>
        <v>00</v>
      </c>
    </row>
    <row r="7" spans="1:15">
      <c r="A7" s="139"/>
      <c r="B7" s="118"/>
      <c r="C7" s="119"/>
      <c r="D7" s="120"/>
      <c r="E7" s="120"/>
      <c r="F7" s="11" t="s">
        <v>588</v>
      </c>
      <c r="G7" s="20" t="s">
        <v>589</v>
      </c>
      <c r="H7" s="29" t="str">
        <f>VLOOKUP(G7,'insumos terrapl'!$C$3:$K$47,2,0)</f>
        <v>2N  20  14  08  00  00  00</v>
      </c>
      <c r="I7" s="29" t="str">
        <f>VLOOKUP(G7,'insumos terrapl'!$C$3:$K$47,3,0)</f>
        <v>2N</v>
      </c>
      <c r="J7" s="29">
        <f>VLOOKUP(G7,'insumos terrapl'!$C$3:$K$47,4,0)</f>
        <v>20</v>
      </c>
      <c r="K7" s="29">
        <f>VLOOKUP(G7,'insumos terrapl'!$C$3:$K$47,5,0)</f>
        <v>14</v>
      </c>
      <c r="L7" s="29" t="str">
        <f>VLOOKUP(G7,'insumos terrapl'!$C$3:$K$47,6,0)</f>
        <v>08</v>
      </c>
      <c r="M7" s="29" t="str">
        <f>VLOOKUP(G7,'insumos terrapl'!$C$3:$K$47,7,0)</f>
        <v>00</v>
      </c>
      <c r="N7" s="29" t="str">
        <f>VLOOKUP(G7,'insumos terrapl'!$C$3:$K$47,8,0)</f>
        <v>00</v>
      </c>
      <c r="O7" s="97" t="str">
        <f>VLOOKUP(G7,'insumos terrapl'!$C$3:$K$47,9,0)</f>
        <v>00</v>
      </c>
    </row>
    <row r="8" spans="1:15">
      <c r="A8" s="139"/>
      <c r="B8" s="118"/>
      <c r="C8" s="119"/>
      <c r="D8" s="120"/>
      <c r="E8" s="120"/>
      <c r="F8" s="13"/>
      <c r="G8" s="21"/>
      <c r="H8" s="31"/>
      <c r="I8" s="31"/>
      <c r="J8" s="31"/>
      <c r="K8" s="31"/>
      <c r="L8" s="31"/>
      <c r="M8" s="31"/>
      <c r="N8" s="31"/>
      <c r="O8" s="98"/>
    </row>
    <row r="9" spans="1:15">
      <c r="A9" s="139" t="s">
        <v>30</v>
      </c>
      <c r="B9" s="118" t="s">
        <v>31</v>
      </c>
      <c r="C9" s="124">
        <v>5501701</v>
      </c>
      <c r="D9" s="114" t="str">
        <f>A9</f>
        <v>2.1.2</v>
      </c>
      <c r="E9" s="114" t="s">
        <v>26</v>
      </c>
      <c r="F9" s="12" t="s">
        <v>321</v>
      </c>
      <c r="G9" s="19"/>
      <c r="H9" s="28"/>
      <c r="I9" s="28"/>
      <c r="J9" s="28"/>
      <c r="K9" s="28"/>
      <c r="L9" s="28"/>
      <c r="M9" s="28"/>
      <c r="N9" s="28"/>
      <c r="O9" s="99"/>
    </row>
    <row r="10" spans="1:15">
      <c r="A10" s="139"/>
      <c r="B10" s="118"/>
      <c r="C10" s="125"/>
      <c r="D10" s="115"/>
      <c r="E10" s="115"/>
      <c r="F10" s="11" t="s">
        <v>605</v>
      </c>
      <c r="G10" s="20" t="s">
        <v>606</v>
      </c>
      <c r="H10" s="29" t="str">
        <f>VLOOKUP(G10,'insumos terrapl'!$C$3:$K$47,2,0)</f>
        <v>2Q  62  30  02  14  00  00</v>
      </c>
      <c r="I10" s="29" t="str">
        <f>VLOOKUP(G10,'insumos terrapl'!$C$3:$K$47,3,0)</f>
        <v>2Q</v>
      </c>
      <c r="J10" s="29">
        <f>VLOOKUP(G10,'insumos terrapl'!$C$3:$K$47,4,0)</f>
        <v>62</v>
      </c>
      <c r="K10" s="29">
        <f>VLOOKUP(G10,'insumos terrapl'!$C$3:$K$47,5,0)</f>
        <v>30</v>
      </c>
      <c r="L10" s="29" t="str">
        <f>VLOOKUP(G10,'insumos terrapl'!$C$3:$K$47,6,0)</f>
        <v>02</v>
      </c>
      <c r="M10" s="29" t="str">
        <f>VLOOKUP(G10,'insumos terrapl'!$C$3:$K$47,7,0)</f>
        <v>14</v>
      </c>
      <c r="N10" s="29" t="str">
        <f>VLOOKUP(G10,'insumos terrapl'!$C$3:$K$47,8,0)</f>
        <v>00</v>
      </c>
      <c r="O10" s="97" t="str">
        <f>VLOOKUP(G10,'insumos terrapl'!$C$3:$K$47,9,0)</f>
        <v>00</v>
      </c>
    </row>
    <row r="11" spans="1:15">
      <c r="A11" s="139"/>
      <c r="B11" s="118"/>
      <c r="C11" s="125"/>
      <c r="D11" s="115"/>
      <c r="E11" s="115"/>
      <c r="F11" s="11" t="s">
        <v>588</v>
      </c>
      <c r="G11" s="20" t="s">
        <v>589</v>
      </c>
      <c r="H11" s="29" t="str">
        <f>VLOOKUP(G11,'insumos terrapl'!$C$3:$K$47,2,0)</f>
        <v>2N  20  14  08  00  00  00</v>
      </c>
      <c r="I11" s="29" t="str">
        <f>VLOOKUP(G11,'insumos terrapl'!$C$3:$K$47,3,0)</f>
        <v>2N</v>
      </c>
      <c r="J11" s="29">
        <f>VLOOKUP(G11,'insumos terrapl'!$C$3:$K$47,4,0)</f>
        <v>20</v>
      </c>
      <c r="K11" s="29">
        <f>VLOOKUP(G11,'insumos terrapl'!$C$3:$K$47,5,0)</f>
        <v>14</v>
      </c>
      <c r="L11" s="29" t="str">
        <f>VLOOKUP(G11,'insumos terrapl'!$C$3:$K$47,6,0)</f>
        <v>08</v>
      </c>
      <c r="M11" s="29" t="str">
        <f>VLOOKUP(G11,'insumos terrapl'!$C$3:$K$47,7,0)</f>
        <v>00</v>
      </c>
      <c r="N11" s="29" t="str">
        <f>VLOOKUP(G11,'insumos terrapl'!$C$3:$K$47,8,0)</f>
        <v>00</v>
      </c>
      <c r="O11" s="97" t="str">
        <f>VLOOKUP(G11,'insumos terrapl'!$C$3:$K$47,9,0)</f>
        <v>00</v>
      </c>
    </row>
    <row r="12" spans="1:15">
      <c r="A12" s="139"/>
      <c r="B12" s="118"/>
      <c r="C12" s="125"/>
      <c r="D12" s="115"/>
      <c r="E12" s="115"/>
      <c r="F12" s="11"/>
      <c r="G12" s="20"/>
      <c r="H12" s="29"/>
      <c r="I12" s="29"/>
      <c r="J12" s="29"/>
      <c r="K12" s="29"/>
      <c r="L12" s="29"/>
      <c r="M12" s="29"/>
      <c r="N12" s="29"/>
      <c r="O12" s="97"/>
    </row>
    <row r="13" spans="1:15">
      <c r="A13" s="139"/>
      <c r="B13" s="118"/>
      <c r="C13" s="124">
        <v>5501702</v>
      </c>
      <c r="D13" s="114" t="str">
        <f>A9</f>
        <v>2.1.2</v>
      </c>
      <c r="E13" s="114" t="s">
        <v>27</v>
      </c>
      <c r="F13" s="12" t="s">
        <v>322</v>
      </c>
      <c r="G13" s="19"/>
      <c r="H13" s="28"/>
      <c r="I13" s="28"/>
      <c r="J13" s="28"/>
      <c r="K13" s="28"/>
      <c r="L13" s="28"/>
      <c r="M13" s="28"/>
      <c r="N13" s="28"/>
      <c r="O13" s="99"/>
    </row>
    <row r="14" spans="1:15">
      <c r="A14" s="139"/>
      <c r="B14" s="118"/>
      <c r="C14" s="125"/>
      <c r="D14" s="115"/>
      <c r="E14" s="115"/>
      <c r="F14" s="11" t="s">
        <v>605</v>
      </c>
      <c r="G14" s="20" t="s">
        <v>606</v>
      </c>
      <c r="H14" s="29" t="str">
        <f>VLOOKUP(G14,'insumos terrapl'!$C$3:$K$47,2,0)</f>
        <v>2Q  62  30  02  14  00  00</v>
      </c>
      <c r="I14" s="29" t="str">
        <f>VLOOKUP(G14,'insumos terrapl'!$C$3:$K$47,3,0)</f>
        <v>2Q</v>
      </c>
      <c r="J14" s="29">
        <f>VLOOKUP(G14,'insumos terrapl'!$C$3:$K$47,4,0)</f>
        <v>62</v>
      </c>
      <c r="K14" s="29">
        <f>VLOOKUP(G14,'insumos terrapl'!$C$3:$K$47,5,0)</f>
        <v>30</v>
      </c>
      <c r="L14" s="29" t="str">
        <f>VLOOKUP(G14,'insumos terrapl'!$C$3:$K$47,6,0)</f>
        <v>02</v>
      </c>
      <c r="M14" s="29" t="str">
        <f>VLOOKUP(G14,'insumos terrapl'!$C$3:$K$47,7,0)</f>
        <v>14</v>
      </c>
      <c r="N14" s="29" t="str">
        <f>VLOOKUP(G14,'insumos terrapl'!$C$3:$K$47,8,0)</f>
        <v>00</v>
      </c>
      <c r="O14" s="97" t="str">
        <f>VLOOKUP(G14,'insumos terrapl'!$C$3:$K$47,9,0)</f>
        <v>00</v>
      </c>
    </row>
    <row r="15" spans="1:15">
      <c r="A15" s="139"/>
      <c r="B15" s="118"/>
      <c r="C15" s="125"/>
      <c r="D15" s="115"/>
      <c r="E15" s="115"/>
      <c r="F15" s="11" t="s">
        <v>588</v>
      </c>
      <c r="G15" s="20" t="s">
        <v>589</v>
      </c>
      <c r="H15" s="29" t="str">
        <f>VLOOKUP(G15,'insumos terrapl'!$C$3:$K$47,2,0)</f>
        <v>2N  20  14  08  00  00  00</v>
      </c>
      <c r="I15" s="29" t="str">
        <f>VLOOKUP(G15,'insumos terrapl'!$C$3:$K$47,3,0)</f>
        <v>2N</v>
      </c>
      <c r="J15" s="29">
        <f>VLOOKUP(G15,'insumos terrapl'!$C$3:$K$47,4,0)</f>
        <v>20</v>
      </c>
      <c r="K15" s="29">
        <f>VLOOKUP(G15,'insumos terrapl'!$C$3:$K$47,5,0)</f>
        <v>14</v>
      </c>
      <c r="L15" s="29" t="str">
        <f>VLOOKUP(G15,'insumos terrapl'!$C$3:$K$47,6,0)</f>
        <v>08</v>
      </c>
      <c r="M15" s="29" t="str">
        <f>VLOOKUP(G15,'insumos terrapl'!$C$3:$K$47,7,0)</f>
        <v>00</v>
      </c>
      <c r="N15" s="29" t="str">
        <f>VLOOKUP(G15,'insumos terrapl'!$C$3:$K$47,8,0)</f>
        <v>00</v>
      </c>
      <c r="O15" s="97" t="str">
        <f>VLOOKUP(G15,'insumos terrapl'!$C$3:$K$47,9,0)</f>
        <v>00</v>
      </c>
    </row>
    <row r="16" spans="1:15">
      <c r="A16" s="139"/>
      <c r="B16" s="118"/>
      <c r="C16" s="132"/>
      <c r="D16" s="116"/>
      <c r="E16" s="116"/>
      <c r="F16" s="13"/>
      <c r="G16" s="21"/>
      <c r="H16" s="31"/>
      <c r="I16" s="31"/>
      <c r="J16" s="31"/>
      <c r="K16" s="31"/>
      <c r="L16" s="31"/>
      <c r="M16" s="31"/>
      <c r="N16" s="31"/>
      <c r="O16" s="98"/>
    </row>
    <row r="17" spans="1:15">
      <c r="A17" s="133" t="s">
        <v>32</v>
      </c>
      <c r="B17" s="118" t="s">
        <v>0</v>
      </c>
      <c r="C17" s="119">
        <v>5502985</v>
      </c>
      <c r="D17" s="120" t="str">
        <f>A17</f>
        <v>2.1.3</v>
      </c>
      <c r="E17" s="120" t="s">
        <v>0</v>
      </c>
      <c r="F17" s="12"/>
      <c r="G17" s="19"/>
      <c r="H17" s="28"/>
      <c r="I17" s="28"/>
      <c r="J17" s="28"/>
      <c r="K17" s="28"/>
      <c r="L17" s="28"/>
      <c r="M17" s="28"/>
      <c r="N17" s="28"/>
      <c r="O17" s="99"/>
    </row>
    <row r="18" spans="1:15">
      <c r="A18" s="134"/>
      <c r="B18" s="118"/>
      <c r="C18" s="119"/>
      <c r="D18" s="120"/>
      <c r="E18" s="120"/>
      <c r="F18" s="11" t="s">
        <v>586</v>
      </c>
      <c r="G18" s="20" t="s">
        <v>587</v>
      </c>
      <c r="H18" s="29" t="str">
        <f>VLOOKUP(G18,'insumos terrapl'!$C$3:$K$47,2,0)</f>
        <v>2Q  62  30  02  14  00  00</v>
      </c>
      <c r="I18" s="29" t="str">
        <f>VLOOKUP(G18,'insumos terrapl'!$C$3:$K$47,3,0)</f>
        <v>2Q</v>
      </c>
      <c r="J18" s="29">
        <f>VLOOKUP(G18,'insumos terrapl'!$C$3:$K$47,4,0)</f>
        <v>62</v>
      </c>
      <c r="K18" s="29">
        <f>VLOOKUP(G18,'insumos terrapl'!$C$3:$K$47,5,0)</f>
        <v>30</v>
      </c>
      <c r="L18" s="29" t="str">
        <f>VLOOKUP(G18,'insumos terrapl'!$C$3:$K$47,6,0)</f>
        <v>02</v>
      </c>
      <c r="M18" s="29" t="str">
        <f>VLOOKUP(G18,'insumos terrapl'!$C$3:$K$47,7,0)</f>
        <v>14</v>
      </c>
      <c r="N18" s="29" t="str">
        <f>VLOOKUP(G18,'insumos terrapl'!$C$3:$K$47,8,0)</f>
        <v>00</v>
      </c>
      <c r="O18" s="97" t="str">
        <f>VLOOKUP(G18,'insumos terrapl'!$C$3:$K$47,9,0)</f>
        <v>00</v>
      </c>
    </row>
    <row r="19" spans="1:15">
      <c r="A19" s="135"/>
      <c r="B19" s="118"/>
      <c r="C19" s="119"/>
      <c r="D19" s="120"/>
      <c r="E19" s="120"/>
      <c r="F19" s="13" t="s">
        <v>588</v>
      </c>
      <c r="G19" s="21" t="s">
        <v>589</v>
      </c>
      <c r="H19" s="31" t="str">
        <f>VLOOKUP(G19,'insumos terrapl'!$C$3:$K$47,2,0)</f>
        <v>2N  20  14  08  00  00  00</v>
      </c>
      <c r="I19" s="31" t="str">
        <f>VLOOKUP(G19,'insumos terrapl'!$C$3:$K$47,3,0)</f>
        <v>2N</v>
      </c>
      <c r="J19" s="31">
        <f>VLOOKUP(G19,'insumos terrapl'!$C$3:$K$47,4,0)</f>
        <v>20</v>
      </c>
      <c r="K19" s="31">
        <f>VLOOKUP(G19,'insumos terrapl'!$C$3:$K$47,5,0)</f>
        <v>14</v>
      </c>
      <c r="L19" s="31" t="str">
        <f>VLOOKUP(G19,'insumos terrapl'!$C$3:$K$47,6,0)</f>
        <v>08</v>
      </c>
      <c r="M19" s="31" t="str">
        <f>VLOOKUP(G19,'insumos terrapl'!$C$3:$K$47,7,0)</f>
        <v>00</v>
      </c>
      <c r="N19" s="31" t="str">
        <f>VLOOKUP(G19,'insumos terrapl'!$C$3:$K$47,8,0)</f>
        <v>00</v>
      </c>
      <c r="O19" s="98" t="str">
        <f>VLOOKUP(G19,'insumos terrapl'!$C$3:$K$47,9,0)</f>
        <v>00</v>
      </c>
    </row>
    <row r="20" spans="1:15" s="8" customFormat="1">
      <c r="A20" s="117" t="s">
        <v>33</v>
      </c>
      <c r="B20" s="118" t="s">
        <v>1</v>
      </c>
      <c r="C20" s="119">
        <v>5502986</v>
      </c>
      <c r="D20" s="120" t="str">
        <f>A20</f>
        <v>2.2.1</v>
      </c>
      <c r="E20" s="120" t="s">
        <v>1</v>
      </c>
      <c r="F20" s="28">
        <v>5502986</v>
      </c>
      <c r="G20" s="19"/>
      <c r="H20" s="28"/>
      <c r="I20" s="28"/>
      <c r="J20" s="28"/>
      <c r="K20" s="28"/>
      <c r="L20" s="28"/>
      <c r="M20" s="28"/>
      <c r="N20" s="28"/>
      <c r="O20" s="99"/>
    </row>
    <row r="21" spans="1:15">
      <c r="A21" s="117"/>
      <c r="B21" s="118"/>
      <c r="C21" s="119"/>
      <c r="D21" s="120"/>
      <c r="E21" s="120"/>
      <c r="F21" s="29" t="s">
        <v>586</v>
      </c>
      <c r="G21" s="20" t="s">
        <v>587</v>
      </c>
      <c r="H21" s="29" t="str">
        <f>VLOOKUP(G21,'insumos terrapl'!$C$3:$K$47,2,0)</f>
        <v>2Q  62  30  02  14  00  00</v>
      </c>
      <c r="I21" s="29" t="str">
        <f>VLOOKUP(G21,'insumos terrapl'!$C$3:$K$47,3,0)</f>
        <v>2Q</v>
      </c>
      <c r="J21" s="29">
        <f>VLOOKUP(G21,'insumos terrapl'!$C$3:$K$47,4,0)</f>
        <v>62</v>
      </c>
      <c r="K21" s="29">
        <f>VLOOKUP(G21,'insumos terrapl'!$C$3:$K$47,5,0)</f>
        <v>30</v>
      </c>
      <c r="L21" s="29" t="str">
        <f>VLOOKUP(G21,'insumos terrapl'!$C$3:$K$47,6,0)</f>
        <v>02</v>
      </c>
      <c r="M21" s="29" t="str">
        <f>VLOOKUP(G21,'insumos terrapl'!$C$3:$K$47,7,0)</f>
        <v>14</v>
      </c>
      <c r="N21" s="29" t="str">
        <f>VLOOKUP(G21,'insumos terrapl'!$C$3:$K$47,8,0)</f>
        <v>00</v>
      </c>
      <c r="O21" s="97" t="str">
        <f>VLOOKUP(G21,'insumos terrapl'!$C$3:$K$47,9,0)</f>
        <v>00</v>
      </c>
    </row>
    <row r="22" spans="1:15">
      <c r="A22" s="117"/>
      <c r="B22" s="118"/>
      <c r="C22" s="119"/>
      <c r="D22" s="120"/>
      <c r="E22" s="120"/>
      <c r="F22" s="29" t="s">
        <v>588</v>
      </c>
      <c r="G22" s="20" t="s">
        <v>589</v>
      </c>
      <c r="H22" s="29" t="str">
        <f>VLOOKUP(G22,'insumos terrapl'!$C$3:$K$47,2,0)</f>
        <v>2N  20  14  08  00  00  00</v>
      </c>
      <c r="I22" s="29" t="str">
        <f>VLOOKUP(G22,'insumos terrapl'!$C$3:$K$47,3,0)</f>
        <v>2N</v>
      </c>
      <c r="J22" s="29">
        <f>VLOOKUP(G22,'insumos terrapl'!$C$3:$K$47,4,0)</f>
        <v>20</v>
      </c>
      <c r="K22" s="29">
        <f>VLOOKUP(G22,'insumos terrapl'!$C$3:$K$47,5,0)</f>
        <v>14</v>
      </c>
      <c r="L22" s="29" t="str">
        <f>VLOOKUP(G22,'insumos terrapl'!$C$3:$K$47,6,0)</f>
        <v>08</v>
      </c>
      <c r="M22" s="29" t="str">
        <f>VLOOKUP(G22,'insumos terrapl'!$C$3:$K$47,7,0)</f>
        <v>00</v>
      </c>
      <c r="N22" s="29" t="str">
        <f>VLOOKUP(G22,'insumos terrapl'!$C$3:$K$47,8,0)</f>
        <v>00</v>
      </c>
      <c r="O22" s="97" t="str">
        <f>VLOOKUP(G22,'insumos terrapl'!$C$3:$K$47,9,0)</f>
        <v>00</v>
      </c>
    </row>
    <row r="23" spans="1:15">
      <c r="A23" s="117"/>
      <c r="B23" s="118"/>
      <c r="C23" s="119"/>
      <c r="D23" s="120"/>
      <c r="E23" s="120"/>
      <c r="F23" s="31"/>
      <c r="G23" s="21"/>
      <c r="H23" s="31"/>
      <c r="I23" s="31"/>
      <c r="J23" s="31"/>
      <c r="K23" s="31"/>
      <c r="L23" s="31"/>
      <c r="M23" s="31"/>
      <c r="N23" s="31"/>
      <c r="O23" s="98"/>
    </row>
    <row r="24" spans="1:15">
      <c r="A24" s="134" t="s">
        <v>34</v>
      </c>
      <c r="B24" s="131" t="s">
        <v>2</v>
      </c>
      <c r="C24" s="125">
        <v>5503018</v>
      </c>
      <c r="D24" s="115" t="str">
        <f>A24</f>
        <v>2.3.1</v>
      </c>
      <c r="E24" s="116" t="s">
        <v>2</v>
      </c>
      <c r="F24" s="11" t="s">
        <v>580</v>
      </c>
      <c r="G24" s="20"/>
      <c r="H24" s="29"/>
      <c r="I24" s="29"/>
      <c r="J24" s="29"/>
      <c r="K24" s="29"/>
      <c r="L24" s="29"/>
      <c r="M24" s="29"/>
      <c r="N24" s="29"/>
      <c r="O24" s="97"/>
    </row>
    <row r="25" spans="1:15">
      <c r="A25" s="134"/>
      <c r="B25" s="118"/>
      <c r="C25" s="125"/>
      <c r="D25" s="115"/>
      <c r="E25" s="120"/>
      <c r="F25" s="11" t="s">
        <v>597</v>
      </c>
      <c r="G25" s="20" t="s">
        <v>598</v>
      </c>
      <c r="H25" s="29" t="str">
        <f>VLOOKUP(G25,'insumos terrapl'!$C$3:$K$47,2,0)</f>
        <v>2Q  62  30  06  02  00  00</v>
      </c>
      <c r="I25" s="29" t="str">
        <f>VLOOKUP(G25,'insumos terrapl'!$C$3:$K$47,3,0)</f>
        <v>2Q</v>
      </c>
      <c r="J25" s="29">
        <f>VLOOKUP(G25,'insumos terrapl'!$C$3:$K$47,4,0)</f>
        <v>62</v>
      </c>
      <c r="K25" s="29">
        <f>VLOOKUP(G25,'insumos terrapl'!$C$3:$K$47,5,0)</f>
        <v>30</v>
      </c>
      <c r="L25" s="29" t="str">
        <f>VLOOKUP(G25,'insumos terrapl'!$C$3:$K$47,6,0)</f>
        <v>06</v>
      </c>
      <c r="M25" s="29" t="str">
        <f>VLOOKUP(G25,'insumos terrapl'!$C$3:$K$47,7,0)</f>
        <v>02</v>
      </c>
      <c r="N25" s="29" t="str">
        <f>VLOOKUP(G25,'insumos terrapl'!$C$3:$K$47,8,0)</f>
        <v>00</v>
      </c>
      <c r="O25" s="97" t="str">
        <f>VLOOKUP(G25,'insumos terrapl'!$C$3:$K$47,9,0)</f>
        <v>00</v>
      </c>
    </row>
    <row r="26" spans="1:15">
      <c r="A26" s="134"/>
      <c r="B26" s="126"/>
      <c r="C26" s="125"/>
      <c r="D26" s="115"/>
      <c r="E26" s="114"/>
      <c r="F26" s="10"/>
      <c r="G26" s="20"/>
      <c r="H26" s="29"/>
      <c r="I26" s="29"/>
      <c r="J26" s="29"/>
      <c r="K26" s="29"/>
      <c r="L26" s="29"/>
      <c r="M26" s="29"/>
      <c r="N26" s="29"/>
      <c r="O26" s="97"/>
    </row>
    <row r="27" spans="1:15">
      <c r="A27" s="133" t="s">
        <v>35</v>
      </c>
      <c r="B27" s="118" t="s">
        <v>3</v>
      </c>
      <c r="C27" s="119">
        <v>5503020</v>
      </c>
      <c r="D27" s="120" t="str">
        <f>A27</f>
        <v>2.3.2</v>
      </c>
      <c r="E27" s="120" t="s">
        <v>3</v>
      </c>
      <c r="F27" s="12" t="s">
        <v>582</v>
      </c>
      <c r="G27" s="19"/>
      <c r="H27" s="28"/>
      <c r="I27" s="28"/>
      <c r="J27" s="28"/>
      <c r="K27" s="28"/>
      <c r="L27" s="28"/>
      <c r="M27" s="28"/>
      <c r="N27" s="28"/>
      <c r="O27" s="99"/>
    </row>
    <row r="28" spans="1:15" ht="30">
      <c r="A28" s="134"/>
      <c r="B28" s="118"/>
      <c r="C28" s="119"/>
      <c r="D28" s="120"/>
      <c r="E28" s="120"/>
      <c r="F28" s="11" t="s">
        <v>593</v>
      </c>
      <c r="G28" s="20" t="s">
        <v>594</v>
      </c>
      <c r="H28" s="29" t="str">
        <f>VLOOKUP(G28,'insumos terrapl'!$C$3:$K$47,2,0)</f>
        <v>2Q  66  06  26  00  00  00</v>
      </c>
      <c r="I28" s="29" t="str">
        <f>VLOOKUP(G28,'insumos terrapl'!$C$3:$K$47,3,0)</f>
        <v>2Q</v>
      </c>
      <c r="J28" s="29">
        <f>VLOOKUP(G28,'insumos terrapl'!$C$3:$K$47,4,0)</f>
        <v>66</v>
      </c>
      <c r="K28" s="29" t="str">
        <f>VLOOKUP(G28,'insumos terrapl'!$C$3:$K$47,5,0)</f>
        <v>06</v>
      </c>
      <c r="L28" s="29" t="str">
        <f>VLOOKUP(G28,'insumos terrapl'!$C$3:$K$47,6,0)</f>
        <v>26</v>
      </c>
      <c r="M28" s="29" t="str">
        <f>VLOOKUP(G28,'insumos terrapl'!$C$3:$K$47,7,0)</f>
        <v>00</v>
      </c>
      <c r="N28" s="29" t="str">
        <f>VLOOKUP(G28,'insumos terrapl'!$C$3:$K$47,8,0)</f>
        <v>00</v>
      </c>
      <c r="O28" s="97" t="str">
        <f>VLOOKUP(G28,'insumos terrapl'!$C$3:$K$47,9,0)</f>
        <v>00</v>
      </c>
    </row>
    <row r="29" spans="1:15">
      <c r="A29" s="135"/>
      <c r="B29" s="118"/>
      <c r="C29" s="119"/>
      <c r="D29" s="120"/>
      <c r="E29" s="120"/>
      <c r="F29" s="11"/>
      <c r="G29" s="20"/>
      <c r="H29" s="29"/>
      <c r="I29" s="29"/>
      <c r="J29" s="29"/>
      <c r="K29" s="29"/>
      <c r="L29" s="29"/>
      <c r="M29" s="29"/>
      <c r="N29" s="29"/>
      <c r="O29" s="97"/>
    </row>
    <row r="30" spans="1:15">
      <c r="A30" s="133" t="s">
        <v>36</v>
      </c>
      <c r="B30" s="118" t="s">
        <v>4</v>
      </c>
      <c r="C30" s="119">
        <v>5501706</v>
      </c>
      <c r="D30" s="120" t="str">
        <f>A30</f>
        <v>2.4.1</v>
      </c>
      <c r="E30" s="120" t="s">
        <v>4</v>
      </c>
      <c r="F30" s="15" t="s">
        <v>335</v>
      </c>
      <c r="G30" s="19"/>
      <c r="H30" s="28"/>
      <c r="I30" s="28"/>
      <c r="J30" s="28"/>
      <c r="K30" s="28"/>
      <c r="L30" s="28"/>
      <c r="M30" s="28"/>
      <c r="N30" s="28"/>
      <c r="O30" s="99"/>
    </row>
    <row r="31" spans="1:15" ht="45">
      <c r="A31" s="134"/>
      <c r="B31" s="118"/>
      <c r="C31" s="119"/>
      <c r="D31" s="120"/>
      <c r="E31" s="120"/>
      <c r="F31" s="16" t="s">
        <v>649</v>
      </c>
      <c r="G31" s="20" t="s">
        <v>650</v>
      </c>
      <c r="H31" s="29" t="str">
        <f>VLOOKUP(G31,'insumos terrapl'!$C$3:$K$47,2,0)</f>
        <v>2Q  62  06  02  00  00  00</v>
      </c>
      <c r="I31" s="29" t="str">
        <f>VLOOKUP(G31,'insumos terrapl'!$C$3:$K$47,3,0)</f>
        <v>2Q</v>
      </c>
      <c r="J31" s="29">
        <f>VLOOKUP(G31,'insumos terrapl'!$C$3:$K$47,4,0)</f>
        <v>62</v>
      </c>
      <c r="K31" s="29" t="str">
        <f>VLOOKUP(G31,'insumos terrapl'!$C$3:$K$47,5,0)</f>
        <v>06</v>
      </c>
      <c r="L31" s="29" t="str">
        <f>VLOOKUP(G31,'insumos terrapl'!$C$3:$K$47,6,0)</f>
        <v>02</v>
      </c>
      <c r="M31" s="29" t="str">
        <f>VLOOKUP(G31,'insumos terrapl'!$C$3:$K$47,7,0)</f>
        <v>00</v>
      </c>
      <c r="N31" s="29" t="str">
        <f>VLOOKUP(G31,'insumos terrapl'!$C$3:$K$47,8,0)</f>
        <v>00</v>
      </c>
      <c r="O31" s="97" t="str">
        <f>VLOOKUP(G31,'insumos terrapl'!$C$3:$K$47,9,0)</f>
        <v>00</v>
      </c>
    </row>
    <row r="32" spans="1:15">
      <c r="A32" s="134"/>
      <c r="B32" s="118"/>
      <c r="C32" s="119"/>
      <c r="D32" s="120"/>
      <c r="E32" s="120"/>
      <c r="F32" s="16" t="s">
        <v>588</v>
      </c>
      <c r="G32" s="20" t="s">
        <v>589</v>
      </c>
      <c r="H32" s="29" t="str">
        <f>VLOOKUP(G32,'insumos terrapl'!$C$3:$K$47,2,0)</f>
        <v>2N  20  14  08  00  00  00</v>
      </c>
      <c r="I32" s="29" t="str">
        <f>VLOOKUP(G32,'insumos terrapl'!$C$3:$K$47,3,0)</f>
        <v>2N</v>
      </c>
      <c r="J32" s="29">
        <f>VLOOKUP(G32,'insumos terrapl'!$C$3:$K$47,4,0)</f>
        <v>20</v>
      </c>
      <c r="K32" s="29">
        <f>VLOOKUP(G32,'insumos terrapl'!$C$3:$K$47,5,0)</f>
        <v>14</v>
      </c>
      <c r="L32" s="29" t="str">
        <f>VLOOKUP(G32,'insumos terrapl'!$C$3:$K$47,6,0)</f>
        <v>08</v>
      </c>
      <c r="M32" s="29" t="str">
        <f>VLOOKUP(G32,'insumos terrapl'!$C$3:$K$47,7,0)</f>
        <v>00</v>
      </c>
      <c r="N32" s="29" t="str">
        <f>VLOOKUP(G32,'insumos terrapl'!$C$3:$K$47,8,0)</f>
        <v>00</v>
      </c>
      <c r="O32" s="97" t="str">
        <f>VLOOKUP(G32,'insumos terrapl'!$C$3:$K$47,9,0)</f>
        <v>00</v>
      </c>
    </row>
    <row r="33" spans="1:15">
      <c r="A33" s="135"/>
      <c r="B33" s="118"/>
      <c r="C33" s="119"/>
      <c r="D33" s="120"/>
      <c r="E33" s="120"/>
      <c r="F33" s="17"/>
      <c r="G33" s="21"/>
      <c r="H33" s="31"/>
      <c r="I33" s="31"/>
      <c r="J33" s="31"/>
      <c r="K33" s="31"/>
      <c r="L33" s="31"/>
      <c r="M33" s="31"/>
      <c r="N33" s="31"/>
      <c r="O33" s="98"/>
    </row>
    <row r="34" spans="1:15">
      <c r="A34" s="135" t="s">
        <v>37</v>
      </c>
      <c r="B34" s="131" t="s">
        <v>6</v>
      </c>
      <c r="C34" s="132">
        <v>5502972</v>
      </c>
      <c r="D34" s="116" t="str">
        <f>A34</f>
        <v>2.5.1</v>
      </c>
      <c r="E34" s="116" t="s">
        <v>62</v>
      </c>
      <c r="F34" s="16" t="s">
        <v>323</v>
      </c>
      <c r="G34" s="20"/>
      <c r="H34" s="29"/>
      <c r="I34" s="29"/>
      <c r="J34" s="29"/>
      <c r="K34" s="29"/>
      <c r="L34" s="29"/>
      <c r="M34" s="29"/>
      <c r="N34" s="29"/>
      <c r="O34" s="97"/>
    </row>
    <row r="35" spans="1:15" ht="30">
      <c r="A35" s="139"/>
      <c r="B35" s="118"/>
      <c r="C35" s="119"/>
      <c r="D35" s="120"/>
      <c r="E35" s="120"/>
      <c r="F35" s="16" t="s">
        <v>628</v>
      </c>
      <c r="G35" s="20" t="s">
        <v>629</v>
      </c>
      <c r="H35" s="29" t="str">
        <f>VLOOKUP(G35,'insumos terrapl'!$C$3:$K$47,2,0)</f>
        <v>2Q  62  02  22  00  00  00</v>
      </c>
      <c r="I35" s="29" t="str">
        <f>VLOOKUP(G35,'insumos terrapl'!$C$3:$K$47,3,0)</f>
        <v>2Q</v>
      </c>
      <c r="J35" s="29">
        <f>VLOOKUP(G35,'insumos terrapl'!$C$3:$K$47,4,0)</f>
        <v>62</v>
      </c>
      <c r="K35" s="29" t="str">
        <f>VLOOKUP(G35,'insumos terrapl'!$C$3:$K$47,5,0)</f>
        <v>02</v>
      </c>
      <c r="L35" s="29" t="str">
        <f>VLOOKUP(G35,'insumos terrapl'!$C$3:$K$47,6,0)</f>
        <v>22</v>
      </c>
      <c r="M35" s="29" t="str">
        <f>VLOOKUP(G35,'insumos terrapl'!$C$3:$K$47,7,0)</f>
        <v>00</v>
      </c>
      <c r="N35" s="29" t="str">
        <f>VLOOKUP(G35,'insumos terrapl'!$C$3:$K$47,8,0)</f>
        <v>00</v>
      </c>
      <c r="O35" s="97" t="str">
        <f>VLOOKUP(G35,'insumos terrapl'!$C$3:$K$47,9,0)</f>
        <v>00</v>
      </c>
    </row>
    <row r="36" spans="1:15" s="1" customFormat="1">
      <c r="A36" s="139"/>
      <c r="B36" s="118"/>
      <c r="C36" s="119"/>
      <c r="D36" s="120"/>
      <c r="E36" s="120"/>
      <c r="F36" s="16" t="s">
        <v>630</v>
      </c>
      <c r="G36" s="20" t="s">
        <v>631</v>
      </c>
      <c r="H36" s="29" t="str">
        <f>VLOOKUP(G36,'insumos terrapl'!$C$3:$K$47,2,0)</f>
        <v>2Q  62  50  10  00  00  00</v>
      </c>
      <c r="I36" s="29" t="str">
        <f>VLOOKUP(G36,'insumos terrapl'!$C$3:$K$47,3,0)</f>
        <v>2Q</v>
      </c>
      <c r="J36" s="29">
        <f>VLOOKUP(G36,'insumos terrapl'!$C$3:$K$47,4,0)</f>
        <v>62</v>
      </c>
      <c r="K36" s="29" t="str">
        <f>VLOOKUP(G36,'insumos terrapl'!$C$3:$K$47,5,0)</f>
        <v>50</v>
      </c>
      <c r="L36" s="29" t="str">
        <f>VLOOKUP(G36,'insumos terrapl'!$C$3:$K$47,6,0)</f>
        <v>10</v>
      </c>
      <c r="M36" s="29" t="str">
        <f>VLOOKUP(G36,'insumos terrapl'!$C$3:$K$47,7,0)</f>
        <v>00</v>
      </c>
      <c r="N36" s="29" t="str">
        <f>VLOOKUP(G36,'insumos terrapl'!$C$3:$K$47,8,0)</f>
        <v>00</v>
      </c>
      <c r="O36" s="97" t="str">
        <f>VLOOKUP(G36,'insumos terrapl'!$C$3:$K$47,9,0)</f>
        <v>00</v>
      </c>
    </row>
    <row r="37" spans="1:15" s="1" customFormat="1" ht="30">
      <c r="A37" s="139"/>
      <c r="B37" s="118"/>
      <c r="C37" s="119"/>
      <c r="D37" s="120"/>
      <c r="E37" s="120"/>
      <c r="F37" s="16" t="s">
        <v>630</v>
      </c>
      <c r="G37" s="20" t="s">
        <v>632</v>
      </c>
      <c r="H37" s="29" t="str">
        <f>VLOOKUP(G37,'insumos terrapl'!$C$3:$K$47,2,0)</f>
        <v>2Q  66  06  02  00  00  00</v>
      </c>
      <c r="I37" s="29" t="str">
        <f>VLOOKUP(G37,'insumos terrapl'!$C$3:$K$47,3,0)</f>
        <v>2Q</v>
      </c>
      <c r="J37" s="29">
        <f>VLOOKUP(G37,'insumos terrapl'!$C$3:$K$47,4,0)</f>
        <v>66</v>
      </c>
      <c r="K37" s="29" t="str">
        <f>VLOOKUP(G37,'insumos terrapl'!$C$3:$K$47,5,0)</f>
        <v>06</v>
      </c>
      <c r="L37" s="29" t="str">
        <f>VLOOKUP(G37,'insumos terrapl'!$C$3:$K$47,6,0)</f>
        <v>02</v>
      </c>
      <c r="M37" s="29" t="str">
        <f>VLOOKUP(G37,'insumos terrapl'!$C$3:$K$47,7,0)</f>
        <v>00</v>
      </c>
      <c r="N37" s="29" t="str">
        <f>VLOOKUP(G37,'insumos terrapl'!$C$3:$K$47,8,0)</f>
        <v>00</v>
      </c>
      <c r="O37" s="97" t="str">
        <f>VLOOKUP(G37,'insumos terrapl'!$C$3:$K$47,9,0)</f>
        <v>00</v>
      </c>
    </row>
    <row r="38" spans="1:15" s="1" customFormat="1">
      <c r="A38" s="139"/>
      <c r="B38" s="118"/>
      <c r="C38" s="119"/>
      <c r="D38" s="120"/>
      <c r="E38" s="120"/>
      <c r="F38" s="17"/>
      <c r="G38" s="21"/>
      <c r="H38" s="31"/>
      <c r="I38" s="31"/>
      <c r="J38" s="31"/>
      <c r="K38" s="31"/>
      <c r="L38" s="31"/>
      <c r="M38" s="31"/>
      <c r="N38" s="31"/>
      <c r="O38" s="98"/>
    </row>
    <row r="39" spans="1:15" s="1" customFormat="1">
      <c r="A39" s="139"/>
      <c r="B39" s="118"/>
      <c r="C39" s="119">
        <v>5502968</v>
      </c>
      <c r="D39" s="120" t="str">
        <f>A34</f>
        <v>2.5.1</v>
      </c>
      <c r="E39" s="120" t="s">
        <v>63</v>
      </c>
      <c r="F39" s="11" t="s">
        <v>324</v>
      </c>
      <c r="G39" s="20"/>
      <c r="H39" s="29"/>
      <c r="I39" s="29"/>
      <c r="J39" s="29"/>
      <c r="K39" s="29"/>
      <c r="L39" s="29"/>
      <c r="M39" s="29"/>
      <c r="N39" s="29"/>
      <c r="O39" s="97"/>
    </row>
    <row r="40" spans="1:15" s="1" customFormat="1" ht="30">
      <c r="A40" s="139"/>
      <c r="B40" s="118"/>
      <c r="C40" s="119"/>
      <c r="D40" s="120"/>
      <c r="E40" s="120"/>
      <c r="F40" s="11" t="s">
        <v>628</v>
      </c>
      <c r="G40" s="20" t="s">
        <v>629</v>
      </c>
      <c r="H40" s="29" t="str">
        <f>VLOOKUP(G40,'insumos terrapl'!$C$3:$K$47,2,0)</f>
        <v>2Q  62  02  22  00  00  00</v>
      </c>
      <c r="I40" s="29" t="str">
        <f>VLOOKUP(G40,'insumos terrapl'!$C$3:$K$47,3,0)</f>
        <v>2Q</v>
      </c>
      <c r="J40" s="29">
        <f>VLOOKUP(G40,'insumos terrapl'!$C$3:$K$47,4,0)</f>
        <v>62</v>
      </c>
      <c r="K40" s="29" t="str">
        <f>VLOOKUP(G40,'insumos terrapl'!$C$3:$K$47,5,0)</f>
        <v>02</v>
      </c>
      <c r="L40" s="29" t="str">
        <f>VLOOKUP(G40,'insumos terrapl'!$C$3:$K$47,6,0)</f>
        <v>22</v>
      </c>
      <c r="M40" s="29" t="str">
        <f>VLOOKUP(G40,'insumos terrapl'!$C$3:$K$47,7,0)</f>
        <v>00</v>
      </c>
      <c r="N40" s="29" t="str">
        <f>VLOOKUP(G40,'insumos terrapl'!$C$3:$K$47,8,0)</f>
        <v>00</v>
      </c>
      <c r="O40" s="97" t="str">
        <f>VLOOKUP(G40,'insumos terrapl'!$C$3:$K$47,9,0)</f>
        <v>00</v>
      </c>
    </row>
    <row r="41" spans="1:15" s="1" customFormat="1">
      <c r="A41" s="139"/>
      <c r="B41" s="118"/>
      <c r="C41" s="119"/>
      <c r="D41" s="120"/>
      <c r="E41" s="120"/>
      <c r="F41" s="11" t="s">
        <v>630</v>
      </c>
      <c r="G41" s="20" t="s">
        <v>631</v>
      </c>
      <c r="H41" s="29" t="str">
        <f>VLOOKUP(G41,'insumos terrapl'!$C$3:$K$47,2,0)</f>
        <v>2Q  62  50  10  00  00  00</v>
      </c>
      <c r="I41" s="29" t="str">
        <f>VLOOKUP(G41,'insumos terrapl'!$C$3:$K$47,3,0)</f>
        <v>2Q</v>
      </c>
      <c r="J41" s="29">
        <f>VLOOKUP(G41,'insumos terrapl'!$C$3:$K$47,4,0)</f>
        <v>62</v>
      </c>
      <c r="K41" s="29" t="str">
        <f>VLOOKUP(G41,'insumos terrapl'!$C$3:$K$47,5,0)</f>
        <v>50</v>
      </c>
      <c r="L41" s="29" t="str">
        <f>VLOOKUP(G41,'insumos terrapl'!$C$3:$K$47,6,0)</f>
        <v>10</v>
      </c>
      <c r="M41" s="29" t="str">
        <f>VLOOKUP(G41,'insumos terrapl'!$C$3:$K$47,7,0)</f>
        <v>00</v>
      </c>
      <c r="N41" s="29" t="str">
        <f>VLOOKUP(G41,'insumos terrapl'!$C$3:$K$47,8,0)</f>
        <v>00</v>
      </c>
      <c r="O41" s="97" t="str">
        <f>VLOOKUP(G41,'insumos terrapl'!$C$3:$K$47,9,0)</f>
        <v>00</v>
      </c>
    </row>
    <row r="42" spans="1:15" s="1" customFormat="1" ht="30">
      <c r="A42" s="139"/>
      <c r="B42" s="118"/>
      <c r="C42" s="119"/>
      <c r="D42" s="120"/>
      <c r="E42" s="120"/>
      <c r="F42" s="11" t="s">
        <v>630</v>
      </c>
      <c r="G42" s="20" t="s">
        <v>632</v>
      </c>
      <c r="H42" s="29" t="str">
        <f>VLOOKUP(G42,'insumos terrapl'!$C$3:$K$47,2,0)</f>
        <v>2Q  66  06  02  00  00  00</v>
      </c>
      <c r="I42" s="29" t="str">
        <f>VLOOKUP(G42,'insumos terrapl'!$C$3:$K$47,3,0)</f>
        <v>2Q</v>
      </c>
      <c r="J42" s="29">
        <f>VLOOKUP(G42,'insumos terrapl'!$C$3:$K$47,4,0)</f>
        <v>66</v>
      </c>
      <c r="K42" s="29" t="str">
        <f>VLOOKUP(G42,'insumos terrapl'!$C$3:$K$47,5,0)</f>
        <v>06</v>
      </c>
      <c r="L42" s="29" t="str">
        <f>VLOOKUP(G42,'insumos terrapl'!$C$3:$K$47,6,0)</f>
        <v>02</v>
      </c>
      <c r="M42" s="29" t="str">
        <f>VLOOKUP(G42,'insumos terrapl'!$C$3:$K$47,7,0)</f>
        <v>00</v>
      </c>
      <c r="N42" s="29" t="str">
        <f>VLOOKUP(G42,'insumos terrapl'!$C$3:$K$47,8,0)</f>
        <v>00</v>
      </c>
      <c r="O42" s="97" t="str">
        <f>VLOOKUP(G42,'insumos terrapl'!$C$3:$K$47,9,0)</f>
        <v>00</v>
      </c>
    </row>
    <row r="43" spans="1:15" s="1" customFormat="1">
      <c r="A43" s="139"/>
      <c r="B43" s="118"/>
      <c r="C43" s="119"/>
      <c r="D43" s="120"/>
      <c r="E43" s="114"/>
      <c r="F43" s="10"/>
      <c r="G43" s="20"/>
      <c r="H43" s="29"/>
      <c r="I43" s="29"/>
      <c r="J43" s="29"/>
      <c r="K43" s="29"/>
      <c r="L43" s="29"/>
      <c r="M43" s="29"/>
      <c r="N43" s="29"/>
      <c r="O43" s="97"/>
    </row>
    <row r="44" spans="1:15" s="2" customFormat="1">
      <c r="A44" s="139"/>
      <c r="B44" s="118"/>
      <c r="C44" s="119">
        <v>5502969</v>
      </c>
      <c r="D44" s="120" t="str">
        <f>A34</f>
        <v>2.5.1</v>
      </c>
      <c r="E44" s="120" t="s">
        <v>64</v>
      </c>
      <c r="F44" s="12" t="s">
        <v>325</v>
      </c>
      <c r="G44" s="19"/>
      <c r="H44" s="28"/>
      <c r="I44" s="28"/>
      <c r="J44" s="28"/>
      <c r="K44" s="28"/>
      <c r="L44" s="28"/>
      <c r="M44" s="28"/>
      <c r="N44" s="28"/>
      <c r="O44" s="99"/>
    </row>
    <row r="45" spans="1:15" s="2" customFormat="1" ht="30">
      <c r="A45" s="139"/>
      <c r="B45" s="118"/>
      <c r="C45" s="119"/>
      <c r="D45" s="120"/>
      <c r="E45" s="120"/>
      <c r="F45" s="11" t="s">
        <v>628</v>
      </c>
      <c r="G45" s="20" t="s">
        <v>629</v>
      </c>
      <c r="H45" s="29" t="str">
        <f>VLOOKUP(G45,'insumos terrapl'!$C$3:$K$47,2,0)</f>
        <v>2Q  62  02  22  00  00  00</v>
      </c>
      <c r="I45" s="29" t="str">
        <f>VLOOKUP(G45,'insumos terrapl'!$C$3:$K$47,3,0)</f>
        <v>2Q</v>
      </c>
      <c r="J45" s="29">
        <f>VLOOKUP(G45,'insumos terrapl'!$C$3:$K$47,4,0)</f>
        <v>62</v>
      </c>
      <c r="K45" s="29" t="str">
        <f>VLOOKUP(G45,'insumos terrapl'!$C$3:$K$47,5,0)</f>
        <v>02</v>
      </c>
      <c r="L45" s="29" t="str">
        <f>VLOOKUP(G45,'insumos terrapl'!$C$3:$K$47,6,0)</f>
        <v>22</v>
      </c>
      <c r="M45" s="29" t="str">
        <f>VLOOKUP(G45,'insumos terrapl'!$C$3:$K$47,7,0)</f>
        <v>00</v>
      </c>
      <c r="N45" s="29" t="str">
        <f>VLOOKUP(G45,'insumos terrapl'!$C$3:$K$47,8,0)</f>
        <v>00</v>
      </c>
      <c r="O45" s="97" t="str">
        <f>VLOOKUP(G45,'insumos terrapl'!$C$3:$K$47,9,0)</f>
        <v>00</v>
      </c>
    </row>
    <row r="46" spans="1:15" s="2" customFormat="1">
      <c r="A46" s="139"/>
      <c r="B46" s="118"/>
      <c r="C46" s="119"/>
      <c r="D46" s="120"/>
      <c r="E46" s="120"/>
      <c r="F46" s="11" t="s">
        <v>630</v>
      </c>
      <c r="G46" s="20" t="s">
        <v>631</v>
      </c>
      <c r="H46" s="29" t="str">
        <f>VLOOKUP(G46,'insumos terrapl'!$C$3:$K$47,2,0)</f>
        <v>2Q  62  50  10  00  00  00</v>
      </c>
      <c r="I46" s="29" t="str">
        <f>VLOOKUP(G46,'insumos terrapl'!$C$3:$K$47,3,0)</f>
        <v>2Q</v>
      </c>
      <c r="J46" s="29">
        <f>VLOOKUP(G46,'insumos terrapl'!$C$3:$K$47,4,0)</f>
        <v>62</v>
      </c>
      <c r="K46" s="29" t="str">
        <f>VLOOKUP(G46,'insumos terrapl'!$C$3:$K$47,5,0)</f>
        <v>50</v>
      </c>
      <c r="L46" s="29" t="str">
        <f>VLOOKUP(G46,'insumos terrapl'!$C$3:$K$47,6,0)</f>
        <v>10</v>
      </c>
      <c r="M46" s="29" t="str">
        <f>VLOOKUP(G46,'insumos terrapl'!$C$3:$K$47,7,0)</f>
        <v>00</v>
      </c>
      <c r="N46" s="29" t="str">
        <f>VLOOKUP(G46,'insumos terrapl'!$C$3:$K$47,8,0)</f>
        <v>00</v>
      </c>
      <c r="O46" s="97" t="str">
        <f>VLOOKUP(G46,'insumos terrapl'!$C$3:$K$47,9,0)</f>
        <v>00</v>
      </c>
    </row>
    <row r="47" spans="1:15" s="2" customFormat="1" ht="30">
      <c r="A47" s="139"/>
      <c r="B47" s="118"/>
      <c r="C47" s="119"/>
      <c r="D47" s="120"/>
      <c r="E47" s="120"/>
      <c r="F47" s="11" t="s">
        <v>630</v>
      </c>
      <c r="G47" s="20" t="s">
        <v>632</v>
      </c>
      <c r="H47" s="29" t="str">
        <f>VLOOKUP(G47,'insumos terrapl'!$C$3:$K$47,2,0)</f>
        <v>2Q  66  06  02  00  00  00</v>
      </c>
      <c r="I47" s="29" t="str">
        <f>VLOOKUP(G47,'insumos terrapl'!$C$3:$K$47,3,0)</f>
        <v>2Q</v>
      </c>
      <c r="J47" s="29">
        <f>VLOOKUP(G47,'insumos terrapl'!$C$3:$K$47,4,0)</f>
        <v>66</v>
      </c>
      <c r="K47" s="29" t="str">
        <f>VLOOKUP(G47,'insumos terrapl'!$C$3:$K$47,5,0)</f>
        <v>06</v>
      </c>
      <c r="L47" s="29" t="str">
        <f>VLOOKUP(G47,'insumos terrapl'!$C$3:$K$47,6,0)</f>
        <v>02</v>
      </c>
      <c r="M47" s="29" t="str">
        <f>VLOOKUP(G47,'insumos terrapl'!$C$3:$K$47,7,0)</f>
        <v>00</v>
      </c>
      <c r="N47" s="29" t="str">
        <f>VLOOKUP(G47,'insumos terrapl'!$C$3:$K$47,8,0)</f>
        <v>00</v>
      </c>
      <c r="O47" s="97" t="str">
        <f>VLOOKUP(G47,'insumos terrapl'!$C$3:$K$47,9,0)</f>
        <v>00</v>
      </c>
    </row>
    <row r="48" spans="1:15" s="2" customFormat="1">
      <c r="A48" s="139"/>
      <c r="B48" s="118"/>
      <c r="C48" s="119"/>
      <c r="D48" s="120"/>
      <c r="E48" s="120"/>
      <c r="F48" s="13"/>
      <c r="G48" s="21"/>
      <c r="H48" s="31"/>
      <c r="I48" s="31"/>
      <c r="J48" s="31"/>
      <c r="K48" s="31"/>
      <c r="L48" s="31"/>
      <c r="M48" s="31"/>
      <c r="N48" s="31"/>
      <c r="O48" s="98"/>
    </row>
    <row r="49" spans="1:15" s="2" customFormat="1">
      <c r="A49" s="139"/>
      <c r="B49" s="118"/>
      <c r="C49" s="119">
        <v>5502970</v>
      </c>
      <c r="D49" s="120" t="str">
        <f>A34</f>
        <v>2.5.1</v>
      </c>
      <c r="E49" s="116" t="s">
        <v>65</v>
      </c>
      <c r="F49" s="11" t="s">
        <v>326</v>
      </c>
      <c r="G49" s="20"/>
      <c r="H49" s="29"/>
      <c r="I49" s="29"/>
      <c r="J49" s="29"/>
      <c r="K49" s="29"/>
      <c r="L49" s="29"/>
      <c r="M49" s="29"/>
      <c r="N49" s="29"/>
      <c r="O49" s="97"/>
    </row>
    <row r="50" spans="1:15" s="2" customFormat="1" ht="30">
      <c r="A50" s="139"/>
      <c r="B50" s="118"/>
      <c r="C50" s="119"/>
      <c r="D50" s="120"/>
      <c r="E50" s="120"/>
      <c r="F50" s="11" t="s">
        <v>628</v>
      </c>
      <c r="G50" s="20" t="s">
        <v>629</v>
      </c>
      <c r="H50" s="29" t="str">
        <f>VLOOKUP(G50,'insumos terrapl'!$C$3:$K$47,2,0)</f>
        <v>2Q  62  02  22  00  00  00</v>
      </c>
      <c r="I50" s="29" t="str">
        <f>VLOOKUP(G50,'insumos terrapl'!$C$3:$K$47,3,0)</f>
        <v>2Q</v>
      </c>
      <c r="J50" s="29">
        <f>VLOOKUP(G50,'insumos terrapl'!$C$3:$K$47,4,0)</f>
        <v>62</v>
      </c>
      <c r="K50" s="29" t="str">
        <f>VLOOKUP(G50,'insumos terrapl'!$C$3:$K$47,5,0)</f>
        <v>02</v>
      </c>
      <c r="L50" s="29" t="str">
        <f>VLOOKUP(G50,'insumos terrapl'!$C$3:$K$47,6,0)</f>
        <v>22</v>
      </c>
      <c r="M50" s="29" t="str">
        <f>VLOOKUP(G50,'insumos terrapl'!$C$3:$K$47,7,0)</f>
        <v>00</v>
      </c>
      <c r="N50" s="29" t="str">
        <f>VLOOKUP(G50,'insumos terrapl'!$C$3:$K$47,8,0)</f>
        <v>00</v>
      </c>
      <c r="O50" s="97" t="str">
        <f>VLOOKUP(G50,'insumos terrapl'!$C$3:$K$47,9,0)</f>
        <v>00</v>
      </c>
    </row>
    <row r="51" spans="1:15" s="2" customFormat="1">
      <c r="A51" s="139"/>
      <c r="B51" s="118"/>
      <c r="C51" s="119"/>
      <c r="D51" s="120"/>
      <c r="E51" s="120"/>
      <c r="F51" s="11" t="s">
        <v>630</v>
      </c>
      <c r="G51" s="20" t="s">
        <v>631</v>
      </c>
      <c r="H51" s="29" t="str">
        <f>VLOOKUP(G51,'insumos terrapl'!$C$3:$K$47,2,0)</f>
        <v>2Q  62  50  10  00  00  00</v>
      </c>
      <c r="I51" s="29" t="str">
        <f>VLOOKUP(G51,'insumos terrapl'!$C$3:$K$47,3,0)</f>
        <v>2Q</v>
      </c>
      <c r="J51" s="29">
        <f>VLOOKUP(G51,'insumos terrapl'!$C$3:$K$47,4,0)</f>
        <v>62</v>
      </c>
      <c r="K51" s="29" t="str">
        <f>VLOOKUP(G51,'insumos terrapl'!$C$3:$K$47,5,0)</f>
        <v>50</v>
      </c>
      <c r="L51" s="29" t="str">
        <f>VLOOKUP(G51,'insumos terrapl'!$C$3:$K$47,6,0)</f>
        <v>10</v>
      </c>
      <c r="M51" s="29" t="str">
        <f>VLOOKUP(G51,'insumos terrapl'!$C$3:$K$47,7,0)</f>
        <v>00</v>
      </c>
      <c r="N51" s="29" t="str">
        <f>VLOOKUP(G51,'insumos terrapl'!$C$3:$K$47,8,0)</f>
        <v>00</v>
      </c>
      <c r="O51" s="97" t="str">
        <f>VLOOKUP(G51,'insumos terrapl'!$C$3:$K$47,9,0)</f>
        <v>00</v>
      </c>
    </row>
    <row r="52" spans="1:15" s="2" customFormat="1" ht="30">
      <c r="A52" s="139"/>
      <c r="B52" s="118"/>
      <c r="C52" s="119"/>
      <c r="D52" s="120"/>
      <c r="E52" s="120"/>
      <c r="F52" s="11" t="s">
        <v>630</v>
      </c>
      <c r="G52" s="20" t="s">
        <v>632</v>
      </c>
      <c r="H52" s="29" t="str">
        <f>VLOOKUP(G52,'insumos terrapl'!$C$3:$K$47,2,0)</f>
        <v>2Q  66  06  02  00  00  00</v>
      </c>
      <c r="I52" s="29" t="str">
        <f>VLOOKUP(G52,'insumos terrapl'!$C$3:$K$47,3,0)</f>
        <v>2Q</v>
      </c>
      <c r="J52" s="29">
        <f>VLOOKUP(G52,'insumos terrapl'!$C$3:$K$47,4,0)</f>
        <v>66</v>
      </c>
      <c r="K52" s="29" t="str">
        <f>VLOOKUP(G52,'insumos terrapl'!$C$3:$K$47,5,0)</f>
        <v>06</v>
      </c>
      <c r="L52" s="29" t="str">
        <f>VLOOKUP(G52,'insumos terrapl'!$C$3:$K$47,6,0)</f>
        <v>02</v>
      </c>
      <c r="M52" s="29" t="str">
        <f>VLOOKUP(G52,'insumos terrapl'!$C$3:$K$47,7,0)</f>
        <v>00</v>
      </c>
      <c r="N52" s="29" t="str">
        <f>VLOOKUP(G52,'insumos terrapl'!$C$3:$K$47,8,0)</f>
        <v>00</v>
      </c>
      <c r="O52" s="97" t="str">
        <f>VLOOKUP(G52,'insumos terrapl'!$C$3:$K$47,9,0)</f>
        <v>00</v>
      </c>
    </row>
    <row r="53" spans="1:15" s="2" customFormat="1">
      <c r="A53" s="139"/>
      <c r="B53" s="118"/>
      <c r="C53" s="119"/>
      <c r="D53" s="120"/>
      <c r="E53" s="114"/>
      <c r="F53" s="10"/>
      <c r="G53" s="20"/>
      <c r="H53" s="29"/>
      <c r="I53" s="29"/>
      <c r="J53" s="29"/>
      <c r="K53" s="29"/>
      <c r="L53" s="29"/>
      <c r="M53" s="29"/>
      <c r="N53" s="29"/>
      <c r="O53" s="97"/>
    </row>
    <row r="54" spans="1:15" s="2" customFormat="1">
      <c r="A54" s="139"/>
      <c r="B54" s="118"/>
      <c r="C54" s="119">
        <v>5502971</v>
      </c>
      <c r="D54" s="120" t="str">
        <f>A34</f>
        <v>2.5.1</v>
      </c>
      <c r="E54" s="120" t="s">
        <v>66</v>
      </c>
      <c r="F54" s="12" t="s">
        <v>327</v>
      </c>
      <c r="G54" s="19"/>
      <c r="H54" s="28"/>
      <c r="I54" s="28"/>
      <c r="J54" s="28"/>
      <c r="K54" s="28"/>
      <c r="L54" s="28"/>
      <c r="M54" s="28"/>
      <c r="N54" s="28"/>
      <c r="O54" s="99"/>
    </row>
    <row r="55" spans="1:15" s="1" customFormat="1" ht="30">
      <c r="A55" s="139"/>
      <c r="B55" s="118"/>
      <c r="C55" s="119"/>
      <c r="D55" s="120"/>
      <c r="E55" s="120"/>
      <c r="F55" s="11" t="s">
        <v>628</v>
      </c>
      <c r="G55" s="20" t="s">
        <v>629</v>
      </c>
      <c r="H55" s="29" t="str">
        <f>VLOOKUP(G55,'insumos terrapl'!$C$3:$K$47,2,0)</f>
        <v>2Q  62  02  22  00  00  00</v>
      </c>
      <c r="I55" s="29" t="str">
        <f>VLOOKUP(G55,'insumos terrapl'!$C$3:$K$47,3,0)</f>
        <v>2Q</v>
      </c>
      <c r="J55" s="29">
        <f>VLOOKUP(G55,'insumos terrapl'!$C$3:$K$47,4,0)</f>
        <v>62</v>
      </c>
      <c r="K55" s="29" t="str">
        <f>VLOOKUP(G55,'insumos terrapl'!$C$3:$K$47,5,0)</f>
        <v>02</v>
      </c>
      <c r="L55" s="29" t="str">
        <f>VLOOKUP(G55,'insumos terrapl'!$C$3:$K$47,6,0)</f>
        <v>22</v>
      </c>
      <c r="M55" s="29" t="str">
        <f>VLOOKUP(G55,'insumos terrapl'!$C$3:$K$47,7,0)</f>
        <v>00</v>
      </c>
      <c r="N55" s="29" t="str">
        <f>VLOOKUP(G55,'insumos terrapl'!$C$3:$K$47,8,0)</f>
        <v>00</v>
      </c>
      <c r="O55" s="97" t="str">
        <f>VLOOKUP(G55,'insumos terrapl'!$C$3:$K$47,9,0)</f>
        <v>00</v>
      </c>
    </row>
    <row r="56" spans="1:15" s="2" customFormat="1">
      <c r="A56" s="139"/>
      <c r="B56" s="118"/>
      <c r="C56" s="119"/>
      <c r="D56" s="120"/>
      <c r="E56" s="120"/>
      <c r="F56" s="11" t="s">
        <v>630</v>
      </c>
      <c r="G56" s="20" t="s">
        <v>631</v>
      </c>
      <c r="H56" s="29" t="str">
        <f>VLOOKUP(G56,'insumos terrapl'!$C$3:$K$47,2,0)</f>
        <v>2Q  62  50  10  00  00  00</v>
      </c>
      <c r="I56" s="29" t="str">
        <f>VLOOKUP(G56,'insumos terrapl'!$C$3:$K$47,3,0)</f>
        <v>2Q</v>
      </c>
      <c r="J56" s="29">
        <f>VLOOKUP(G56,'insumos terrapl'!$C$3:$K$47,4,0)</f>
        <v>62</v>
      </c>
      <c r="K56" s="29" t="str">
        <f>VLOOKUP(G56,'insumos terrapl'!$C$3:$K$47,5,0)</f>
        <v>50</v>
      </c>
      <c r="L56" s="29" t="str">
        <f>VLOOKUP(G56,'insumos terrapl'!$C$3:$K$47,6,0)</f>
        <v>10</v>
      </c>
      <c r="M56" s="29" t="str">
        <f>VLOOKUP(G56,'insumos terrapl'!$C$3:$K$47,7,0)</f>
        <v>00</v>
      </c>
      <c r="N56" s="29" t="str">
        <f>VLOOKUP(G56,'insumos terrapl'!$C$3:$K$47,8,0)</f>
        <v>00</v>
      </c>
      <c r="O56" s="97" t="str">
        <f>VLOOKUP(G56,'insumos terrapl'!$C$3:$K$47,9,0)</f>
        <v>00</v>
      </c>
    </row>
    <row r="57" spans="1:15" s="2" customFormat="1" ht="30">
      <c r="A57" s="139"/>
      <c r="B57" s="118"/>
      <c r="C57" s="119"/>
      <c r="D57" s="120"/>
      <c r="E57" s="120"/>
      <c r="F57" s="11" t="s">
        <v>630</v>
      </c>
      <c r="G57" s="20" t="s">
        <v>632</v>
      </c>
      <c r="H57" s="29" t="str">
        <f>VLOOKUP(G57,'insumos terrapl'!$C$3:$K$47,2,0)</f>
        <v>2Q  66  06  02  00  00  00</v>
      </c>
      <c r="I57" s="29" t="str">
        <f>VLOOKUP(G57,'insumos terrapl'!$C$3:$K$47,3,0)</f>
        <v>2Q</v>
      </c>
      <c r="J57" s="29">
        <f>VLOOKUP(G57,'insumos terrapl'!$C$3:$K$47,4,0)</f>
        <v>66</v>
      </c>
      <c r="K57" s="29" t="str">
        <f>VLOOKUP(G57,'insumos terrapl'!$C$3:$K$47,5,0)</f>
        <v>06</v>
      </c>
      <c r="L57" s="29" t="str">
        <f>VLOOKUP(G57,'insumos terrapl'!$C$3:$K$47,6,0)</f>
        <v>02</v>
      </c>
      <c r="M57" s="29" t="str">
        <f>VLOOKUP(G57,'insumos terrapl'!$C$3:$K$47,7,0)</f>
        <v>00</v>
      </c>
      <c r="N57" s="29" t="str">
        <f>VLOOKUP(G57,'insumos terrapl'!$C$3:$K$47,8,0)</f>
        <v>00</v>
      </c>
      <c r="O57" s="97" t="str">
        <f>VLOOKUP(G57,'insumos terrapl'!$C$3:$K$47,9,0)</f>
        <v>00</v>
      </c>
    </row>
    <row r="58" spans="1:15" s="2" customFormat="1">
      <c r="A58" s="139"/>
      <c r="B58" s="118"/>
      <c r="C58" s="119"/>
      <c r="D58" s="120"/>
      <c r="E58" s="120"/>
      <c r="F58" s="13"/>
      <c r="G58" s="21"/>
      <c r="H58" s="31"/>
      <c r="I58" s="31"/>
      <c r="J58" s="31"/>
      <c r="K58" s="31"/>
      <c r="L58" s="31"/>
      <c r="M58" s="31"/>
      <c r="N58" s="31"/>
      <c r="O58" s="98"/>
    </row>
    <row r="59" spans="1:15" s="2" customFormat="1">
      <c r="A59" s="139" t="s">
        <v>38</v>
      </c>
      <c r="B59" s="118" t="s">
        <v>7</v>
      </c>
      <c r="C59" s="119">
        <v>5502967</v>
      </c>
      <c r="D59" s="120" t="str">
        <f>A59</f>
        <v>2.5.2</v>
      </c>
      <c r="E59" s="120" t="s">
        <v>330</v>
      </c>
      <c r="F59" s="12" t="s">
        <v>67</v>
      </c>
      <c r="G59" s="19"/>
      <c r="H59" s="28"/>
      <c r="I59" s="28"/>
      <c r="J59" s="28"/>
      <c r="K59" s="28"/>
      <c r="L59" s="28"/>
      <c r="M59" s="28"/>
      <c r="N59" s="28"/>
      <c r="O59" s="99"/>
    </row>
    <row r="60" spans="1:15" s="2" customFormat="1" ht="30">
      <c r="A60" s="139"/>
      <c r="B60" s="118"/>
      <c r="C60" s="119"/>
      <c r="D60" s="120"/>
      <c r="E60" s="120"/>
      <c r="F60" s="11" t="s">
        <v>628</v>
      </c>
      <c r="G60" s="20" t="s">
        <v>629</v>
      </c>
      <c r="H60" s="29" t="str">
        <f>VLOOKUP(G60,'insumos terrapl'!$C$3:$K$47,2,0)</f>
        <v>2Q  62  02  22  00  00  00</v>
      </c>
      <c r="I60" s="29" t="str">
        <f>VLOOKUP(G60,'insumos terrapl'!$C$3:$K$47,3,0)</f>
        <v>2Q</v>
      </c>
      <c r="J60" s="29">
        <f>VLOOKUP(G60,'insumos terrapl'!$C$3:$K$47,4,0)</f>
        <v>62</v>
      </c>
      <c r="K60" s="29" t="str">
        <f>VLOOKUP(G60,'insumos terrapl'!$C$3:$K$47,5,0)</f>
        <v>02</v>
      </c>
      <c r="L60" s="29" t="str">
        <f>VLOOKUP(G60,'insumos terrapl'!$C$3:$K$47,6,0)</f>
        <v>22</v>
      </c>
      <c r="M60" s="29" t="str">
        <f>VLOOKUP(G60,'insumos terrapl'!$C$3:$K$47,7,0)</f>
        <v>00</v>
      </c>
      <c r="N60" s="29" t="str">
        <f>VLOOKUP(G60,'insumos terrapl'!$C$3:$K$47,8,0)</f>
        <v>00</v>
      </c>
      <c r="O60" s="97" t="str">
        <f>VLOOKUP(G60,'insumos terrapl'!$C$3:$K$47,9,0)</f>
        <v>00</v>
      </c>
    </row>
    <row r="61" spans="1:15" s="2" customFormat="1">
      <c r="A61" s="139"/>
      <c r="B61" s="118"/>
      <c r="C61" s="119"/>
      <c r="D61" s="120"/>
      <c r="E61" s="120"/>
      <c r="F61" s="11" t="s">
        <v>630</v>
      </c>
      <c r="G61" s="20" t="s">
        <v>631</v>
      </c>
      <c r="H61" s="29" t="str">
        <f>VLOOKUP(G61,'insumos terrapl'!$C$3:$K$47,2,0)</f>
        <v>2Q  62  50  10  00  00  00</v>
      </c>
      <c r="I61" s="29" t="str">
        <f>VLOOKUP(G61,'insumos terrapl'!$C$3:$K$47,3,0)</f>
        <v>2Q</v>
      </c>
      <c r="J61" s="29">
        <f>VLOOKUP(G61,'insumos terrapl'!$C$3:$K$47,4,0)</f>
        <v>62</v>
      </c>
      <c r="K61" s="29" t="str">
        <f>VLOOKUP(G61,'insumos terrapl'!$C$3:$K$47,5,0)</f>
        <v>50</v>
      </c>
      <c r="L61" s="29" t="str">
        <f>VLOOKUP(G61,'insumos terrapl'!$C$3:$K$47,6,0)</f>
        <v>10</v>
      </c>
      <c r="M61" s="29" t="str">
        <f>VLOOKUP(G61,'insumos terrapl'!$C$3:$K$47,7,0)</f>
        <v>00</v>
      </c>
      <c r="N61" s="29" t="str">
        <f>VLOOKUP(G61,'insumos terrapl'!$C$3:$K$47,8,0)</f>
        <v>00</v>
      </c>
      <c r="O61" s="97" t="str">
        <f>VLOOKUP(G61,'insumos terrapl'!$C$3:$K$47,9,0)</f>
        <v>00</v>
      </c>
    </row>
    <row r="62" spans="1:15" s="3" customFormat="1" ht="30">
      <c r="A62" s="139"/>
      <c r="B62" s="118"/>
      <c r="C62" s="119"/>
      <c r="D62" s="120"/>
      <c r="E62" s="120"/>
      <c r="F62" s="11" t="s">
        <v>630</v>
      </c>
      <c r="G62" s="20" t="s">
        <v>632</v>
      </c>
      <c r="H62" s="29" t="str">
        <f>VLOOKUP(G62,'insumos terrapl'!$C$3:$K$47,2,0)</f>
        <v>2Q  66  06  02  00  00  00</v>
      </c>
      <c r="I62" s="29" t="str">
        <f>VLOOKUP(G62,'insumos terrapl'!$C$3:$K$47,3,0)</f>
        <v>2Q</v>
      </c>
      <c r="J62" s="29">
        <f>VLOOKUP(G62,'insumos terrapl'!$C$3:$K$47,4,0)</f>
        <v>66</v>
      </c>
      <c r="K62" s="29" t="str">
        <f>VLOOKUP(G62,'insumos terrapl'!$C$3:$K$47,5,0)</f>
        <v>06</v>
      </c>
      <c r="L62" s="29" t="str">
        <f>VLOOKUP(G62,'insumos terrapl'!$C$3:$K$47,6,0)</f>
        <v>02</v>
      </c>
      <c r="M62" s="29" t="str">
        <f>VLOOKUP(G62,'insumos terrapl'!$C$3:$K$47,7,0)</f>
        <v>00</v>
      </c>
      <c r="N62" s="29" t="str">
        <f>VLOOKUP(G62,'insumos terrapl'!$C$3:$K$47,8,0)</f>
        <v>00</v>
      </c>
      <c r="O62" s="97" t="str">
        <f>VLOOKUP(G62,'insumos terrapl'!$C$3:$K$47,9,0)</f>
        <v>00</v>
      </c>
    </row>
    <row r="63" spans="1:15" s="3" customFormat="1">
      <c r="A63" s="139"/>
      <c r="B63" s="118"/>
      <c r="C63" s="119"/>
      <c r="D63" s="120"/>
      <c r="E63" s="120"/>
      <c r="F63" s="13"/>
      <c r="G63" s="21"/>
      <c r="H63" s="31"/>
      <c r="I63" s="31"/>
      <c r="J63" s="31"/>
      <c r="K63" s="31"/>
      <c r="L63" s="31"/>
      <c r="M63" s="31"/>
      <c r="N63" s="31"/>
      <c r="O63" s="98"/>
    </row>
    <row r="64" spans="1:15" s="3" customFormat="1">
      <c r="A64" s="139"/>
      <c r="B64" s="118"/>
      <c r="C64" s="119">
        <v>5502963</v>
      </c>
      <c r="D64" s="120" t="str">
        <f>A59</f>
        <v>2.5.2</v>
      </c>
      <c r="E64" s="116" t="s">
        <v>331</v>
      </c>
      <c r="F64" s="11" t="s">
        <v>68</v>
      </c>
      <c r="G64" s="20"/>
      <c r="H64" s="29"/>
      <c r="I64" s="29"/>
      <c r="J64" s="29"/>
      <c r="K64" s="29"/>
      <c r="L64" s="29"/>
      <c r="M64" s="29"/>
      <c r="N64" s="29"/>
      <c r="O64" s="97"/>
    </row>
    <row r="65" spans="1:15" s="3" customFormat="1" ht="30">
      <c r="A65" s="139"/>
      <c r="B65" s="118"/>
      <c r="C65" s="119"/>
      <c r="D65" s="120"/>
      <c r="E65" s="120"/>
      <c r="F65" s="11" t="s">
        <v>628</v>
      </c>
      <c r="G65" s="20" t="s">
        <v>629</v>
      </c>
      <c r="H65" s="29" t="str">
        <f>VLOOKUP(G65,'insumos terrapl'!$C$3:$K$47,2,0)</f>
        <v>2Q  62  02  22  00  00  00</v>
      </c>
      <c r="I65" s="29" t="str">
        <f>VLOOKUP(G65,'insumos terrapl'!$C$3:$K$47,3,0)</f>
        <v>2Q</v>
      </c>
      <c r="J65" s="29">
        <f>VLOOKUP(G65,'insumos terrapl'!$C$3:$K$47,4,0)</f>
        <v>62</v>
      </c>
      <c r="K65" s="29" t="str">
        <f>VLOOKUP(G65,'insumos terrapl'!$C$3:$K$47,5,0)</f>
        <v>02</v>
      </c>
      <c r="L65" s="29" t="str">
        <f>VLOOKUP(G65,'insumos terrapl'!$C$3:$K$47,6,0)</f>
        <v>22</v>
      </c>
      <c r="M65" s="29" t="str">
        <f>VLOOKUP(G65,'insumos terrapl'!$C$3:$K$47,7,0)</f>
        <v>00</v>
      </c>
      <c r="N65" s="29" t="str">
        <f>VLOOKUP(G65,'insumos terrapl'!$C$3:$K$47,8,0)</f>
        <v>00</v>
      </c>
      <c r="O65" s="97" t="str">
        <f>VLOOKUP(G65,'insumos terrapl'!$C$3:$K$47,9,0)</f>
        <v>00</v>
      </c>
    </row>
    <row r="66" spans="1:15" s="3" customFormat="1">
      <c r="A66" s="139"/>
      <c r="B66" s="118"/>
      <c r="C66" s="119"/>
      <c r="D66" s="120"/>
      <c r="E66" s="120"/>
      <c r="F66" s="11" t="s">
        <v>630</v>
      </c>
      <c r="G66" s="20" t="s">
        <v>631</v>
      </c>
      <c r="H66" s="29" t="str">
        <f>VLOOKUP(G66,'insumos terrapl'!$C$3:$K$47,2,0)</f>
        <v>2Q  62  50  10  00  00  00</v>
      </c>
      <c r="I66" s="29" t="str">
        <f>VLOOKUP(G66,'insumos terrapl'!$C$3:$K$47,3,0)</f>
        <v>2Q</v>
      </c>
      <c r="J66" s="29">
        <f>VLOOKUP(G66,'insumos terrapl'!$C$3:$K$47,4,0)</f>
        <v>62</v>
      </c>
      <c r="K66" s="29" t="str">
        <f>VLOOKUP(G66,'insumos terrapl'!$C$3:$K$47,5,0)</f>
        <v>50</v>
      </c>
      <c r="L66" s="29" t="str">
        <f>VLOOKUP(G66,'insumos terrapl'!$C$3:$K$47,6,0)</f>
        <v>10</v>
      </c>
      <c r="M66" s="29" t="str">
        <f>VLOOKUP(G66,'insumos terrapl'!$C$3:$K$47,7,0)</f>
        <v>00</v>
      </c>
      <c r="N66" s="29" t="str">
        <f>VLOOKUP(G66,'insumos terrapl'!$C$3:$K$47,8,0)</f>
        <v>00</v>
      </c>
      <c r="O66" s="97" t="str">
        <f>VLOOKUP(G66,'insumos terrapl'!$C$3:$K$47,9,0)</f>
        <v>00</v>
      </c>
    </row>
    <row r="67" spans="1:15" s="3" customFormat="1" ht="30">
      <c r="A67" s="139"/>
      <c r="B67" s="118"/>
      <c r="C67" s="119"/>
      <c r="D67" s="120"/>
      <c r="E67" s="120"/>
      <c r="F67" s="11" t="s">
        <v>630</v>
      </c>
      <c r="G67" s="20" t="s">
        <v>632</v>
      </c>
      <c r="H67" s="29" t="str">
        <f>VLOOKUP(G67,'insumos terrapl'!$C$3:$K$47,2,0)</f>
        <v>2Q  66  06  02  00  00  00</v>
      </c>
      <c r="I67" s="29" t="str">
        <f>VLOOKUP(G67,'insumos terrapl'!$C$3:$K$47,3,0)</f>
        <v>2Q</v>
      </c>
      <c r="J67" s="29">
        <f>VLOOKUP(G67,'insumos terrapl'!$C$3:$K$47,4,0)</f>
        <v>66</v>
      </c>
      <c r="K67" s="29" t="str">
        <f>VLOOKUP(G67,'insumos terrapl'!$C$3:$K$47,5,0)</f>
        <v>06</v>
      </c>
      <c r="L67" s="29" t="str">
        <f>VLOOKUP(G67,'insumos terrapl'!$C$3:$K$47,6,0)</f>
        <v>02</v>
      </c>
      <c r="M67" s="29" t="str">
        <f>VLOOKUP(G67,'insumos terrapl'!$C$3:$K$47,7,0)</f>
        <v>00</v>
      </c>
      <c r="N67" s="29" t="str">
        <f>VLOOKUP(G67,'insumos terrapl'!$C$3:$K$47,8,0)</f>
        <v>00</v>
      </c>
      <c r="O67" s="97" t="str">
        <f>VLOOKUP(G67,'insumos terrapl'!$C$3:$K$47,9,0)</f>
        <v>00</v>
      </c>
    </row>
    <row r="68" spans="1:15" s="3" customFormat="1">
      <c r="A68" s="139"/>
      <c r="B68" s="118"/>
      <c r="C68" s="124"/>
      <c r="D68" s="114"/>
      <c r="E68" s="114"/>
      <c r="F68" s="10"/>
      <c r="G68" s="20"/>
      <c r="H68" s="29"/>
      <c r="I68" s="29"/>
      <c r="J68" s="29"/>
      <c r="K68" s="29"/>
      <c r="L68" s="29"/>
      <c r="M68" s="29"/>
      <c r="N68" s="29"/>
      <c r="O68" s="97"/>
    </row>
    <row r="69" spans="1:15" s="3" customFormat="1">
      <c r="A69" s="139"/>
      <c r="B69" s="118"/>
      <c r="C69" s="119">
        <v>5502964</v>
      </c>
      <c r="D69" s="120" t="str">
        <f>A59</f>
        <v>2.5.2</v>
      </c>
      <c r="E69" s="120" t="s">
        <v>332</v>
      </c>
      <c r="F69" s="12" t="s">
        <v>69</v>
      </c>
      <c r="G69" s="19"/>
      <c r="H69" s="28"/>
      <c r="I69" s="28"/>
      <c r="J69" s="28"/>
      <c r="K69" s="28"/>
      <c r="L69" s="28"/>
      <c r="M69" s="28"/>
      <c r="N69" s="28"/>
      <c r="O69" s="99"/>
    </row>
    <row r="70" spans="1:15" s="3" customFormat="1" ht="30">
      <c r="A70" s="139"/>
      <c r="B70" s="118"/>
      <c r="C70" s="119"/>
      <c r="D70" s="120"/>
      <c r="E70" s="120"/>
      <c r="F70" s="11" t="s">
        <v>628</v>
      </c>
      <c r="G70" s="20" t="s">
        <v>629</v>
      </c>
      <c r="H70" s="29" t="str">
        <f>VLOOKUP(G70,'insumos terrapl'!$C$3:$K$47,2,0)</f>
        <v>2Q  62  02  22  00  00  00</v>
      </c>
      <c r="I70" s="29" t="str">
        <f>VLOOKUP(G70,'insumos terrapl'!$C$3:$K$47,3,0)</f>
        <v>2Q</v>
      </c>
      <c r="J70" s="29">
        <f>VLOOKUP(G70,'insumos terrapl'!$C$3:$K$47,4,0)</f>
        <v>62</v>
      </c>
      <c r="K70" s="29" t="str">
        <f>VLOOKUP(G70,'insumos terrapl'!$C$3:$K$47,5,0)</f>
        <v>02</v>
      </c>
      <c r="L70" s="29" t="str">
        <f>VLOOKUP(G70,'insumos terrapl'!$C$3:$K$47,6,0)</f>
        <v>22</v>
      </c>
      <c r="M70" s="29" t="str">
        <f>VLOOKUP(G70,'insumos terrapl'!$C$3:$K$47,7,0)</f>
        <v>00</v>
      </c>
      <c r="N70" s="29" t="str">
        <f>VLOOKUP(G70,'insumos terrapl'!$C$3:$K$47,8,0)</f>
        <v>00</v>
      </c>
      <c r="O70" s="97" t="str">
        <f>VLOOKUP(G70,'insumos terrapl'!$C$3:$K$47,9,0)</f>
        <v>00</v>
      </c>
    </row>
    <row r="71" spans="1:15" s="3" customFormat="1">
      <c r="A71" s="139"/>
      <c r="B71" s="118"/>
      <c r="C71" s="119"/>
      <c r="D71" s="120"/>
      <c r="E71" s="120"/>
      <c r="F71" s="11" t="s">
        <v>630</v>
      </c>
      <c r="G71" s="20" t="s">
        <v>631</v>
      </c>
      <c r="H71" s="29" t="str">
        <f>VLOOKUP(G71,'insumos terrapl'!$C$3:$K$47,2,0)</f>
        <v>2Q  62  50  10  00  00  00</v>
      </c>
      <c r="I71" s="29" t="str">
        <f>VLOOKUP(G71,'insumos terrapl'!$C$3:$K$47,3,0)</f>
        <v>2Q</v>
      </c>
      <c r="J71" s="29">
        <f>VLOOKUP(G71,'insumos terrapl'!$C$3:$K$47,4,0)</f>
        <v>62</v>
      </c>
      <c r="K71" s="29" t="str">
        <f>VLOOKUP(G71,'insumos terrapl'!$C$3:$K$47,5,0)</f>
        <v>50</v>
      </c>
      <c r="L71" s="29" t="str">
        <f>VLOOKUP(G71,'insumos terrapl'!$C$3:$K$47,6,0)</f>
        <v>10</v>
      </c>
      <c r="M71" s="29" t="str">
        <f>VLOOKUP(G71,'insumos terrapl'!$C$3:$K$47,7,0)</f>
        <v>00</v>
      </c>
      <c r="N71" s="29" t="str">
        <f>VLOOKUP(G71,'insumos terrapl'!$C$3:$K$47,8,0)</f>
        <v>00</v>
      </c>
      <c r="O71" s="97" t="str">
        <f>VLOOKUP(G71,'insumos terrapl'!$C$3:$K$47,9,0)</f>
        <v>00</v>
      </c>
    </row>
    <row r="72" spans="1:15" s="3" customFormat="1" ht="30">
      <c r="A72" s="139"/>
      <c r="B72" s="118"/>
      <c r="C72" s="119"/>
      <c r="D72" s="120"/>
      <c r="E72" s="120"/>
      <c r="F72" s="11" t="s">
        <v>630</v>
      </c>
      <c r="G72" s="20" t="s">
        <v>632</v>
      </c>
      <c r="H72" s="29" t="str">
        <f>VLOOKUP(G72,'insumos terrapl'!$C$3:$K$47,2,0)</f>
        <v>2Q  66  06  02  00  00  00</v>
      </c>
      <c r="I72" s="29" t="str">
        <f>VLOOKUP(G72,'insumos terrapl'!$C$3:$K$47,3,0)</f>
        <v>2Q</v>
      </c>
      <c r="J72" s="29">
        <f>VLOOKUP(G72,'insumos terrapl'!$C$3:$K$47,4,0)</f>
        <v>66</v>
      </c>
      <c r="K72" s="29" t="str">
        <f>VLOOKUP(G72,'insumos terrapl'!$C$3:$K$47,5,0)</f>
        <v>06</v>
      </c>
      <c r="L72" s="29" t="str">
        <f>VLOOKUP(G72,'insumos terrapl'!$C$3:$K$47,6,0)</f>
        <v>02</v>
      </c>
      <c r="M72" s="29" t="str">
        <f>VLOOKUP(G72,'insumos terrapl'!$C$3:$K$47,7,0)</f>
        <v>00</v>
      </c>
      <c r="N72" s="29" t="str">
        <f>VLOOKUP(G72,'insumos terrapl'!$C$3:$K$47,8,0)</f>
        <v>00</v>
      </c>
      <c r="O72" s="97" t="str">
        <f>VLOOKUP(G72,'insumos terrapl'!$C$3:$K$47,9,0)</f>
        <v>00</v>
      </c>
    </row>
    <row r="73" spans="1:15" s="3" customFormat="1">
      <c r="A73" s="139"/>
      <c r="B73" s="118"/>
      <c r="C73" s="119"/>
      <c r="D73" s="120"/>
      <c r="E73" s="120"/>
      <c r="F73" s="13"/>
      <c r="G73" s="21"/>
      <c r="H73" s="31"/>
      <c r="I73" s="31"/>
      <c r="J73" s="31"/>
      <c r="K73" s="31"/>
      <c r="L73" s="31"/>
      <c r="M73" s="31"/>
      <c r="N73" s="31"/>
      <c r="O73" s="98"/>
    </row>
    <row r="74" spans="1:15" s="3" customFormat="1">
      <c r="A74" s="139"/>
      <c r="B74" s="118"/>
      <c r="C74" s="132">
        <v>5502965</v>
      </c>
      <c r="D74" s="116" t="str">
        <f>A59</f>
        <v>2.5.2</v>
      </c>
      <c r="E74" s="116" t="s">
        <v>333</v>
      </c>
      <c r="F74" s="11" t="s">
        <v>70</v>
      </c>
      <c r="G74" s="20"/>
      <c r="H74" s="29"/>
      <c r="I74" s="29"/>
      <c r="J74" s="29"/>
      <c r="K74" s="29"/>
      <c r="L74" s="29"/>
      <c r="M74" s="29"/>
      <c r="N74" s="29"/>
      <c r="O74" s="97"/>
    </row>
    <row r="75" spans="1:15" s="3" customFormat="1" ht="30">
      <c r="A75" s="139"/>
      <c r="B75" s="118"/>
      <c r="C75" s="119"/>
      <c r="D75" s="120"/>
      <c r="E75" s="120"/>
      <c r="F75" s="11" t="s">
        <v>628</v>
      </c>
      <c r="G75" s="20" t="s">
        <v>629</v>
      </c>
      <c r="H75" s="29" t="str">
        <f>VLOOKUP(G75,'insumos terrapl'!$C$3:$K$47,2,0)</f>
        <v>2Q  62  02  22  00  00  00</v>
      </c>
      <c r="I75" s="29" t="str">
        <f>VLOOKUP(G75,'insumos terrapl'!$C$3:$K$47,3,0)</f>
        <v>2Q</v>
      </c>
      <c r="J75" s="29">
        <f>VLOOKUP(G75,'insumos terrapl'!$C$3:$K$47,4,0)</f>
        <v>62</v>
      </c>
      <c r="K75" s="29" t="str">
        <f>VLOOKUP(G75,'insumos terrapl'!$C$3:$K$47,5,0)</f>
        <v>02</v>
      </c>
      <c r="L75" s="29" t="str">
        <f>VLOOKUP(G75,'insumos terrapl'!$C$3:$K$47,6,0)</f>
        <v>22</v>
      </c>
      <c r="M75" s="29" t="str">
        <f>VLOOKUP(G75,'insumos terrapl'!$C$3:$K$47,7,0)</f>
        <v>00</v>
      </c>
      <c r="N75" s="29" t="str">
        <f>VLOOKUP(G75,'insumos terrapl'!$C$3:$K$47,8,0)</f>
        <v>00</v>
      </c>
      <c r="O75" s="97" t="str">
        <f>VLOOKUP(G75,'insumos terrapl'!$C$3:$K$47,9,0)</f>
        <v>00</v>
      </c>
    </row>
    <row r="76" spans="1:15" s="3" customFormat="1">
      <c r="A76" s="139"/>
      <c r="B76" s="118"/>
      <c r="C76" s="119"/>
      <c r="D76" s="120"/>
      <c r="E76" s="120"/>
      <c r="F76" s="11" t="s">
        <v>630</v>
      </c>
      <c r="G76" s="20" t="s">
        <v>631</v>
      </c>
      <c r="H76" s="29" t="str">
        <f>VLOOKUP(G76,'insumos terrapl'!$C$3:$K$47,2,0)</f>
        <v>2Q  62  50  10  00  00  00</v>
      </c>
      <c r="I76" s="29" t="str">
        <f>VLOOKUP(G76,'insumos terrapl'!$C$3:$K$47,3,0)</f>
        <v>2Q</v>
      </c>
      <c r="J76" s="29">
        <f>VLOOKUP(G76,'insumos terrapl'!$C$3:$K$47,4,0)</f>
        <v>62</v>
      </c>
      <c r="K76" s="29" t="str">
        <f>VLOOKUP(G76,'insumos terrapl'!$C$3:$K$47,5,0)</f>
        <v>50</v>
      </c>
      <c r="L76" s="29" t="str">
        <f>VLOOKUP(G76,'insumos terrapl'!$C$3:$K$47,6,0)</f>
        <v>10</v>
      </c>
      <c r="M76" s="29" t="str">
        <f>VLOOKUP(G76,'insumos terrapl'!$C$3:$K$47,7,0)</f>
        <v>00</v>
      </c>
      <c r="N76" s="29" t="str">
        <f>VLOOKUP(G76,'insumos terrapl'!$C$3:$K$47,8,0)</f>
        <v>00</v>
      </c>
      <c r="O76" s="97" t="str">
        <f>VLOOKUP(G76,'insumos terrapl'!$C$3:$K$47,9,0)</f>
        <v>00</v>
      </c>
    </row>
    <row r="77" spans="1:15" s="3" customFormat="1" ht="30">
      <c r="A77" s="139"/>
      <c r="B77" s="118"/>
      <c r="C77" s="119"/>
      <c r="D77" s="120"/>
      <c r="E77" s="120"/>
      <c r="F77" s="11" t="s">
        <v>630</v>
      </c>
      <c r="G77" s="20" t="s">
        <v>632</v>
      </c>
      <c r="H77" s="29" t="str">
        <f>VLOOKUP(G77,'insumos terrapl'!$C$3:$K$47,2,0)</f>
        <v>2Q  66  06  02  00  00  00</v>
      </c>
      <c r="I77" s="29" t="str">
        <f>VLOOKUP(G77,'insumos terrapl'!$C$3:$K$47,3,0)</f>
        <v>2Q</v>
      </c>
      <c r="J77" s="29">
        <f>VLOOKUP(G77,'insumos terrapl'!$C$3:$K$47,4,0)</f>
        <v>66</v>
      </c>
      <c r="K77" s="29" t="str">
        <f>VLOOKUP(G77,'insumos terrapl'!$C$3:$K$47,5,0)</f>
        <v>06</v>
      </c>
      <c r="L77" s="29" t="str">
        <f>VLOOKUP(G77,'insumos terrapl'!$C$3:$K$47,6,0)</f>
        <v>02</v>
      </c>
      <c r="M77" s="29" t="str">
        <f>VLOOKUP(G77,'insumos terrapl'!$C$3:$K$47,7,0)</f>
        <v>00</v>
      </c>
      <c r="N77" s="29" t="str">
        <f>VLOOKUP(G77,'insumos terrapl'!$C$3:$K$47,8,0)</f>
        <v>00</v>
      </c>
      <c r="O77" s="97" t="str">
        <f>VLOOKUP(G77,'insumos terrapl'!$C$3:$K$47,9,0)</f>
        <v>00</v>
      </c>
    </row>
    <row r="78" spans="1:15" s="3" customFormat="1">
      <c r="A78" s="139"/>
      <c r="B78" s="118"/>
      <c r="C78" s="124"/>
      <c r="D78" s="114"/>
      <c r="E78" s="114"/>
      <c r="F78" s="10"/>
      <c r="G78" s="20"/>
      <c r="H78" s="29"/>
      <c r="I78" s="29"/>
      <c r="J78" s="29"/>
      <c r="K78" s="29"/>
      <c r="L78" s="29"/>
      <c r="M78" s="29"/>
      <c r="N78" s="29"/>
      <c r="O78" s="97"/>
    </row>
    <row r="79" spans="1:15" s="3" customFormat="1">
      <c r="A79" s="139"/>
      <c r="B79" s="118"/>
      <c r="C79" s="119">
        <v>5502966</v>
      </c>
      <c r="D79" s="120" t="str">
        <f>A59</f>
        <v>2.5.2</v>
      </c>
      <c r="E79" s="120" t="s">
        <v>334</v>
      </c>
      <c r="F79" s="12" t="s">
        <v>71</v>
      </c>
      <c r="G79" s="19"/>
      <c r="H79" s="28"/>
      <c r="I79" s="28"/>
      <c r="J79" s="28"/>
      <c r="K79" s="28"/>
      <c r="L79" s="28"/>
      <c r="M79" s="28"/>
      <c r="N79" s="28"/>
      <c r="O79" s="99"/>
    </row>
    <row r="80" spans="1:15" s="3" customFormat="1" ht="30">
      <c r="A80" s="139"/>
      <c r="B80" s="118"/>
      <c r="C80" s="119"/>
      <c r="D80" s="120"/>
      <c r="E80" s="120"/>
      <c r="F80" s="11" t="s">
        <v>628</v>
      </c>
      <c r="G80" s="20" t="s">
        <v>629</v>
      </c>
      <c r="H80" s="29" t="str">
        <f>VLOOKUP(G80,'insumos terrapl'!$C$3:$K$47,2,0)</f>
        <v>2Q  62  02  22  00  00  00</v>
      </c>
      <c r="I80" s="29" t="str">
        <f>VLOOKUP(G80,'insumos terrapl'!$C$3:$K$47,3,0)</f>
        <v>2Q</v>
      </c>
      <c r="J80" s="29">
        <f>VLOOKUP(G80,'insumos terrapl'!$C$3:$K$47,4,0)</f>
        <v>62</v>
      </c>
      <c r="K80" s="29" t="str">
        <f>VLOOKUP(G80,'insumos terrapl'!$C$3:$K$47,5,0)</f>
        <v>02</v>
      </c>
      <c r="L80" s="29" t="str">
        <f>VLOOKUP(G80,'insumos terrapl'!$C$3:$K$47,6,0)</f>
        <v>22</v>
      </c>
      <c r="M80" s="29" t="str">
        <f>VLOOKUP(G80,'insumos terrapl'!$C$3:$K$47,7,0)</f>
        <v>00</v>
      </c>
      <c r="N80" s="29" t="str">
        <f>VLOOKUP(G80,'insumos terrapl'!$C$3:$K$47,8,0)</f>
        <v>00</v>
      </c>
      <c r="O80" s="97" t="str">
        <f>VLOOKUP(G80,'insumos terrapl'!$C$3:$K$47,9,0)</f>
        <v>00</v>
      </c>
    </row>
    <row r="81" spans="1:15" s="3" customFormat="1">
      <c r="A81" s="139"/>
      <c r="B81" s="118"/>
      <c r="C81" s="119"/>
      <c r="D81" s="120"/>
      <c r="E81" s="120"/>
      <c r="F81" s="11" t="s">
        <v>630</v>
      </c>
      <c r="G81" s="20" t="s">
        <v>631</v>
      </c>
      <c r="H81" s="29" t="str">
        <f>VLOOKUP(G81,'insumos terrapl'!$C$3:$K$47,2,0)</f>
        <v>2Q  62  50  10  00  00  00</v>
      </c>
      <c r="I81" s="29" t="str">
        <f>VLOOKUP(G81,'insumos terrapl'!$C$3:$K$47,3,0)</f>
        <v>2Q</v>
      </c>
      <c r="J81" s="29">
        <f>VLOOKUP(G81,'insumos terrapl'!$C$3:$K$47,4,0)</f>
        <v>62</v>
      </c>
      <c r="K81" s="29" t="str">
        <f>VLOOKUP(G81,'insumos terrapl'!$C$3:$K$47,5,0)</f>
        <v>50</v>
      </c>
      <c r="L81" s="29" t="str">
        <f>VLOOKUP(G81,'insumos terrapl'!$C$3:$K$47,6,0)</f>
        <v>10</v>
      </c>
      <c r="M81" s="29" t="str">
        <f>VLOOKUP(G81,'insumos terrapl'!$C$3:$K$47,7,0)</f>
        <v>00</v>
      </c>
      <c r="N81" s="29" t="str">
        <f>VLOOKUP(G81,'insumos terrapl'!$C$3:$K$47,8,0)</f>
        <v>00</v>
      </c>
      <c r="O81" s="97" t="str">
        <f>VLOOKUP(G81,'insumos terrapl'!$C$3:$K$47,9,0)</f>
        <v>00</v>
      </c>
    </row>
    <row r="82" spans="1:15" s="2" customFormat="1" ht="30">
      <c r="A82" s="139"/>
      <c r="B82" s="118"/>
      <c r="C82" s="119"/>
      <c r="D82" s="120"/>
      <c r="E82" s="120"/>
      <c r="F82" s="11" t="s">
        <v>630</v>
      </c>
      <c r="G82" s="20" t="s">
        <v>632</v>
      </c>
      <c r="H82" s="29" t="str">
        <f>VLOOKUP(G82,'insumos terrapl'!$C$3:$K$47,2,0)</f>
        <v>2Q  66  06  02  00  00  00</v>
      </c>
      <c r="I82" s="29" t="str">
        <f>VLOOKUP(G82,'insumos terrapl'!$C$3:$K$47,3,0)</f>
        <v>2Q</v>
      </c>
      <c r="J82" s="29">
        <f>VLOOKUP(G82,'insumos terrapl'!$C$3:$K$47,4,0)</f>
        <v>66</v>
      </c>
      <c r="K82" s="29" t="str">
        <f>VLOOKUP(G82,'insumos terrapl'!$C$3:$K$47,5,0)</f>
        <v>06</v>
      </c>
      <c r="L82" s="29" t="str">
        <f>VLOOKUP(G82,'insumos terrapl'!$C$3:$K$47,6,0)</f>
        <v>02</v>
      </c>
      <c r="M82" s="29" t="str">
        <f>VLOOKUP(G82,'insumos terrapl'!$C$3:$K$47,7,0)</f>
        <v>00</v>
      </c>
      <c r="N82" s="29" t="str">
        <f>VLOOKUP(G82,'insumos terrapl'!$C$3:$K$47,8,0)</f>
        <v>00</v>
      </c>
      <c r="O82" s="97" t="str">
        <f>VLOOKUP(G82,'insumos terrapl'!$C$3:$K$47,9,0)</f>
        <v>00</v>
      </c>
    </row>
    <row r="83" spans="1:15" s="2" customFormat="1">
      <c r="A83" s="139"/>
      <c r="B83" s="118"/>
      <c r="C83" s="119"/>
      <c r="D83" s="120"/>
      <c r="E83" s="120"/>
      <c r="F83" s="13"/>
      <c r="G83" s="21"/>
      <c r="H83" s="31"/>
      <c r="I83" s="31"/>
      <c r="J83" s="31"/>
      <c r="K83" s="31"/>
      <c r="L83" s="31"/>
      <c r="M83" s="31"/>
      <c r="N83" s="31"/>
      <c r="O83" s="98"/>
    </row>
    <row r="84" spans="1:15" s="1" customFormat="1">
      <c r="A84" s="133" t="s">
        <v>39</v>
      </c>
      <c r="B84" s="118" t="s">
        <v>8</v>
      </c>
      <c r="C84" s="125">
        <v>5502977</v>
      </c>
      <c r="D84" s="115" t="str">
        <f>A84</f>
        <v>2.5.3</v>
      </c>
      <c r="E84" s="115" t="s">
        <v>8</v>
      </c>
      <c r="F84" s="11" t="s">
        <v>579</v>
      </c>
      <c r="G84" s="20"/>
      <c r="H84" s="29"/>
      <c r="I84" s="29"/>
      <c r="J84" s="29"/>
      <c r="K84" s="29"/>
      <c r="L84" s="29"/>
      <c r="M84" s="29"/>
      <c r="N84" s="29"/>
      <c r="O84" s="97"/>
    </row>
    <row r="85" spans="1:15" s="4" customFormat="1" ht="30">
      <c r="A85" s="134"/>
      <c r="B85" s="118"/>
      <c r="C85" s="125"/>
      <c r="D85" s="115"/>
      <c r="E85" s="115"/>
      <c r="F85" s="11" t="s">
        <v>628</v>
      </c>
      <c r="G85" s="20" t="s">
        <v>629</v>
      </c>
      <c r="H85" s="29" t="str">
        <f>VLOOKUP(G85,'insumos terrapl'!$C$3:$K$47,2,0)</f>
        <v>2Q  62  02  22  00  00  00</v>
      </c>
      <c r="I85" s="29" t="str">
        <f>VLOOKUP(G85,'insumos terrapl'!$C$3:$K$47,3,0)</f>
        <v>2Q</v>
      </c>
      <c r="J85" s="29">
        <f>VLOOKUP(G85,'insumos terrapl'!$C$3:$K$47,4,0)</f>
        <v>62</v>
      </c>
      <c r="K85" s="29" t="str">
        <f>VLOOKUP(G85,'insumos terrapl'!$C$3:$K$47,5,0)</f>
        <v>02</v>
      </c>
      <c r="L85" s="29" t="str">
        <f>VLOOKUP(G85,'insumos terrapl'!$C$3:$K$47,6,0)</f>
        <v>22</v>
      </c>
      <c r="M85" s="29" t="str">
        <f>VLOOKUP(G85,'insumos terrapl'!$C$3:$K$47,7,0)</f>
        <v>00</v>
      </c>
      <c r="N85" s="29" t="str">
        <f>VLOOKUP(G85,'insumos terrapl'!$C$3:$K$47,8,0)</f>
        <v>00</v>
      </c>
      <c r="O85" s="97" t="str">
        <f>VLOOKUP(G85,'insumos terrapl'!$C$3:$K$47,9,0)</f>
        <v>00</v>
      </c>
    </row>
    <row r="86" spans="1:15" s="4" customFormat="1">
      <c r="A86" s="134"/>
      <c r="B86" s="118"/>
      <c r="C86" s="125"/>
      <c r="D86" s="115"/>
      <c r="E86" s="115"/>
      <c r="F86" s="11" t="s">
        <v>630</v>
      </c>
      <c r="G86" s="20" t="s">
        <v>631</v>
      </c>
      <c r="H86" s="29" t="str">
        <f>VLOOKUP(G86,'insumos terrapl'!$C$3:$K$47,2,0)</f>
        <v>2Q  62  50  10  00  00  00</v>
      </c>
      <c r="I86" s="29" t="str">
        <f>VLOOKUP(G86,'insumos terrapl'!$C$3:$K$47,3,0)</f>
        <v>2Q</v>
      </c>
      <c r="J86" s="29">
        <f>VLOOKUP(G86,'insumos terrapl'!$C$3:$K$47,4,0)</f>
        <v>62</v>
      </c>
      <c r="K86" s="29" t="str">
        <f>VLOOKUP(G86,'insumos terrapl'!$C$3:$K$47,5,0)</f>
        <v>50</v>
      </c>
      <c r="L86" s="29" t="str">
        <f>VLOOKUP(G86,'insumos terrapl'!$C$3:$K$47,6,0)</f>
        <v>10</v>
      </c>
      <c r="M86" s="29" t="str">
        <f>VLOOKUP(G86,'insumos terrapl'!$C$3:$K$47,7,0)</f>
        <v>00</v>
      </c>
      <c r="N86" s="29" t="str">
        <f>VLOOKUP(G86,'insumos terrapl'!$C$3:$K$47,8,0)</f>
        <v>00</v>
      </c>
      <c r="O86" s="97" t="str">
        <f>VLOOKUP(G86,'insumos terrapl'!$C$3:$K$47,9,0)</f>
        <v>00</v>
      </c>
    </row>
    <row r="87" spans="1:15" s="4" customFormat="1" ht="30">
      <c r="A87" s="134"/>
      <c r="B87" s="118"/>
      <c r="C87" s="125"/>
      <c r="D87" s="115"/>
      <c r="E87" s="115"/>
      <c r="F87" s="11" t="s">
        <v>630</v>
      </c>
      <c r="G87" s="20" t="s">
        <v>632</v>
      </c>
      <c r="H87" s="29" t="str">
        <f>VLOOKUP(G87,'insumos terrapl'!$C$3:$K$47,2,0)</f>
        <v>2Q  66  06  02  00  00  00</v>
      </c>
      <c r="I87" s="29" t="str">
        <f>VLOOKUP(G87,'insumos terrapl'!$C$3:$K$47,3,0)</f>
        <v>2Q</v>
      </c>
      <c r="J87" s="29">
        <f>VLOOKUP(G87,'insumos terrapl'!$C$3:$K$47,4,0)</f>
        <v>66</v>
      </c>
      <c r="K87" s="29" t="str">
        <f>VLOOKUP(G87,'insumos terrapl'!$C$3:$K$47,5,0)</f>
        <v>06</v>
      </c>
      <c r="L87" s="29" t="str">
        <f>VLOOKUP(G87,'insumos terrapl'!$C$3:$K$47,6,0)</f>
        <v>02</v>
      </c>
      <c r="M87" s="29" t="str">
        <f>VLOOKUP(G87,'insumos terrapl'!$C$3:$K$47,7,0)</f>
        <v>00</v>
      </c>
      <c r="N87" s="29" t="str">
        <f>VLOOKUP(G87,'insumos terrapl'!$C$3:$K$47,8,0)</f>
        <v>00</v>
      </c>
      <c r="O87" s="97" t="str">
        <f>VLOOKUP(G87,'insumos terrapl'!$C$3:$K$47,9,0)</f>
        <v>00</v>
      </c>
    </row>
    <row r="88" spans="1:15" s="4" customFormat="1">
      <c r="A88" s="135"/>
      <c r="B88" s="118"/>
      <c r="C88" s="132"/>
      <c r="D88" s="116"/>
      <c r="E88" s="115"/>
      <c r="F88" s="10"/>
      <c r="G88" s="20"/>
      <c r="H88" s="29"/>
      <c r="I88" s="29"/>
      <c r="J88" s="29"/>
      <c r="K88" s="29"/>
      <c r="L88" s="29"/>
      <c r="M88" s="29"/>
      <c r="N88" s="29"/>
      <c r="O88" s="97"/>
    </row>
    <row r="89" spans="1:15" s="4" customFormat="1">
      <c r="A89" s="133" t="s">
        <v>40</v>
      </c>
      <c r="B89" s="126" t="s">
        <v>9</v>
      </c>
      <c r="C89" s="124">
        <v>5502993</v>
      </c>
      <c r="D89" s="114" t="str">
        <f>A89</f>
        <v>2.5.4</v>
      </c>
      <c r="E89" s="114" t="s">
        <v>9</v>
      </c>
      <c r="F89" s="12" t="s">
        <v>329</v>
      </c>
      <c r="G89" s="19"/>
      <c r="H89" s="28"/>
      <c r="I89" s="28"/>
      <c r="J89" s="28"/>
      <c r="K89" s="28"/>
      <c r="L89" s="28"/>
      <c r="M89" s="28"/>
      <c r="N89" s="28"/>
      <c r="O89" s="99"/>
    </row>
    <row r="90" spans="1:15" s="4" customFormat="1" ht="30">
      <c r="A90" s="134"/>
      <c r="B90" s="127"/>
      <c r="C90" s="125"/>
      <c r="D90" s="115"/>
      <c r="E90" s="115"/>
      <c r="F90" s="11" t="s">
        <v>607</v>
      </c>
      <c r="G90" s="20" t="s">
        <v>608</v>
      </c>
      <c r="H90" s="29" t="str">
        <f>VLOOKUP(G90,'insumos terrapl'!$C$3:$K$47,2,0)</f>
        <v>2Q  42  06  18  02  02  00</v>
      </c>
      <c r="I90" s="29" t="str">
        <f>VLOOKUP(G90,'insumos terrapl'!$C$3:$K$47,3,0)</f>
        <v>2Q</v>
      </c>
      <c r="J90" s="29">
        <f>VLOOKUP(G90,'insumos terrapl'!$C$3:$K$47,4,0)</f>
        <v>42</v>
      </c>
      <c r="K90" s="29" t="str">
        <f>VLOOKUP(G90,'insumos terrapl'!$C$3:$K$47,5,0)</f>
        <v>06</v>
      </c>
      <c r="L90" s="29">
        <f>VLOOKUP(G90,'insumos terrapl'!$C$3:$K$47,6,0)</f>
        <v>18</v>
      </c>
      <c r="M90" s="29" t="str">
        <f>VLOOKUP(G90,'insumos terrapl'!$C$3:$K$47,7,0)</f>
        <v>02</v>
      </c>
      <c r="N90" s="29" t="str">
        <f>VLOOKUP(G90,'insumos terrapl'!$C$3:$K$47,8,0)</f>
        <v>02</v>
      </c>
      <c r="O90" s="97" t="str">
        <f>VLOOKUP(G90,'insumos terrapl'!$C$3:$K$47,9,0)</f>
        <v>00</v>
      </c>
    </row>
    <row r="91" spans="1:15" s="4" customFormat="1" ht="45">
      <c r="A91" s="134"/>
      <c r="B91" s="127"/>
      <c r="C91" s="125"/>
      <c r="D91" s="115"/>
      <c r="E91" s="115"/>
      <c r="F91" s="11" t="s">
        <v>609</v>
      </c>
      <c r="G91" s="20" t="s">
        <v>610</v>
      </c>
      <c r="H91" s="29" t="str">
        <f>VLOOKUP(G91,'insumos terrapl'!$C$3:$K$47,2,0)</f>
        <v>2Q  42  06  02  14  02  00</v>
      </c>
      <c r="I91" s="29" t="str">
        <f>VLOOKUP(G91,'insumos terrapl'!$C$3:$K$47,3,0)</f>
        <v>2Q</v>
      </c>
      <c r="J91" s="29">
        <f>VLOOKUP(G91,'insumos terrapl'!$C$3:$K$47,4,0)</f>
        <v>42</v>
      </c>
      <c r="K91" s="29" t="str">
        <f>VLOOKUP(G91,'insumos terrapl'!$C$3:$K$47,5,0)</f>
        <v>06</v>
      </c>
      <c r="L91" s="29" t="str">
        <f>VLOOKUP(G91,'insumos terrapl'!$C$3:$K$47,6,0)</f>
        <v>02</v>
      </c>
      <c r="M91" s="29" t="str">
        <f>VLOOKUP(G91,'insumos terrapl'!$C$3:$K$47,7,0)</f>
        <v>14</v>
      </c>
      <c r="N91" s="29" t="str">
        <f>VLOOKUP(G91,'insumos terrapl'!$C$3:$K$47,8,0)</f>
        <v>02</v>
      </c>
      <c r="O91" s="97" t="str">
        <f>VLOOKUP(G91,'insumos terrapl'!$C$3:$K$47,9,0)</f>
        <v>00</v>
      </c>
    </row>
    <row r="92" spans="1:15" s="4" customFormat="1">
      <c r="A92" s="134"/>
      <c r="B92" s="127"/>
      <c r="C92" s="125"/>
      <c r="D92" s="115"/>
      <c r="E92" s="115"/>
      <c r="F92" s="11" t="s">
        <v>633</v>
      </c>
      <c r="G92" s="20" t="s">
        <v>634</v>
      </c>
      <c r="H92" s="29" t="str">
        <f>VLOOKUP(G92,'insumos terrapl'!$C$3:$K$47,2,0)</f>
        <v>2Q  58  10  10  02  06  00</v>
      </c>
      <c r="I92" s="29" t="str">
        <f>VLOOKUP(G92,'insumos terrapl'!$C$3:$K$47,3,0)</f>
        <v>2Q</v>
      </c>
      <c r="J92" s="29">
        <f>VLOOKUP(G92,'insumos terrapl'!$C$3:$K$47,4,0)</f>
        <v>58</v>
      </c>
      <c r="K92" s="29" t="str">
        <f>VLOOKUP(G92,'insumos terrapl'!$C$3:$K$47,5,0)</f>
        <v>10</v>
      </c>
      <c r="L92" s="29" t="str">
        <f>VLOOKUP(G92,'insumos terrapl'!$C$3:$K$47,6,0)</f>
        <v>10</v>
      </c>
      <c r="M92" s="29" t="str">
        <f>VLOOKUP(G92,'insumos terrapl'!$C$3:$K$47,7,0)</f>
        <v>02</v>
      </c>
      <c r="N92" s="29" t="str">
        <f>VLOOKUP(G92,'insumos terrapl'!$C$3:$K$47,8,0)</f>
        <v>06</v>
      </c>
      <c r="O92" s="97" t="str">
        <f>VLOOKUP(G92,'insumos terrapl'!$C$3:$K$47,9,0)</f>
        <v>00</v>
      </c>
    </row>
    <row r="93" spans="1:15" s="4" customFormat="1">
      <c r="A93" s="134"/>
      <c r="B93" s="127"/>
      <c r="C93" s="125"/>
      <c r="D93" s="115"/>
      <c r="E93" s="115"/>
      <c r="F93" s="11" t="s">
        <v>613</v>
      </c>
      <c r="G93" s="20" t="s">
        <v>614</v>
      </c>
      <c r="H93" s="29" t="str">
        <f>VLOOKUP(G93,'insumos terrapl'!$C$3:$K$47,2,0)</f>
        <v>2N  20  14  02  00  00  00</v>
      </c>
      <c r="I93" s="29" t="str">
        <f>VLOOKUP(G93,'insumos terrapl'!$C$3:$K$47,3,0)</f>
        <v>2N</v>
      </c>
      <c r="J93" s="29">
        <f>VLOOKUP(G93,'insumos terrapl'!$C$3:$K$47,4,0)</f>
        <v>20</v>
      </c>
      <c r="K93" s="29" t="str">
        <f>VLOOKUP(G93,'insumos terrapl'!$C$3:$K$47,5,0)</f>
        <v>14</v>
      </c>
      <c r="L93" s="29" t="str">
        <f>VLOOKUP(G93,'insumos terrapl'!$C$3:$K$47,6,0)</f>
        <v>02</v>
      </c>
      <c r="M93" s="29" t="str">
        <f>VLOOKUP(G93,'insumos terrapl'!$C$3:$K$47,7,0)</f>
        <v>00</v>
      </c>
      <c r="N93" s="29" t="str">
        <f>VLOOKUP(G93,'insumos terrapl'!$C$3:$K$47,8,0)</f>
        <v>00</v>
      </c>
      <c r="O93" s="97" t="str">
        <f>VLOOKUP(G93,'insumos terrapl'!$C$3:$K$47,9,0)</f>
        <v>00</v>
      </c>
    </row>
    <row r="94" spans="1:15" s="4" customFormat="1">
      <c r="A94" s="134"/>
      <c r="B94" s="127"/>
      <c r="C94" s="125"/>
      <c r="D94" s="115"/>
      <c r="E94" s="115"/>
      <c r="F94" s="11" t="s">
        <v>615</v>
      </c>
      <c r="G94" s="20" t="s">
        <v>616</v>
      </c>
      <c r="H94" s="29" t="str">
        <f>VLOOKUP(G94,'insumos terrapl'!$C$3:$K$47,2,0)</f>
        <v>2N  20  14  02  00  00  00</v>
      </c>
      <c r="I94" s="29" t="str">
        <f>VLOOKUP(G94,'insumos terrapl'!$C$3:$K$47,3,0)</f>
        <v>2N</v>
      </c>
      <c r="J94" s="29">
        <f>VLOOKUP(G94,'insumos terrapl'!$C$3:$K$47,4,0)</f>
        <v>20</v>
      </c>
      <c r="K94" s="29" t="str">
        <f>VLOOKUP(G94,'insumos terrapl'!$C$3:$K$47,5,0)</f>
        <v>14</v>
      </c>
      <c r="L94" s="29" t="str">
        <f>VLOOKUP(G94,'insumos terrapl'!$C$3:$K$47,6,0)</f>
        <v>02</v>
      </c>
      <c r="M94" s="29" t="str">
        <f>VLOOKUP(G94,'insumos terrapl'!$C$3:$K$47,7,0)</f>
        <v>00</v>
      </c>
      <c r="N94" s="29" t="str">
        <f>VLOOKUP(G94,'insumos terrapl'!$C$3:$K$47,8,0)</f>
        <v>00</v>
      </c>
      <c r="O94" s="97" t="str">
        <f>VLOOKUP(G94,'insumos terrapl'!$C$3:$K$47,9,0)</f>
        <v>00</v>
      </c>
    </row>
    <row r="95" spans="1:15" s="4" customFormat="1" ht="30">
      <c r="A95" s="134"/>
      <c r="B95" s="127"/>
      <c r="C95" s="125"/>
      <c r="D95" s="115"/>
      <c r="E95" s="115"/>
      <c r="F95" s="11" t="s">
        <v>635</v>
      </c>
      <c r="G95" s="20" t="s">
        <v>636</v>
      </c>
      <c r="H95" s="29" t="str">
        <f>VLOOKUP(G95,'insumos terrapl'!$C$3:$K$47,2,0)</f>
        <v>2N  58  06  00  00  00  00</v>
      </c>
      <c r="I95" s="29" t="str">
        <f>VLOOKUP(G95,'insumos terrapl'!$C$3:$K$47,3,0)</f>
        <v>2N</v>
      </c>
      <c r="J95" s="29">
        <f>VLOOKUP(G95,'insumos terrapl'!$C$3:$K$47,4,0)</f>
        <v>58</v>
      </c>
      <c r="K95" s="29" t="str">
        <f>VLOOKUP(G95,'insumos terrapl'!$C$3:$K$47,5,0)</f>
        <v>06</v>
      </c>
      <c r="L95" s="29" t="str">
        <f>VLOOKUP(G95,'insumos terrapl'!$C$3:$K$47,6,0)</f>
        <v>00</v>
      </c>
      <c r="M95" s="29" t="str">
        <f>VLOOKUP(G95,'insumos terrapl'!$C$3:$K$47,7,0)</f>
        <v>00</v>
      </c>
      <c r="N95" s="29" t="str">
        <f>VLOOKUP(G95,'insumos terrapl'!$C$3:$K$47,8,0)</f>
        <v>00</v>
      </c>
      <c r="O95" s="97" t="str">
        <f>VLOOKUP(G95,'insumos terrapl'!$C$3:$K$47,9,0)</f>
        <v>00</v>
      </c>
    </row>
    <row r="96" spans="1:15" s="4" customFormat="1">
      <c r="A96" s="134"/>
      <c r="B96" s="127"/>
      <c r="C96" s="125"/>
      <c r="D96" s="115"/>
      <c r="E96" s="115"/>
      <c r="F96" s="11" t="s">
        <v>617</v>
      </c>
      <c r="G96" s="20" t="s">
        <v>618</v>
      </c>
      <c r="H96" s="29" t="str">
        <f>VLOOKUP(G96,'insumos terrapl'!$C$3:$K$47,2,0)</f>
        <v>2Q  58  06  02  28  00  00</v>
      </c>
      <c r="I96" s="29" t="str">
        <f>VLOOKUP(G96,'insumos terrapl'!$C$3:$K$47,3,0)</f>
        <v>2Q</v>
      </c>
      <c r="J96" s="29">
        <f>VLOOKUP(G96,'insumos terrapl'!$C$3:$K$47,4,0)</f>
        <v>58</v>
      </c>
      <c r="K96" s="29" t="str">
        <f>VLOOKUP(G96,'insumos terrapl'!$C$3:$K$47,5,0)</f>
        <v>06</v>
      </c>
      <c r="L96" s="29" t="str">
        <f>VLOOKUP(G96,'insumos terrapl'!$C$3:$K$47,6,0)</f>
        <v>02</v>
      </c>
      <c r="M96" s="29" t="str">
        <f>VLOOKUP(G96,'insumos terrapl'!$C$3:$K$47,7,0)</f>
        <v>28</v>
      </c>
      <c r="N96" s="29" t="str">
        <f>VLOOKUP(G96,'insumos terrapl'!$C$3:$K$47,8,0)</f>
        <v>00</v>
      </c>
      <c r="O96" s="97" t="str">
        <f>VLOOKUP(G96,'insumos terrapl'!$C$3:$K$47,9,0)</f>
        <v>00</v>
      </c>
    </row>
    <row r="97" spans="1:15" s="4" customFormat="1" ht="30">
      <c r="A97" s="134"/>
      <c r="B97" s="127"/>
      <c r="C97" s="125"/>
      <c r="D97" s="115"/>
      <c r="E97" s="115"/>
      <c r="F97" s="11" t="s">
        <v>637</v>
      </c>
      <c r="G97" s="20" t="s">
        <v>638</v>
      </c>
      <c r="H97" s="29" t="str">
        <f>VLOOKUP(G97,'insumos terrapl'!$C$3:$K$47,2,0)</f>
        <v>2N  58  06  00  00  00  00</v>
      </c>
      <c r="I97" s="29" t="str">
        <f>VLOOKUP(G97,'insumos terrapl'!$C$3:$K$47,3,0)</f>
        <v>2N</v>
      </c>
      <c r="J97" s="29">
        <f>VLOOKUP(G97,'insumos terrapl'!$C$3:$K$47,4,0)</f>
        <v>58</v>
      </c>
      <c r="K97" s="29" t="str">
        <f>VLOOKUP(G97,'insumos terrapl'!$C$3:$K$47,5,0)</f>
        <v>06</v>
      </c>
      <c r="L97" s="29" t="str">
        <f>VLOOKUP(G97,'insumos terrapl'!$C$3:$K$47,6,0)</f>
        <v>00</v>
      </c>
      <c r="M97" s="29" t="str">
        <f>VLOOKUP(G97,'insumos terrapl'!$C$3:$K$47,7,0)</f>
        <v>00</v>
      </c>
      <c r="N97" s="29" t="str">
        <f>VLOOKUP(G97,'insumos terrapl'!$C$3:$K$47,8,0)</f>
        <v>00</v>
      </c>
      <c r="O97" s="97" t="str">
        <f>VLOOKUP(G97,'insumos terrapl'!$C$3:$K$47,9,0)</f>
        <v>00</v>
      </c>
    </row>
    <row r="98" spans="1:15" s="4" customFormat="1" ht="30">
      <c r="A98" s="134"/>
      <c r="B98" s="127"/>
      <c r="C98" s="125"/>
      <c r="D98" s="115"/>
      <c r="E98" s="115"/>
      <c r="F98" s="11" t="s">
        <v>639</v>
      </c>
      <c r="G98" s="20" t="s">
        <v>640</v>
      </c>
      <c r="H98" s="29" t="str">
        <f>VLOOKUP(G98,'insumos terrapl'!$C$3:$K$47,2,0)</f>
        <v>2N  58  06  00  00  00  00</v>
      </c>
      <c r="I98" s="29" t="str">
        <f>VLOOKUP(G98,'insumos terrapl'!$C$3:$K$47,3,0)</f>
        <v>2N</v>
      </c>
      <c r="J98" s="29">
        <f>VLOOKUP(G98,'insumos terrapl'!$C$3:$K$47,4,0)</f>
        <v>58</v>
      </c>
      <c r="K98" s="29" t="str">
        <f>VLOOKUP(G98,'insumos terrapl'!$C$3:$K$47,5,0)</f>
        <v>06</v>
      </c>
      <c r="L98" s="29" t="str">
        <f>VLOOKUP(G98,'insumos terrapl'!$C$3:$K$47,6,0)</f>
        <v>00</v>
      </c>
      <c r="M98" s="29" t="str">
        <f>VLOOKUP(G98,'insumos terrapl'!$C$3:$K$47,7,0)</f>
        <v>00</v>
      </c>
      <c r="N98" s="29" t="str">
        <f>VLOOKUP(G98,'insumos terrapl'!$C$3:$K$47,8,0)</f>
        <v>00</v>
      </c>
      <c r="O98" s="97" t="str">
        <f>VLOOKUP(G98,'insumos terrapl'!$C$3:$K$47,9,0)</f>
        <v>00</v>
      </c>
    </row>
    <row r="99" spans="1:15" s="4" customFormat="1">
      <c r="A99" s="134"/>
      <c r="B99" s="127"/>
      <c r="C99" s="125"/>
      <c r="D99" s="115"/>
      <c r="E99" s="115"/>
      <c r="F99" s="11" t="s">
        <v>641</v>
      </c>
      <c r="G99" s="20" t="s">
        <v>642</v>
      </c>
      <c r="H99" s="29" t="str">
        <f>VLOOKUP(G99,'insumos terrapl'!$C$3:$K$47,2,0)</f>
        <v>2N  58  06  00  00  00  00</v>
      </c>
      <c r="I99" s="29" t="str">
        <f>VLOOKUP(G99,'insumos terrapl'!$C$3:$K$47,3,0)</f>
        <v>2N</v>
      </c>
      <c r="J99" s="29">
        <f>VLOOKUP(G99,'insumos terrapl'!$C$3:$K$47,4,0)</f>
        <v>58</v>
      </c>
      <c r="K99" s="29" t="str">
        <f>VLOOKUP(G99,'insumos terrapl'!$C$3:$K$47,5,0)</f>
        <v>06</v>
      </c>
      <c r="L99" s="29" t="str">
        <f>VLOOKUP(G99,'insumos terrapl'!$C$3:$K$47,6,0)</f>
        <v>00</v>
      </c>
      <c r="M99" s="29" t="str">
        <f>VLOOKUP(G99,'insumos terrapl'!$C$3:$K$47,7,0)</f>
        <v>00</v>
      </c>
      <c r="N99" s="29" t="str">
        <f>VLOOKUP(G99,'insumos terrapl'!$C$3:$K$47,8,0)</f>
        <v>00</v>
      </c>
      <c r="O99" s="97" t="str">
        <f>VLOOKUP(G99,'insumos terrapl'!$C$3:$K$47,9,0)</f>
        <v>00</v>
      </c>
    </row>
    <row r="100" spans="1:15" s="4" customFormat="1">
      <c r="A100" s="134"/>
      <c r="B100" s="127"/>
      <c r="C100" s="125"/>
      <c r="D100" s="115"/>
      <c r="E100" s="115"/>
      <c r="F100" s="11" t="s">
        <v>619</v>
      </c>
      <c r="G100" s="20" t="s">
        <v>620</v>
      </c>
      <c r="H100" s="29"/>
      <c r="I100" s="29"/>
      <c r="J100" s="29"/>
      <c r="K100" s="29"/>
      <c r="L100" s="29"/>
      <c r="M100" s="29"/>
      <c r="N100" s="29"/>
      <c r="O100" s="97"/>
    </row>
    <row r="101" spans="1:15" s="4" customFormat="1">
      <c r="A101" s="134"/>
      <c r="B101" s="127"/>
      <c r="C101" s="125"/>
      <c r="D101" s="115"/>
      <c r="E101" s="115"/>
      <c r="F101" s="11" t="s">
        <v>643</v>
      </c>
      <c r="G101" s="20" t="s">
        <v>644</v>
      </c>
      <c r="H101" s="29" t="str">
        <f>VLOOKUP(G101,'insumos terrapl'!$C$3:$K$47,2,0)</f>
        <v>2N  58  06  00  00  00  00</v>
      </c>
      <c r="I101" s="29" t="str">
        <f>VLOOKUP(G101,'insumos terrapl'!$C$3:$K$47,3,0)</f>
        <v>2N</v>
      </c>
      <c r="J101" s="29">
        <f>VLOOKUP(G101,'insumos terrapl'!$C$3:$K$47,4,0)</f>
        <v>58</v>
      </c>
      <c r="K101" s="29" t="str">
        <f>VLOOKUP(G101,'insumos terrapl'!$C$3:$K$47,5,0)</f>
        <v>06</v>
      </c>
      <c r="L101" s="29" t="str">
        <f>VLOOKUP(G101,'insumos terrapl'!$C$3:$K$47,6,0)</f>
        <v>00</v>
      </c>
      <c r="M101" s="29" t="str">
        <f>VLOOKUP(G101,'insumos terrapl'!$C$3:$K$47,7,0)</f>
        <v>00</v>
      </c>
      <c r="N101" s="29" t="str">
        <f>VLOOKUP(G101,'insumos terrapl'!$C$3:$K$47,8,0)</f>
        <v>00</v>
      </c>
      <c r="O101" s="97" t="str">
        <f>VLOOKUP(G101,'insumos terrapl'!$C$3:$K$47,9,0)</f>
        <v>00</v>
      </c>
    </row>
    <row r="102" spans="1:15" s="4" customFormat="1">
      <c r="A102" s="134"/>
      <c r="B102" s="127"/>
      <c r="C102" s="125"/>
      <c r="D102" s="115"/>
      <c r="E102" s="115"/>
      <c r="F102" s="11" t="s">
        <v>645</v>
      </c>
      <c r="G102" s="20" t="s">
        <v>646</v>
      </c>
      <c r="H102" s="29" t="str">
        <f>VLOOKUP(G102,'insumos terrapl'!$C$3:$K$47,2,0)</f>
        <v>2N  58  06  00  00  00  00</v>
      </c>
      <c r="I102" s="29" t="str">
        <f>VLOOKUP(G102,'insumos terrapl'!$C$3:$K$47,3,0)</f>
        <v>2N</v>
      </c>
      <c r="J102" s="29">
        <f>VLOOKUP(G102,'insumos terrapl'!$C$3:$K$47,4,0)</f>
        <v>58</v>
      </c>
      <c r="K102" s="29" t="str">
        <f>VLOOKUP(G102,'insumos terrapl'!$C$3:$K$47,5,0)</f>
        <v>06</v>
      </c>
      <c r="L102" s="29" t="str">
        <f>VLOOKUP(G102,'insumos terrapl'!$C$3:$K$47,6,0)</f>
        <v>00</v>
      </c>
      <c r="M102" s="29" t="str">
        <f>VLOOKUP(G102,'insumos terrapl'!$C$3:$K$47,7,0)</f>
        <v>00</v>
      </c>
      <c r="N102" s="29" t="str">
        <f>VLOOKUP(G102,'insumos terrapl'!$C$3:$K$47,8,0)</f>
        <v>00</v>
      </c>
      <c r="O102" s="97" t="str">
        <f>VLOOKUP(G102,'insumos terrapl'!$C$3:$K$47,9,0)</f>
        <v>00</v>
      </c>
    </row>
    <row r="103" spans="1:15" s="4" customFormat="1" ht="30">
      <c r="A103" s="134"/>
      <c r="B103" s="127"/>
      <c r="C103" s="125"/>
      <c r="D103" s="115"/>
      <c r="E103" s="115"/>
      <c r="F103" s="11" t="s">
        <v>647</v>
      </c>
      <c r="G103" s="20" t="s">
        <v>648</v>
      </c>
      <c r="H103" s="29" t="str">
        <f>VLOOKUP(G103,'insumos terrapl'!$C$3:$K$47,2,0)</f>
        <v>2N  58  06  00  00  00  00</v>
      </c>
      <c r="I103" s="29" t="str">
        <f>VLOOKUP(G103,'insumos terrapl'!$C$3:$K$47,3,0)</f>
        <v>2N</v>
      </c>
      <c r="J103" s="29">
        <f>VLOOKUP(G103,'insumos terrapl'!$C$3:$K$47,4,0)</f>
        <v>58</v>
      </c>
      <c r="K103" s="29" t="str">
        <f>VLOOKUP(G103,'insumos terrapl'!$C$3:$K$47,5,0)</f>
        <v>06</v>
      </c>
      <c r="L103" s="29" t="str">
        <f>VLOOKUP(G103,'insumos terrapl'!$C$3:$K$47,6,0)</f>
        <v>00</v>
      </c>
      <c r="M103" s="29" t="str">
        <f>VLOOKUP(G103,'insumos terrapl'!$C$3:$K$47,7,0)</f>
        <v>00</v>
      </c>
      <c r="N103" s="29" t="str">
        <f>VLOOKUP(G103,'insumos terrapl'!$C$3:$K$47,8,0)</f>
        <v>00</v>
      </c>
      <c r="O103" s="97" t="str">
        <f>VLOOKUP(G103,'insumos terrapl'!$C$3:$K$47,9,0)</f>
        <v>00</v>
      </c>
    </row>
    <row r="104" spans="1:15" s="4" customFormat="1">
      <c r="A104" s="134"/>
      <c r="B104" s="127"/>
      <c r="C104" s="125"/>
      <c r="D104" s="115"/>
      <c r="E104" s="115"/>
      <c r="F104" s="11" t="s">
        <v>621</v>
      </c>
      <c r="G104" s="20" t="s">
        <v>622</v>
      </c>
      <c r="H104" s="29" t="str">
        <f>VLOOKUP(G104,'insumos terrapl'!$C$3:$K$47,2,0)</f>
        <v>2N  58  06  00  00  00  00</v>
      </c>
      <c r="I104" s="29" t="str">
        <f>VLOOKUP(G104,'insumos terrapl'!$C$3:$K$47,3,0)</f>
        <v>2N</v>
      </c>
      <c r="J104" s="29">
        <f>VLOOKUP(G104,'insumos terrapl'!$C$3:$K$47,4,0)</f>
        <v>58</v>
      </c>
      <c r="K104" s="29" t="str">
        <f>VLOOKUP(G104,'insumos terrapl'!$C$3:$K$47,5,0)</f>
        <v>06</v>
      </c>
      <c r="L104" s="29" t="str">
        <f>VLOOKUP(G104,'insumos terrapl'!$C$3:$K$47,6,0)</f>
        <v>00</v>
      </c>
      <c r="M104" s="29" t="str">
        <f>VLOOKUP(G104,'insumos terrapl'!$C$3:$K$47,7,0)</f>
        <v>00</v>
      </c>
      <c r="N104" s="29" t="str">
        <f>VLOOKUP(G104,'insumos terrapl'!$C$3:$K$47,8,0)</f>
        <v>00</v>
      </c>
      <c r="O104" s="97" t="str">
        <f>VLOOKUP(G104,'insumos terrapl'!$C$3:$K$47,9,0)</f>
        <v>00</v>
      </c>
    </row>
    <row r="105" spans="1:15" s="4" customFormat="1">
      <c r="A105" s="135"/>
      <c r="B105" s="131"/>
      <c r="C105" s="132"/>
      <c r="D105" s="116"/>
      <c r="E105" s="116"/>
      <c r="F105" s="13"/>
      <c r="G105" s="21"/>
      <c r="H105" s="31"/>
      <c r="I105" s="31"/>
      <c r="J105" s="31"/>
      <c r="K105" s="31"/>
      <c r="L105" s="31"/>
      <c r="M105" s="31"/>
      <c r="N105" s="31"/>
      <c r="O105" s="98"/>
    </row>
    <row r="106" spans="1:15" s="4" customFormat="1">
      <c r="A106" s="139" t="s">
        <v>41</v>
      </c>
      <c r="B106" s="118" t="s">
        <v>10</v>
      </c>
      <c r="C106" s="119" t="s">
        <v>320</v>
      </c>
      <c r="D106" s="120" t="str">
        <f>A106</f>
        <v>2.5.5</v>
      </c>
      <c r="E106" s="115" t="s">
        <v>10</v>
      </c>
      <c r="F106" s="11" t="s">
        <v>320</v>
      </c>
      <c r="G106" s="20"/>
      <c r="H106" s="29"/>
      <c r="I106" s="29"/>
      <c r="J106" s="29"/>
      <c r="K106" s="29"/>
      <c r="L106" s="29"/>
      <c r="M106" s="29"/>
      <c r="N106" s="29"/>
      <c r="O106" s="97"/>
    </row>
    <row r="107" spans="1:15" s="4" customFormat="1" ht="30">
      <c r="A107" s="139"/>
      <c r="B107" s="118"/>
      <c r="C107" s="119"/>
      <c r="D107" s="120"/>
      <c r="E107" s="115"/>
      <c r="F107" s="11" t="s">
        <v>623</v>
      </c>
      <c r="G107" s="20" t="s">
        <v>624</v>
      </c>
      <c r="H107" s="29" t="str">
        <f>VLOOKUP(G107,'insumos terrapl'!$C$3:$K$47,2,0)</f>
        <v>2Q  42  06  18  02  02  00</v>
      </c>
      <c r="I107" s="29" t="str">
        <f>VLOOKUP(G107,'insumos terrapl'!$C$3:$K$47,3,0)</f>
        <v>2Q</v>
      </c>
      <c r="J107" s="29">
        <f>VLOOKUP(G107,'insumos terrapl'!$C$3:$K$47,4,0)</f>
        <v>42</v>
      </c>
      <c r="K107" s="29" t="str">
        <f>VLOOKUP(G107,'insumos terrapl'!$C$3:$K$47,5,0)</f>
        <v>06</v>
      </c>
      <c r="L107" s="29">
        <f>VLOOKUP(G107,'insumos terrapl'!$C$3:$K$47,6,0)</f>
        <v>18</v>
      </c>
      <c r="M107" s="29" t="str">
        <f>VLOOKUP(G107,'insumos terrapl'!$C$3:$K$47,7,0)</f>
        <v>02</v>
      </c>
      <c r="N107" s="29" t="str">
        <f>VLOOKUP(G107,'insumos terrapl'!$C$3:$K$47,8,0)</f>
        <v>02</v>
      </c>
      <c r="O107" s="97" t="str">
        <f>VLOOKUP(G107,'insumos terrapl'!$C$3:$K$47,9,0)</f>
        <v>00</v>
      </c>
    </row>
    <row r="108" spans="1:15" s="4" customFormat="1" ht="45">
      <c r="A108" s="139"/>
      <c r="B108" s="118"/>
      <c r="C108" s="119"/>
      <c r="D108" s="120"/>
      <c r="E108" s="115"/>
      <c r="F108" s="11" t="s">
        <v>609</v>
      </c>
      <c r="G108" s="20" t="s">
        <v>610</v>
      </c>
      <c r="H108" s="29" t="str">
        <f>VLOOKUP(G108,'insumos terrapl'!$C$3:$K$47,2,0)</f>
        <v>2Q  42  06  02  14  02  00</v>
      </c>
      <c r="I108" s="29" t="str">
        <f>VLOOKUP(G108,'insumos terrapl'!$C$3:$K$47,3,0)</f>
        <v>2Q</v>
      </c>
      <c r="J108" s="29">
        <f>VLOOKUP(G108,'insumos terrapl'!$C$3:$K$47,4,0)</f>
        <v>42</v>
      </c>
      <c r="K108" s="29" t="str">
        <f>VLOOKUP(G108,'insumos terrapl'!$C$3:$K$47,5,0)</f>
        <v>06</v>
      </c>
      <c r="L108" s="29" t="str">
        <f>VLOOKUP(G108,'insumos terrapl'!$C$3:$K$47,6,0)</f>
        <v>02</v>
      </c>
      <c r="M108" s="29" t="str">
        <f>VLOOKUP(G108,'insumos terrapl'!$C$3:$K$47,7,0)</f>
        <v>14</v>
      </c>
      <c r="N108" s="29" t="str">
        <f>VLOOKUP(G108,'insumos terrapl'!$C$3:$K$47,8,0)</f>
        <v>02</v>
      </c>
      <c r="O108" s="97" t="str">
        <f>VLOOKUP(G108,'insumos terrapl'!$C$3:$K$47,9,0)</f>
        <v>00</v>
      </c>
    </row>
    <row r="109" spans="1:15" s="4" customFormat="1">
      <c r="A109" s="139"/>
      <c r="B109" s="118"/>
      <c r="C109" s="119"/>
      <c r="D109" s="120"/>
      <c r="E109" s="115"/>
      <c r="F109" s="11" t="s">
        <v>588</v>
      </c>
      <c r="G109" s="20" t="s">
        <v>589</v>
      </c>
      <c r="H109" s="29" t="str">
        <f>VLOOKUP(G109,'insumos terrapl'!$C$3:$K$47,2,0)</f>
        <v>2N  20  14  08  00  00  00</v>
      </c>
      <c r="I109" s="29" t="str">
        <f>VLOOKUP(G109,'insumos terrapl'!$C$3:$K$47,3,0)</f>
        <v>2N</v>
      </c>
      <c r="J109" s="29">
        <f>VLOOKUP(G109,'insumos terrapl'!$C$3:$K$47,4,0)</f>
        <v>20</v>
      </c>
      <c r="K109" s="29">
        <f>VLOOKUP(G109,'insumos terrapl'!$C$3:$K$47,5,0)</f>
        <v>14</v>
      </c>
      <c r="L109" s="29" t="str">
        <f>VLOOKUP(G109,'insumos terrapl'!$C$3:$K$47,6,0)</f>
        <v>08</v>
      </c>
      <c r="M109" s="29" t="str">
        <f>VLOOKUP(G109,'insumos terrapl'!$C$3:$K$47,7,0)</f>
        <v>00</v>
      </c>
      <c r="N109" s="29" t="str">
        <f>VLOOKUP(G109,'insumos terrapl'!$C$3:$K$47,8,0)</f>
        <v>00</v>
      </c>
      <c r="O109" s="97" t="str">
        <f>VLOOKUP(G109,'insumos terrapl'!$C$3:$K$47,9,0)</f>
        <v>00</v>
      </c>
    </row>
    <row r="110" spans="1:15" s="4" customFormat="1" ht="30">
      <c r="A110" s="139"/>
      <c r="B110" s="118"/>
      <c r="C110" s="119"/>
      <c r="D110" s="120"/>
      <c r="E110" s="115"/>
      <c r="F110" s="11" t="s">
        <v>625</v>
      </c>
      <c r="G110" s="20" t="s">
        <v>626</v>
      </c>
      <c r="H110" s="29" t="str">
        <f>VLOOKUP(G110,'insumos terrapl'!$C$3:$K$47,2,0)</f>
        <v>2C  4  02  14  00  00  00</v>
      </c>
      <c r="I110" s="29" t="str">
        <f>VLOOKUP(G110,'insumos terrapl'!$C$3:$K$47,3,0)</f>
        <v>2C</v>
      </c>
      <c r="J110" s="29">
        <f>VLOOKUP(G110,'insumos terrapl'!$C$3:$K$47,4,0)</f>
        <v>4</v>
      </c>
      <c r="K110" s="29" t="str">
        <f>VLOOKUP(G110,'insumos terrapl'!$C$3:$K$47,5,0)</f>
        <v>02</v>
      </c>
      <c r="L110" s="29">
        <f>VLOOKUP(G110,'insumos terrapl'!$C$3:$K$47,6,0)</f>
        <v>14</v>
      </c>
      <c r="M110" s="29" t="str">
        <f>VLOOKUP(G110,'insumos terrapl'!$C$3:$K$47,7,0)</f>
        <v>00</v>
      </c>
      <c r="N110" s="29" t="str">
        <f>VLOOKUP(G110,'insumos terrapl'!$C$3:$K$47,8,0)</f>
        <v>00</v>
      </c>
      <c r="O110" s="97" t="str">
        <f>VLOOKUP(G110,'insumos terrapl'!$C$3:$K$47,9,0)</f>
        <v>00</v>
      </c>
    </row>
    <row r="111" spans="1:15" s="4" customFormat="1" ht="45">
      <c r="A111" s="139"/>
      <c r="B111" s="118"/>
      <c r="C111" s="119"/>
      <c r="D111" s="120"/>
      <c r="E111" s="115"/>
      <c r="F111" s="11" t="s">
        <v>625</v>
      </c>
      <c r="G111" s="20" t="s">
        <v>627</v>
      </c>
      <c r="H111" s="29" t="str">
        <f>VLOOKUP(G111,'insumos terrapl'!$C$3:$K$47,2,0)</f>
        <v>2Q  66  06  02  00  00  00</v>
      </c>
      <c r="I111" s="29" t="str">
        <f>VLOOKUP(G111,'insumos terrapl'!$C$3:$K$47,3,0)</f>
        <v>2Q</v>
      </c>
      <c r="J111" s="29">
        <f>VLOOKUP(G111,'insumos terrapl'!$C$3:$K$47,4,0)</f>
        <v>66</v>
      </c>
      <c r="K111" s="29" t="str">
        <f>VLOOKUP(G111,'insumos terrapl'!$C$3:$K$47,5,0)</f>
        <v>06</v>
      </c>
      <c r="L111" s="29" t="str">
        <f>VLOOKUP(G111,'insumos terrapl'!$C$3:$K$47,6,0)</f>
        <v>02</v>
      </c>
      <c r="M111" s="29" t="str">
        <f>VLOOKUP(G111,'insumos terrapl'!$C$3:$K$47,7,0)</f>
        <v>00</v>
      </c>
      <c r="N111" s="29" t="str">
        <f>VLOOKUP(G111,'insumos terrapl'!$C$3:$K$47,8,0)</f>
        <v>00</v>
      </c>
      <c r="O111" s="97" t="str">
        <f>VLOOKUP(G111,'insumos terrapl'!$C$3:$K$47,9,0)</f>
        <v>00</v>
      </c>
    </row>
    <row r="112" spans="1:15" s="4" customFormat="1">
      <c r="A112" s="139"/>
      <c r="B112" s="118"/>
      <c r="C112" s="119"/>
      <c r="D112" s="120"/>
      <c r="E112" s="115"/>
      <c r="F112" s="11" t="s">
        <v>621</v>
      </c>
      <c r="G112" s="20" t="s">
        <v>622</v>
      </c>
      <c r="H112" s="29" t="str">
        <f>VLOOKUP(G112,'insumos terrapl'!$C$3:$K$47,2,0)</f>
        <v>2N  58  06  00  00  00  00</v>
      </c>
      <c r="I112" s="29" t="str">
        <f>VLOOKUP(G112,'insumos terrapl'!$C$3:$K$47,3,0)</f>
        <v>2N</v>
      </c>
      <c r="J112" s="29">
        <f>VLOOKUP(G112,'insumos terrapl'!$C$3:$K$47,4,0)</f>
        <v>58</v>
      </c>
      <c r="K112" s="29" t="str">
        <f>VLOOKUP(G112,'insumos terrapl'!$C$3:$K$47,5,0)</f>
        <v>06</v>
      </c>
      <c r="L112" s="29" t="str">
        <f>VLOOKUP(G112,'insumos terrapl'!$C$3:$K$47,6,0)</f>
        <v>00</v>
      </c>
      <c r="M112" s="29" t="str">
        <f>VLOOKUP(G112,'insumos terrapl'!$C$3:$K$47,7,0)</f>
        <v>00</v>
      </c>
      <c r="N112" s="29" t="str">
        <f>VLOOKUP(G112,'insumos terrapl'!$C$3:$K$47,8,0)</f>
        <v>00</v>
      </c>
      <c r="O112" s="97" t="str">
        <f>VLOOKUP(G112,'insumos terrapl'!$C$3:$K$47,9,0)</f>
        <v>00</v>
      </c>
    </row>
    <row r="113" spans="1:15" s="4" customFormat="1">
      <c r="A113" s="139"/>
      <c r="B113" s="118"/>
      <c r="C113" s="119"/>
      <c r="D113" s="120"/>
      <c r="E113" s="115"/>
      <c r="F113" s="10"/>
      <c r="G113" s="20"/>
      <c r="H113" s="29"/>
      <c r="I113" s="29"/>
      <c r="J113" s="29"/>
      <c r="K113" s="29"/>
      <c r="L113" s="29"/>
      <c r="M113" s="29"/>
      <c r="N113" s="29"/>
      <c r="O113" s="97"/>
    </row>
    <row r="114" spans="1:15" s="4" customFormat="1">
      <c r="A114" s="139" t="s">
        <v>42</v>
      </c>
      <c r="B114" s="118" t="s">
        <v>11</v>
      </c>
      <c r="C114" s="124" t="s">
        <v>319</v>
      </c>
      <c r="D114" s="114" t="str">
        <f>A114</f>
        <v>2.5.6</v>
      </c>
      <c r="E114" s="114" t="s">
        <v>11</v>
      </c>
      <c r="F114" s="12" t="s">
        <v>319</v>
      </c>
      <c r="G114" s="19"/>
      <c r="H114" s="28"/>
      <c r="I114" s="28"/>
      <c r="J114" s="28"/>
      <c r="K114" s="28"/>
      <c r="L114" s="28"/>
      <c r="M114" s="28"/>
      <c r="N114" s="28"/>
      <c r="O114" s="99"/>
    </row>
    <row r="115" spans="1:15" s="4" customFormat="1" ht="30">
      <c r="A115" s="139"/>
      <c r="B115" s="118"/>
      <c r="C115" s="125"/>
      <c r="D115" s="115"/>
      <c r="E115" s="115"/>
      <c r="F115" s="11" t="s">
        <v>607</v>
      </c>
      <c r="G115" s="20" t="s">
        <v>608</v>
      </c>
      <c r="H115" s="29" t="str">
        <f>VLOOKUP(G115,'insumos terrapl'!$C$3:$K$47,2,0)</f>
        <v>2Q  42  06  18  02  02  00</v>
      </c>
      <c r="I115" s="29" t="str">
        <f>VLOOKUP(G115,'insumos terrapl'!$C$3:$K$47,3,0)</f>
        <v>2Q</v>
      </c>
      <c r="J115" s="29">
        <f>VLOOKUP(G115,'insumos terrapl'!$C$3:$K$47,4,0)</f>
        <v>42</v>
      </c>
      <c r="K115" s="29" t="str">
        <f>VLOOKUP(G115,'insumos terrapl'!$C$3:$K$47,5,0)</f>
        <v>06</v>
      </c>
      <c r="L115" s="29">
        <f>VLOOKUP(G115,'insumos terrapl'!$C$3:$K$47,6,0)</f>
        <v>18</v>
      </c>
      <c r="M115" s="29" t="str">
        <f>VLOOKUP(G115,'insumos terrapl'!$C$3:$K$47,7,0)</f>
        <v>02</v>
      </c>
      <c r="N115" s="29" t="str">
        <f>VLOOKUP(G115,'insumos terrapl'!$C$3:$K$47,8,0)</f>
        <v>02</v>
      </c>
      <c r="O115" s="97" t="str">
        <f>VLOOKUP(G115,'insumos terrapl'!$C$3:$K$47,9,0)</f>
        <v>00</v>
      </c>
    </row>
    <row r="116" spans="1:15" s="4" customFormat="1" ht="45">
      <c r="A116" s="139"/>
      <c r="B116" s="118"/>
      <c r="C116" s="125"/>
      <c r="D116" s="115"/>
      <c r="E116" s="115"/>
      <c r="F116" s="11" t="s">
        <v>609</v>
      </c>
      <c r="G116" s="20" t="s">
        <v>610</v>
      </c>
      <c r="H116" s="29" t="str">
        <f>VLOOKUP(G116,'insumos terrapl'!$C$3:$K$47,2,0)</f>
        <v>2Q  42  06  02  14  02  00</v>
      </c>
      <c r="I116" s="29" t="str">
        <f>VLOOKUP(G116,'insumos terrapl'!$C$3:$K$47,3,0)</f>
        <v>2Q</v>
      </c>
      <c r="J116" s="29">
        <f>VLOOKUP(G116,'insumos terrapl'!$C$3:$K$47,4,0)</f>
        <v>42</v>
      </c>
      <c r="K116" s="29" t="str">
        <f>VLOOKUP(G116,'insumos terrapl'!$C$3:$K$47,5,0)</f>
        <v>06</v>
      </c>
      <c r="L116" s="29" t="str">
        <f>VLOOKUP(G116,'insumos terrapl'!$C$3:$K$47,6,0)</f>
        <v>02</v>
      </c>
      <c r="M116" s="29" t="str">
        <f>VLOOKUP(G116,'insumos terrapl'!$C$3:$K$47,7,0)</f>
        <v>14</v>
      </c>
      <c r="N116" s="29" t="str">
        <f>VLOOKUP(G116,'insumos terrapl'!$C$3:$K$47,8,0)</f>
        <v>02</v>
      </c>
      <c r="O116" s="97" t="str">
        <f>VLOOKUP(G116,'insumos terrapl'!$C$3:$K$47,9,0)</f>
        <v>00</v>
      </c>
    </row>
    <row r="117" spans="1:15" s="4" customFormat="1">
      <c r="A117" s="139"/>
      <c r="B117" s="118"/>
      <c r="C117" s="125"/>
      <c r="D117" s="115"/>
      <c r="E117" s="115"/>
      <c r="F117" s="11" t="s">
        <v>613</v>
      </c>
      <c r="G117" s="20" t="s">
        <v>614</v>
      </c>
      <c r="H117" s="29" t="str">
        <f>VLOOKUP(G117,'insumos terrapl'!$C$3:$K$47,2,0)</f>
        <v>2N  20  14  02  00  00  00</v>
      </c>
      <c r="I117" s="29" t="str">
        <f>VLOOKUP(G117,'insumos terrapl'!$C$3:$K$47,3,0)</f>
        <v>2N</v>
      </c>
      <c r="J117" s="29">
        <f>VLOOKUP(G117,'insumos terrapl'!$C$3:$K$47,4,0)</f>
        <v>20</v>
      </c>
      <c r="K117" s="29" t="str">
        <f>VLOOKUP(G117,'insumos terrapl'!$C$3:$K$47,5,0)</f>
        <v>14</v>
      </c>
      <c r="L117" s="29" t="str">
        <f>VLOOKUP(G117,'insumos terrapl'!$C$3:$K$47,6,0)</f>
        <v>02</v>
      </c>
      <c r="M117" s="29" t="str">
        <f>VLOOKUP(G117,'insumos terrapl'!$C$3:$K$47,7,0)</f>
        <v>00</v>
      </c>
      <c r="N117" s="29" t="str">
        <f>VLOOKUP(G117,'insumos terrapl'!$C$3:$K$47,8,0)</f>
        <v>00</v>
      </c>
      <c r="O117" s="97" t="str">
        <f>VLOOKUP(G117,'insumos terrapl'!$C$3:$K$47,9,0)</f>
        <v>00</v>
      </c>
    </row>
    <row r="118" spans="1:15" s="4" customFormat="1">
      <c r="A118" s="139"/>
      <c r="B118" s="118"/>
      <c r="C118" s="125"/>
      <c r="D118" s="115"/>
      <c r="E118" s="115"/>
      <c r="F118" s="11" t="s">
        <v>615</v>
      </c>
      <c r="G118" s="20" t="s">
        <v>616</v>
      </c>
      <c r="H118" s="29" t="str">
        <f>VLOOKUP(G118,'insumos terrapl'!$C$3:$K$47,2,0)</f>
        <v>2N  20  14  02  00  00  00</v>
      </c>
      <c r="I118" s="29" t="str">
        <f>VLOOKUP(G118,'insumos terrapl'!$C$3:$K$47,3,0)</f>
        <v>2N</v>
      </c>
      <c r="J118" s="29">
        <f>VLOOKUP(G118,'insumos terrapl'!$C$3:$K$47,4,0)</f>
        <v>20</v>
      </c>
      <c r="K118" s="29" t="str">
        <f>VLOOKUP(G118,'insumos terrapl'!$C$3:$K$47,5,0)</f>
        <v>14</v>
      </c>
      <c r="L118" s="29" t="str">
        <f>VLOOKUP(G118,'insumos terrapl'!$C$3:$K$47,6,0)</f>
        <v>02</v>
      </c>
      <c r="M118" s="29" t="str">
        <f>VLOOKUP(G118,'insumos terrapl'!$C$3:$K$47,7,0)</f>
        <v>00</v>
      </c>
      <c r="N118" s="29" t="str">
        <f>VLOOKUP(G118,'insumos terrapl'!$C$3:$K$47,8,0)</f>
        <v>00</v>
      </c>
      <c r="O118" s="97" t="str">
        <f>VLOOKUP(G118,'insumos terrapl'!$C$3:$K$47,9,0)</f>
        <v>00</v>
      </c>
    </row>
    <row r="119" spans="1:15" s="4" customFormat="1">
      <c r="A119" s="139"/>
      <c r="B119" s="118"/>
      <c r="C119" s="125"/>
      <c r="D119" s="115"/>
      <c r="E119" s="115"/>
      <c r="F119" s="11" t="s">
        <v>617</v>
      </c>
      <c r="G119" s="20" t="s">
        <v>618</v>
      </c>
      <c r="H119" s="29" t="str">
        <f>VLOOKUP(G119,'insumos terrapl'!$C$3:$K$47,2,0)</f>
        <v>2Q  58  06  02  28  00  00</v>
      </c>
      <c r="I119" s="29" t="str">
        <f>VLOOKUP(G119,'insumos terrapl'!$C$3:$K$47,3,0)</f>
        <v>2Q</v>
      </c>
      <c r="J119" s="29">
        <f>VLOOKUP(G119,'insumos terrapl'!$C$3:$K$47,4,0)</f>
        <v>58</v>
      </c>
      <c r="K119" s="29" t="str">
        <f>VLOOKUP(G119,'insumos terrapl'!$C$3:$K$47,5,0)</f>
        <v>06</v>
      </c>
      <c r="L119" s="29" t="str">
        <f>VLOOKUP(G119,'insumos terrapl'!$C$3:$K$47,6,0)</f>
        <v>02</v>
      </c>
      <c r="M119" s="29" t="str">
        <f>VLOOKUP(G119,'insumos terrapl'!$C$3:$K$47,7,0)</f>
        <v>28</v>
      </c>
      <c r="N119" s="29" t="str">
        <f>VLOOKUP(G119,'insumos terrapl'!$C$3:$K$47,8,0)</f>
        <v>00</v>
      </c>
      <c r="O119" s="97" t="str">
        <f>VLOOKUP(G119,'insumos terrapl'!$C$3:$K$47,9,0)</f>
        <v>00</v>
      </c>
    </row>
    <row r="120" spans="1:15" s="4" customFormat="1">
      <c r="A120" s="139"/>
      <c r="B120" s="118"/>
      <c r="C120" s="125"/>
      <c r="D120" s="115"/>
      <c r="E120" s="115"/>
      <c r="F120" s="11" t="s">
        <v>619</v>
      </c>
      <c r="G120" s="20" t="s">
        <v>620</v>
      </c>
      <c r="H120" s="29"/>
      <c r="I120" s="29"/>
      <c r="J120" s="29"/>
      <c r="K120" s="29"/>
      <c r="L120" s="29"/>
      <c r="M120" s="29"/>
      <c r="N120" s="29"/>
      <c r="O120" s="97"/>
    </row>
    <row r="121" spans="1:15" s="4" customFormat="1">
      <c r="A121" s="139"/>
      <c r="B121" s="118"/>
      <c r="C121" s="125"/>
      <c r="D121" s="115"/>
      <c r="E121" s="115"/>
      <c r="F121" s="11" t="s">
        <v>621</v>
      </c>
      <c r="G121" s="20" t="s">
        <v>622</v>
      </c>
      <c r="H121" s="29" t="str">
        <f>VLOOKUP(G121,'insumos terrapl'!$C$3:$K$47,2,0)</f>
        <v>2N  58  06  00  00  00  00</v>
      </c>
      <c r="I121" s="29" t="str">
        <f>VLOOKUP(G121,'insumos terrapl'!$C$3:$K$47,3,0)</f>
        <v>2N</v>
      </c>
      <c r="J121" s="29">
        <f>VLOOKUP(G121,'insumos terrapl'!$C$3:$K$47,4,0)</f>
        <v>58</v>
      </c>
      <c r="K121" s="29" t="str">
        <f>VLOOKUP(G121,'insumos terrapl'!$C$3:$K$47,5,0)</f>
        <v>06</v>
      </c>
      <c r="L121" s="29" t="str">
        <f>VLOOKUP(G121,'insumos terrapl'!$C$3:$K$47,6,0)</f>
        <v>00</v>
      </c>
      <c r="M121" s="29" t="str">
        <f>VLOOKUP(G121,'insumos terrapl'!$C$3:$K$47,7,0)</f>
        <v>00</v>
      </c>
      <c r="N121" s="29" t="str">
        <f>VLOOKUP(G121,'insumos terrapl'!$C$3:$K$47,8,0)</f>
        <v>00</v>
      </c>
      <c r="O121" s="97" t="str">
        <f>VLOOKUP(G121,'insumos terrapl'!$C$3:$K$47,9,0)</f>
        <v>00</v>
      </c>
    </row>
    <row r="122" spans="1:15" s="4" customFormat="1">
      <c r="A122" s="139"/>
      <c r="B122" s="118"/>
      <c r="C122" s="132"/>
      <c r="D122" s="116"/>
      <c r="E122" s="116"/>
      <c r="F122" s="13"/>
      <c r="G122" s="21"/>
      <c r="H122" s="31"/>
      <c r="I122" s="31"/>
      <c r="J122" s="31"/>
      <c r="K122" s="31"/>
      <c r="L122" s="31"/>
      <c r="M122" s="31"/>
      <c r="N122" s="31"/>
      <c r="O122" s="98"/>
    </row>
    <row r="123" spans="1:15" s="4" customFormat="1">
      <c r="A123" s="133" t="s">
        <v>43</v>
      </c>
      <c r="B123" s="126" t="s">
        <v>12</v>
      </c>
      <c r="C123" s="124" t="s">
        <v>581</v>
      </c>
      <c r="D123" s="114" t="str">
        <f>A123</f>
        <v>2.5.7</v>
      </c>
      <c r="E123" s="114" t="s">
        <v>12</v>
      </c>
      <c r="F123" s="12" t="s">
        <v>581</v>
      </c>
      <c r="G123" s="19"/>
      <c r="H123" s="28"/>
      <c r="I123" s="28"/>
      <c r="J123" s="28"/>
      <c r="K123" s="28"/>
      <c r="L123" s="28"/>
      <c r="M123" s="28"/>
      <c r="N123" s="28"/>
      <c r="O123" s="99"/>
    </row>
    <row r="124" spans="1:15" s="4" customFormat="1">
      <c r="A124" s="134"/>
      <c r="B124" s="127"/>
      <c r="C124" s="125"/>
      <c r="D124" s="115"/>
      <c r="E124" s="115"/>
      <c r="F124" s="11" t="s">
        <v>633</v>
      </c>
      <c r="G124" s="20" t="s">
        <v>634</v>
      </c>
      <c r="H124" s="29" t="str">
        <f>VLOOKUP(G124,'insumos terrapl'!$C$3:$K$47,2,0)</f>
        <v>2Q  58  10  10  02  06  00</v>
      </c>
      <c r="I124" s="29" t="str">
        <f>VLOOKUP(G124,'insumos terrapl'!$C$3:$K$47,3,0)</f>
        <v>2Q</v>
      </c>
      <c r="J124" s="29">
        <f>VLOOKUP(G124,'insumos terrapl'!$C$3:$K$47,4,0)</f>
        <v>58</v>
      </c>
      <c r="K124" s="29" t="str">
        <f>VLOOKUP(G124,'insumos terrapl'!$C$3:$K$47,5,0)</f>
        <v>10</v>
      </c>
      <c r="L124" s="29" t="str">
        <f>VLOOKUP(G124,'insumos terrapl'!$C$3:$K$47,6,0)</f>
        <v>10</v>
      </c>
      <c r="M124" s="29" t="str">
        <f>VLOOKUP(G124,'insumos terrapl'!$C$3:$K$47,7,0)</f>
        <v>02</v>
      </c>
      <c r="N124" s="29" t="str">
        <f>VLOOKUP(G124,'insumos terrapl'!$C$3:$K$47,8,0)</f>
        <v>06</v>
      </c>
      <c r="O124" s="97" t="str">
        <f>VLOOKUP(G124,'insumos terrapl'!$C$3:$K$47,9,0)</f>
        <v>00</v>
      </c>
    </row>
    <row r="125" spans="1:15" s="4" customFormat="1">
      <c r="A125" s="134"/>
      <c r="B125" s="127"/>
      <c r="C125" s="125"/>
      <c r="D125" s="115"/>
      <c r="E125" s="115"/>
      <c r="F125" s="11" t="s">
        <v>613</v>
      </c>
      <c r="G125" s="20" t="s">
        <v>614</v>
      </c>
      <c r="H125" s="29" t="str">
        <f>VLOOKUP(G125,'insumos terrapl'!$C$3:$K$47,2,0)</f>
        <v>2N  20  14  02  00  00  00</v>
      </c>
      <c r="I125" s="29" t="str">
        <f>VLOOKUP(G125,'insumos terrapl'!$C$3:$K$47,3,0)</f>
        <v>2N</v>
      </c>
      <c r="J125" s="29">
        <f>VLOOKUP(G125,'insumos terrapl'!$C$3:$K$47,4,0)</f>
        <v>20</v>
      </c>
      <c r="K125" s="29" t="str">
        <f>VLOOKUP(G125,'insumos terrapl'!$C$3:$K$47,5,0)</f>
        <v>14</v>
      </c>
      <c r="L125" s="29" t="str">
        <f>VLOOKUP(G125,'insumos terrapl'!$C$3:$K$47,6,0)</f>
        <v>02</v>
      </c>
      <c r="M125" s="29" t="str">
        <f>VLOOKUP(G125,'insumos terrapl'!$C$3:$K$47,7,0)</f>
        <v>00</v>
      </c>
      <c r="N125" s="29" t="str">
        <f>VLOOKUP(G125,'insumos terrapl'!$C$3:$K$47,8,0)</f>
        <v>00</v>
      </c>
      <c r="O125" s="97" t="str">
        <f>VLOOKUP(G125,'insumos terrapl'!$C$3:$K$47,9,0)</f>
        <v>00</v>
      </c>
    </row>
    <row r="126" spans="1:15" s="4" customFormat="1">
      <c r="A126" s="134"/>
      <c r="B126" s="127"/>
      <c r="C126" s="125"/>
      <c r="D126" s="115"/>
      <c r="E126" s="115"/>
      <c r="F126" s="11" t="s">
        <v>615</v>
      </c>
      <c r="G126" s="20" t="s">
        <v>616</v>
      </c>
      <c r="H126" s="29" t="str">
        <f>VLOOKUP(G126,'insumos terrapl'!$C$3:$K$47,2,0)</f>
        <v>2N  20  14  02  00  00  00</v>
      </c>
      <c r="I126" s="29" t="str">
        <f>VLOOKUP(G126,'insumos terrapl'!$C$3:$K$47,3,0)</f>
        <v>2N</v>
      </c>
      <c r="J126" s="29">
        <f>VLOOKUP(G126,'insumos terrapl'!$C$3:$K$47,4,0)</f>
        <v>20</v>
      </c>
      <c r="K126" s="29" t="str">
        <f>VLOOKUP(G126,'insumos terrapl'!$C$3:$K$47,5,0)</f>
        <v>14</v>
      </c>
      <c r="L126" s="29" t="str">
        <f>VLOOKUP(G126,'insumos terrapl'!$C$3:$K$47,6,0)</f>
        <v>02</v>
      </c>
      <c r="M126" s="29" t="str">
        <f>VLOOKUP(G126,'insumos terrapl'!$C$3:$K$47,7,0)</f>
        <v>00</v>
      </c>
      <c r="N126" s="29" t="str">
        <f>VLOOKUP(G126,'insumos terrapl'!$C$3:$K$47,8,0)</f>
        <v>00</v>
      </c>
      <c r="O126" s="97" t="str">
        <f>VLOOKUP(G126,'insumos terrapl'!$C$3:$K$47,9,0)</f>
        <v>00</v>
      </c>
    </row>
    <row r="127" spans="1:15" s="4" customFormat="1" ht="30">
      <c r="A127" s="134"/>
      <c r="B127" s="127"/>
      <c r="C127" s="125"/>
      <c r="D127" s="115"/>
      <c r="E127" s="115"/>
      <c r="F127" s="11" t="s">
        <v>635</v>
      </c>
      <c r="G127" s="20" t="s">
        <v>636</v>
      </c>
      <c r="H127" s="29" t="str">
        <f>VLOOKUP(G127,'insumos terrapl'!$C$3:$K$47,2,0)</f>
        <v>2N  58  06  00  00  00  00</v>
      </c>
      <c r="I127" s="29" t="str">
        <f>VLOOKUP(G127,'insumos terrapl'!$C$3:$K$47,3,0)</f>
        <v>2N</v>
      </c>
      <c r="J127" s="29">
        <f>VLOOKUP(G127,'insumos terrapl'!$C$3:$K$47,4,0)</f>
        <v>58</v>
      </c>
      <c r="K127" s="29" t="str">
        <f>VLOOKUP(G127,'insumos terrapl'!$C$3:$K$47,5,0)</f>
        <v>06</v>
      </c>
      <c r="L127" s="29" t="str">
        <f>VLOOKUP(G127,'insumos terrapl'!$C$3:$K$47,6,0)</f>
        <v>00</v>
      </c>
      <c r="M127" s="29" t="str">
        <f>VLOOKUP(G127,'insumos terrapl'!$C$3:$K$47,7,0)</f>
        <v>00</v>
      </c>
      <c r="N127" s="29" t="str">
        <f>VLOOKUP(G127,'insumos terrapl'!$C$3:$K$47,8,0)</f>
        <v>00</v>
      </c>
      <c r="O127" s="97" t="str">
        <f>VLOOKUP(G127,'insumos terrapl'!$C$3:$K$47,9,0)</f>
        <v>00</v>
      </c>
    </row>
    <row r="128" spans="1:15" s="4" customFormat="1">
      <c r="A128" s="134"/>
      <c r="B128" s="127"/>
      <c r="C128" s="125"/>
      <c r="D128" s="115"/>
      <c r="E128" s="115"/>
      <c r="F128" s="11" t="s">
        <v>617</v>
      </c>
      <c r="G128" s="20" t="s">
        <v>618</v>
      </c>
      <c r="H128" s="29" t="str">
        <f>VLOOKUP(G128,'insumos terrapl'!$C$3:$K$47,2,0)</f>
        <v>2Q  58  06  02  28  00  00</v>
      </c>
      <c r="I128" s="29" t="str">
        <f>VLOOKUP(G128,'insumos terrapl'!$C$3:$K$47,3,0)</f>
        <v>2Q</v>
      </c>
      <c r="J128" s="29">
        <f>VLOOKUP(G128,'insumos terrapl'!$C$3:$K$47,4,0)</f>
        <v>58</v>
      </c>
      <c r="K128" s="29" t="str">
        <f>VLOOKUP(G128,'insumos terrapl'!$C$3:$K$47,5,0)</f>
        <v>06</v>
      </c>
      <c r="L128" s="29" t="str">
        <f>VLOOKUP(G128,'insumos terrapl'!$C$3:$K$47,6,0)</f>
        <v>02</v>
      </c>
      <c r="M128" s="29" t="str">
        <f>VLOOKUP(G128,'insumos terrapl'!$C$3:$K$47,7,0)</f>
        <v>28</v>
      </c>
      <c r="N128" s="29" t="str">
        <f>VLOOKUP(G128,'insumos terrapl'!$C$3:$K$47,8,0)</f>
        <v>00</v>
      </c>
      <c r="O128" s="97" t="str">
        <f>VLOOKUP(G128,'insumos terrapl'!$C$3:$K$47,9,0)</f>
        <v>00</v>
      </c>
    </row>
    <row r="129" spans="1:15" s="4" customFormat="1" ht="30">
      <c r="A129" s="134"/>
      <c r="B129" s="127"/>
      <c r="C129" s="125"/>
      <c r="D129" s="115"/>
      <c r="E129" s="115"/>
      <c r="F129" s="11" t="s">
        <v>637</v>
      </c>
      <c r="G129" s="20" t="s">
        <v>638</v>
      </c>
      <c r="H129" s="29" t="str">
        <f>VLOOKUP(G129,'insumos terrapl'!$C$3:$K$47,2,0)</f>
        <v>2N  58  06  00  00  00  00</v>
      </c>
      <c r="I129" s="29" t="str">
        <f>VLOOKUP(G129,'insumos terrapl'!$C$3:$K$47,3,0)</f>
        <v>2N</v>
      </c>
      <c r="J129" s="29">
        <f>VLOOKUP(G129,'insumos terrapl'!$C$3:$K$47,4,0)</f>
        <v>58</v>
      </c>
      <c r="K129" s="29" t="str">
        <f>VLOOKUP(G129,'insumos terrapl'!$C$3:$K$47,5,0)</f>
        <v>06</v>
      </c>
      <c r="L129" s="29" t="str">
        <f>VLOOKUP(G129,'insumos terrapl'!$C$3:$K$47,6,0)</f>
        <v>00</v>
      </c>
      <c r="M129" s="29" t="str">
        <f>VLOOKUP(G129,'insumos terrapl'!$C$3:$K$47,7,0)</f>
        <v>00</v>
      </c>
      <c r="N129" s="29" t="str">
        <f>VLOOKUP(G129,'insumos terrapl'!$C$3:$K$47,8,0)</f>
        <v>00</v>
      </c>
      <c r="O129" s="97" t="str">
        <f>VLOOKUP(G129,'insumos terrapl'!$C$3:$K$47,9,0)</f>
        <v>00</v>
      </c>
    </row>
    <row r="130" spans="1:15" s="4" customFormat="1" ht="30">
      <c r="A130" s="134"/>
      <c r="B130" s="127"/>
      <c r="C130" s="125"/>
      <c r="D130" s="115"/>
      <c r="E130" s="115"/>
      <c r="F130" s="11" t="s">
        <v>639</v>
      </c>
      <c r="G130" s="20" t="s">
        <v>640</v>
      </c>
      <c r="H130" s="29" t="str">
        <f>VLOOKUP(G130,'insumos terrapl'!$C$3:$K$47,2,0)</f>
        <v>2N  58  06  00  00  00  00</v>
      </c>
      <c r="I130" s="29" t="str">
        <f>VLOOKUP(G130,'insumos terrapl'!$C$3:$K$47,3,0)</f>
        <v>2N</v>
      </c>
      <c r="J130" s="29">
        <f>VLOOKUP(G130,'insumos terrapl'!$C$3:$K$47,4,0)</f>
        <v>58</v>
      </c>
      <c r="K130" s="29" t="str">
        <f>VLOOKUP(G130,'insumos terrapl'!$C$3:$K$47,5,0)</f>
        <v>06</v>
      </c>
      <c r="L130" s="29" t="str">
        <f>VLOOKUP(G130,'insumos terrapl'!$C$3:$K$47,6,0)</f>
        <v>00</v>
      </c>
      <c r="M130" s="29" t="str">
        <f>VLOOKUP(G130,'insumos terrapl'!$C$3:$K$47,7,0)</f>
        <v>00</v>
      </c>
      <c r="N130" s="29" t="str">
        <f>VLOOKUP(G130,'insumos terrapl'!$C$3:$K$47,8,0)</f>
        <v>00</v>
      </c>
      <c r="O130" s="97" t="str">
        <f>VLOOKUP(G130,'insumos terrapl'!$C$3:$K$47,9,0)</f>
        <v>00</v>
      </c>
    </row>
    <row r="131" spans="1:15" s="4" customFormat="1">
      <c r="A131" s="134"/>
      <c r="B131" s="127"/>
      <c r="C131" s="125"/>
      <c r="D131" s="115"/>
      <c r="E131" s="115"/>
      <c r="F131" s="11" t="s">
        <v>641</v>
      </c>
      <c r="G131" s="20" t="s">
        <v>642</v>
      </c>
      <c r="H131" s="29" t="str">
        <f>VLOOKUP(G131,'insumos terrapl'!$C$3:$K$47,2,0)</f>
        <v>2N  58  06  00  00  00  00</v>
      </c>
      <c r="I131" s="29" t="str">
        <f>VLOOKUP(G131,'insumos terrapl'!$C$3:$K$47,3,0)</f>
        <v>2N</v>
      </c>
      <c r="J131" s="29">
        <f>VLOOKUP(G131,'insumos terrapl'!$C$3:$K$47,4,0)</f>
        <v>58</v>
      </c>
      <c r="K131" s="29" t="str">
        <f>VLOOKUP(G131,'insumos terrapl'!$C$3:$K$47,5,0)</f>
        <v>06</v>
      </c>
      <c r="L131" s="29" t="str">
        <f>VLOOKUP(G131,'insumos terrapl'!$C$3:$K$47,6,0)</f>
        <v>00</v>
      </c>
      <c r="M131" s="29" t="str">
        <f>VLOOKUP(G131,'insumos terrapl'!$C$3:$K$47,7,0)</f>
        <v>00</v>
      </c>
      <c r="N131" s="29" t="str">
        <f>VLOOKUP(G131,'insumos terrapl'!$C$3:$K$47,8,0)</f>
        <v>00</v>
      </c>
      <c r="O131" s="97" t="str">
        <f>VLOOKUP(G131,'insumos terrapl'!$C$3:$K$47,9,0)</f>
        <v>00</v>
      </c>
    </row>
    <row r="132" spans="1:15" s="4" customFormat="1">
      <c r="A132" s="134"/>
      <c r="B132" s="127"/>
      <c r="C132" s="125"/>
      <c r="D132" s="115"/>
      <c r="E132" s="115"/>
      <c r="F132" s="11" t="s">
        <v>643</v>
      </c>
      <c r="G132" s="20" t="s">
        <v>644</v>
      </c>
      <c r="H132" s="29" t="str">
        <f>VLOOKUP(G132,'insumos terrapl'!$C$3:$K$47,2,0)</f>
        <v>2N  58  06  00  00  00  00</v>
      </c>
      <c r="I132" s="29" t="str">
        <f>VLOOKUP(G132,'insumos terrapl'!$C$3:$K$47,3,0)</f>
        <v>2N</v>
      </c>
      <c r="J132" s="29">
        <f>VLOOKUP(G132,'insumos terrapl'!$C$3:$K$47,4,0)</f>
        <v>58</v>
      </c>
      <c r="K132" s="29" t="str">
        <f>VLOOKUP(G132,'insumos terrapl'!$C$3:$K$47,5,0)</f>
        <v>06</v>
      </c>
      <c r="L132" s="29" t="str">
        <f>VLOOKUP(G132,'insumos terrapl'!$C$3:$K$47,6,0)</f>
        <v>00</v>
      </c>
      <c r="M132" s="29" t="str">
        <f>VLOOKUP(G132,'insumos terrapl'!$C$3:$K$47,7,0)</f>
        <v>00</v>
      </c>
      <c r="N132" s="29" t="str">
        <f>VLOOKUP(G132,'insumos terrapl'!$C$3:$K$47,8,0)</f>
        <v>00</v>
      </c>
      <c r="O132" s="97" t="str">
        <f>VLOOKUP(G132,'insumos terrapl'!$C$3:$K$47,9,0)</f>
        <v>00</v>
      </c>
    </row>
    <row r="133" spans="1:15" s="4" customFormat="1">
      <c r="A133" s="134"/>
      <c r="B133" s="127"/>
      <c r="C133" s="125"/>
      <c r="D133" s="115"/>
      <c r="E133" s="115"/>
      <c r="F133" s="11" t="s">
        <v>645</v>
      </c>
      <c r="G133" s="20" t="s">
        <v>646</v>
      </c>
      <c r="H133" s="29" t="str">
        <f>VLOOKUP(G133,'insumos terrapl'!$C$3:$K$47,2,0)</f>
        <v>2N  58  06  00  00  00  00</v>
      </c>
      <c r="I133" s="29" t="str">
        <f>VLOOKUP(G133,'insumos terrapl'!$C$3:$K$47,3,0)</f>
        <v>2N</v>
      </c>
      <c r="J133" s="29">
        <f>VLOOKUP(G133,'insumos terrapl'!$C$3:$K$47,4,0)</f>
        <v>58</v>
      </c>
      <c r="K133" s="29" t="str">
        <f>VLOOKUP(G133,'insumos terrapl'!$C$3:$K$47,5,0)</f>
        <v>06</v>
      </c>
      <c r="L133" s="29" t="str">
        <f>VLOOKUP(G133,'insumos terrapl'!$C$3:$K$47,6,0)</f>
        <v>00</v>
      </c>
      <c r="M133" s="29" t="str">
        <f>VLOOKUP(G133,'insumos terrapl'!$C$3:$K$47,7,0)</f>
        <v>00</v>
      </c>
      <c r="N133" s="29" t="str">
        <f>VLOOKUP(G133,'insumos terrapl'!$C$3:$K$47,8,0)</f>
        <v>00</v>
      </c>
      <c r="O133" s="97" t="str">
        <f>VLOOKUP(G133,'insumos terrapl'!$C$3:$K$47,9,0)</f>
        <v>00</v>
      </c>
    </row>
    <row r="134" spans="1:15" s="4" customFormat="1" ht="30">
      <c r="A134" s="134"/>
      <c r="B134" s="127"/>
      <c r="C134" s="125"/>
      <c r="D134" s="115"/>
      <c r="E134" s="115"/>
      <c r="F134" s="11" t="s">
        <v>647</v>
      </c>
      <c r="G134" s="20" t="s">
        <v>648</v>
      </c>
      <c r="H134" s="29" t="str">
        <f>VLOOKUP(G134,'insumos terrapl'!$C$3:$K$47,2,0)</f>
        <v>2N  58  06  00  00  00  00</v>
      </c>
      <c r="I134" s="29" t="str">
        <f>VLOOKUP(G134,'insumos terrapl'!$C$3:$K$47,3,0)</f>
        <v>2N</v>
      </c>
      <c r="J134" s="29">
        <f>VLOOKUP(G134,'insumos terrapl'!$C$3:$K$47,4,0)</f>
        <v>58</v>
      </c>
      <c r="K134" s="29" t="str">
        <f>VLOOKUP(G134,'insumos terrapl'!$C$3:$K$47,5,0)</f>
        <v>06</v>
      </c>
      <c r="L134" s="29" t="str">
        <f>VLOOKUP(G134,'insumos terrapl'!$C$3:$K$47,6,0)</f>
        <v>00</v>
      </c>
      <c r="M134" s="29" t="str">
        <f>VLOOKUP(G134,'insumos terrapl'!$C$3:$K$47,7,0)</f>
        <v>00</v>
      </c>
      <c r="N134" s="29" t="str">
        <f>VLOOKUP(G134,'insumos terrapl'!$C$3:$K$47,8,0)</f>
        <v>00</v>
      </c>
      <c r="O134" s="97" t="str">
        <f>VLOOKUP(G134,'insumos terrapl'!$C$3:$K$47,9,0)</f>
        <v>00</v>
      </c>
    </row>
    <row r="135" spans="1:15" s="4" customFormat="1">
      <c r="A135" s="135"/>
      <c r="B135" s="131"/>
      <c r="C135" s="132"/>
      <c r="D135" s="116"/>
      <c r="E135" s="116"/>
      <c r="F135" s="13"/>
      <c r="G135" s="21"/>
      <c r="H135" s="31"/>
      <c r="I135" s="31"/>
      <c r="J135" s="31"/>
      <c r="K135" s="31"/>
      <c r="L135" s="31"/>
      <c r="M135" s="31"/>
      <c r="N135" s="31"/>
      <c r="O135" s="98"/>
    </row>
    <row r="136" spans="1:15" s="4" customFormat="1">
      <c r="A136" s="133" t="s">
        <v>44</v>
      </c>
      <c r="B136" s="126" t="s">
        <v>689</v>
      </c>
      <c r="C136" s="124" t="s">
        <v>318</v>
      </c>
      <c r="D136" s="114" t="str">
        <f>A136</f>
        <v>2.5.8</v>
      </c>
      <c r="E136" s="115" t="s">
        <v>689</v>
      </c>
      <c r="F136" s="11" t="s">
        <v>318</v>
      </c>
      <c r="G136" s="20"/>
      <c r="H136" s="29"/>
      <c r="I136" s="29"/>
      <c r="J136" s="29"/>
      <c r="K136" s="29"/>
      <c r="L136" s="29"/>
      <c r="M136" s="29"/>
      <c r="N136" s="29"/>
      <c r="O136" s="97"/>
    </row>
    <row r="137" spans="1:15" s="4" customFormat="1" ht="30">
      <c r="A137" s="134"/>
      <c r="B137" s="127"/>
      <c r="C137" s="125"/>
      <c r="D137" s="115"/>
      <c r="E137" s="115"/>
      <c r="F137" s="11" t="s">
        <v>607</v>
      </c>
      <c r="G137" s="20" t="s">
        <v>608</v>
      </c>
      <c r="H137" s="29" t="str">
        <f>VLOOKUP(G137,'insumos terrapl'!$C$3:$K$47,2,0)</f>
        <v>2Q  42  06  18  02  02  00</v>
      </c>
      <c r="I137" s="29" t="str">
        <f>VLOOKUP(G137,'insumos terrapl'!$C$3:$K$47,3,0)</f>
        <v>2Q</v>
      </c>
      <c r="J137" s="29">
        <f>VLOOKUP(G137,'insumos terrapl'!$C$3:$K$47,4,0)</f>
        <v>42</v>
      </c>
      <c r="K137" s="29" t="str">
        <f>VLOOKUP(G137,'insumos terrapl'!$C$3:$K$47,5,0)</f>
        <v>06</v>
      </c>
      <c r="L137" s="29">
        <f>VLOOKUP(G137,'insumos terrapl'!$C$3:$K$47,6,0)</f>
        <v>18</v>
      </c>
      <c r="M137" s="29" t="str">
        <f>VLOOKUP(G137,'insumos terrapl'!$C$3:$K$47,7,0)</f>
        <v>02</v>
      </c>
      <c r="N137" s="29" t="str">
        <f>VLOOKUP(G137,'insumos terrapl'!$C$3:$K$47,8,0)</f>
        <v>02</v>
      </c>
      <c r="O137" s="97" t="str">
        <f>VLOOKUP(G137,'insumos terrapl'!$C$3:$K$47,9,0)</f>
        <v>00</v>
      </c>
    </row>
    <row r="138" spans="1:15" s="4" customFormat="1" ht="45">
      <c r="A138" s="134"/>
      <c r="B138" s="127"/>
      <c r="C138" s="125"/>
      <c r="D138" s="115"/>
      <c r="E138" s="115"/>
      <c r="F138" s="11" t="s">
        <v>609</v>
      </c>
      <c r="G138" s="20" t="s">
        <v>610</v>
      </c>
      <c r="H138" s="29" t="str">
        <f>VLOOKUP(G138,'insumos terrapl'!$C$3:$K$47,2,0)</f>
        <v>2Q  42  06  02  14  02  00</v>
      </c>
      <c r="I138" s="29" t="str">
        <f>VLOOKUP(G138,'insumos terrapl'!$C$3:$K$47,3,0)</f>
        <v>2Q</v>
      </c>
      <c r="J138" s="29">
        <f>VLOOKUP(G138,'insumos terrapl'!$C$3:$K$47,4,0)</f>
        <v>42</v>
      </c>
      <c r="K138" s="29" t="str">
        <f>VLOOKUP(G138,'insumos terrapl'!$C$3:$K$47,5,0)</f>
        <v>06</v>
      </c>
      <c r="L138" s="29" t="str">
        <f>VLOOKUP(G138,'insumos terrapl'!$C$3:$K$47,6,0)</f>
        <v>02</v>
      </c>
      <c r="M138" s="29" t="str">
        <f>VLOOKUP(G138,'insumos terrapl'!$C$3:$K$47,7,0)</f>
        <v>14</v>
      </c>
      <c r="N138" s="29" t="str">
        <f>VLOOKUP(G138,'insumos terrapl'!$C$3:$K$47,8,0)</f>
        <v>02</v>
      </c>
      <c r="O138" s="97" t="str">
        <f>VLOOKUP(G138,'insumos terrapl'!$C$3:$K$47,9,0)</f>
        <v>00</v>
      </c>
    </row>
    <row r="139" spans="1:15" s="4" customFormat="1">
      <c r="A139" s="134"/>
      <c r="B139" s="127"/>
      <c r="C139" s="125"/>
      <c r="D139" s="115"/>
      <c r="E139" s="115"/>
      <c r="F139" s="11" t="s">
        <v>588</v>
      </c>
      <c r="G139" s="20" t="s">
        <v>589</v>
      </c>
      <c r="H139" s="29" t="str">
        <f>VLOOKUP(G139,'insumos terrapl'!$C$3:$K$47,2,0)</f>
        <v>2N  20  14  08  00  00  00</v>
      </c>
      <c r="I139" s="29" t="str">
        <f>VLOOKUP(G139,'insumos terrapl'!$C$3:$K$47,3,0)</f>
        <v>2N</v>
      </c>
      <c r="J139" s="29">
        <f>VLOOKUP(G139,'insumos terrapl'!$C$3:$K$47,4,0)</f>
        <v>20</v>
      </c>
      <c r="K139" s="29">
        <f>VLOOKUP(G139,'insumos terrapl'!$C$3:$K$47,5,0)</f>
        <v>14</v>
      </c>
      <c r="L139" s="29" t="str">
        <f>VLOOKUP(G139,'insumos terrapl'!$C$3:$K$47,6,0)</f>
        <v>08</v>
      </c>
      <c r="M139" s="29" t="str">
        <f>VLOOKUP(G139,'insumos terrapl'!$C$3:$K$47,7,0)</f>
        <v>00</v>
      </c>
      <c r="N139" s="29" t="str">
        <f>VLOOKUP(G139,'insumos terrapl'!$C$3:$K$47,8,0)</f>
        <v>00</v>
      </c>
      <c r="O139" s="97" t="str">
        <f>VLOOKUP(G139,'insumos terrapl'!$C$3:$K$47,9,0)</f>
        <v>00</v>
      </c>
    </row>
    <row r="140" spans="1:15" s="4" customFormat="1" ht="30">
      <c r="A140" s="134"/>
      <c r="B140" s="127"/>
      <c r="C140" s="125"/>
      <c r="D140" s="115"/>
      <c r="E140" s="115"/>
      <c r="F140" s="11" t="s">
        <v>611</v>
      </c>
      <c r="G140" s="20" t="s">
        <v>612</v>
      </c>
      <c r="H140" s="29" t="str">
        <f>VLOOKUP(G140,'insumos terrapl'!$C$3:$K$47,2,0)</f>
        <v>2Q  62  50  10  00  00  00</v>
      </c>
      <c r="I140" s="29" t="str">
        <f>VLOOKUP(G140,'insumos terrapl'!$C$3:$K$47,3,0)</f>
        <v>2Q</v>
      </c>
      <c r="J140" s="29">
        <f>VLOOKUP(G140,'insumos terrapl'!$C$3:$K$47,4,0)</f>
        <v>62</v>
      </c>
      <c r="K140" s="29" t="str">
        <f>VLOOKUP(G140,'insumos terrapl'!$C$3:$K$47,5,0)</f>
        <v>50</v>
      </c>
      <c r="L140" s="29" t="str">
        <f>VLOOKUP(G140,'insumos terrapl'!$C$3:$K$47,6,0)</f>
        <v>10</v>
      </c>
      <c r="M140" s="29" t="str">
        <f>VLOOKUP(G140,'insumos terrapl'!$C$3:$K$47,7,0)</f>
        <v>00</v>
      </c>
      <c r="N140" s="29" t="str">
        <f>VLOOKUP(G140,'insumos terrapl'!$C$3:$K$47,8,0)</f>
        <v>00</v>
      </c>
      <c r="O140" s="97" t="str">
        <f>VLOOKUP(G140,'insumos terrapl'!$C$3:$K$47,9,0)</f>
        <v>00</v>
      </c>
    </row>
    <row r="141" spans="1:15" s="4" customFormat="1">
      <c r="A141" s="135"/>
      <c r="B141" s="131"/>
      <c r="C141" s="125"/>
      <c r="D141" s="115"/>
      <c r="E141" s="115"/>
      <c r="F141" s="10"/>
      <c r="G141" s="20"/>
      <c r="H141" s="29"/>
      <c r="I141" s="29"/>
      <c r="J141" s="29"/>
      <c r="K141" s="29"/>
      <c r="L141" s="29"/>
      <c r="M141" s="29"/>
      <c r="N141" s="29"/>
      <c r="O141" s="97"/>
    </row>
    <row r="142" spans="1:15" s="4" customFormat="1">
      <c r="A142" s="133" t="s">
        <v>45</v>
      </c>
      <c r="B142" s="126" t="s">
        <v>690</v>
      </c>
      <c r="C142" s="124" t="s">
        <v>78</v>
      </c>
      <c r="D142" s="114" t="str">
        <f>A142</f>
        <v>2.6.1</v>
      </c>
      <c r="E142" s="114" t="s">
        <v>571</v>
      </c>
      <c r="F142" s="12" t="s">
        <v>78</v>
      </c>
      <c r="G142" s="19"/>
      <c r="H142" s="28"/>
      <c r="I142" s="28"/>
      <c r="J142" s="28"/>
      <c r="K142" s="28"/>
      <c r="L142" s="28"/>
      <c r="M142" s="28"/>
      <c r="N142" s="28"/>
      <c r="O142" s="99"/>
    </row>
    <row r="143" spans="1:15" s="4" customFormat="1">
      <c r="A143" s="134"/>
      <c r="B143" s="127"/>
      <c r="C143" s="125"/>
      <c r="D143" s="115"/>
      <c r="E143" s="115"/>
      <c r="F143" s="11" t="s">
        <v>667</v>
      </c>
      <c r="G143" s="20" t="s">
        <v>668</v>
      </c>
      <c r="H143" s="29" t="str">
        <f>VLOOKUP(G143,'insumos terrapl'!$C$3:$K$47,2,0)</f>
        <v>2Q  62  26  00  00  00  00</v>
      </c>
      <c r="I143" s="29" t="str">
        <f>VLOOKUP(G143,'insumos terrapl'!$C$3:$K$47,3,0)</f>
        <v>2Q</v>
      </c>
      <c r="J143" s="29">
        <f>VLOOKUP(G143,'insumos terrapl'!$C$3:$K$47,4,0)</f>
        <v>62</v>
      </c>
      <c r="K143" s="29" t="str">
        <f>VLOOKUP(G143,'insumos terrapl'!$C$3:$K$47,5,0)</f>
        <v>26</v>
      </c>
      <c r="L143" s="29" t="str">
        <f>VLOOKUP(G143,'insumos terrapl'!$C$3:$K$47,6,0)</f>
        <v>00</v>
      </c>
      <c r="M143" s="29" t="str">
        <f>VLOOKUP(G143,'insumos terrapl'!$C$3:$K$47,7,0)</f>
        <v>00</v>
      </c>
      <c r="N143" s="29" t="str">
        <f>VLOOKUP(G143,'insumos terrapl'!$C$3:$K$47,8,0)</f>
        <v>00</v>
      </c>
      <c r="O143" s="97" t="str">
        <f>VLOOKUP(G143,'insumos terrapl'!$C$3:$K$47,9,0)</f>
        <v>00</v>
      </c>
    </row>
    <row r="144" spans="1:15" s="4" customFormat="1">
      <c r="A144" s="134"/>
      <c r="B144" s="127"/>
      <c r="C144" s="125"/>
      <c r="D144" s="115"/>
      <c r="E144" s="115"/>
      <c r="F144" s="11" t="s">
        <v>605</v>
      </c>
      <c r="G144" s="20" t="s">
        <v>606</v>
      </c>
      <c r="H144" s="29" t="str">
        <f>VLOOKUP(G144,'insumos terrapl'!$C$3:$K$47,2,0)</f>
        <v>2Q  62  30  02  14  00  00</v>
      </c>
      <c r="I144" s="29" t="str">
        <f>VLOOKUP(G144,'insumos terrapl'!$C$3:$K$47,3,0)</f>
        <v>2Q</v>
      </c>
      <c r="J144" s="29">
        <f>VLOOKUP(G144,'insumos terrapl'!$C$3:$K$47,4,0)</f>
        <v>62</v>
      </c>
      <c r="K144" s="29">
        <f>VLOOKUP(G144,'insumos terrapl'!$C$3:$K$47,5,0)</f>
        <v>30</v>
      </c>
      <c r="L144" s="29" t="str">
        <f>VLOOKUP(G144,'insumos terrapl'!$C$3:$K$47,6,0)</f>
        <v>02</v>
      </c>
      <c r="M144" s="29" t="str">
        <f>VLOOKUP(G144,'insumos terrapl'!$C$3:$K$47,7,0)</f>
        <v>14</v>
      </c>
      <c r="N144" s="29" t="str">
        <f>VLOOKUP(G144,'insumos terrapl'!$C$3:$K$47,8,0)</f>
        <v>00</v>
      </c>
      <c r="O144" s="97" t="str">
        <f>VLOOKUP(G144,'insumos terrapl'!$C$3:$K$47,9,0)</f>
        <v>00</v>
      </c>
    </row>
    <row r="145" spans="1:15" s="4" customFormat="1">
      <c r="A145" s="134"/>
      <c r="B145" s="127"/>
      <c r="C145" s="125"/>
      <c r="D145" s="115"/>
      <c r="E145" s="115"/>
      <c r="F145" s="11" t="s">
        <v>588</v>
      </c>
      <c r="G145" s="20" t="s">
        <v>589</v>
      </c>
      <c r="H145" s="29" t="str">
        <f>VLOOKUP(G145,'insumos terrapl'!$C$3:$K$47,2,0)</f>
        <v>2N  20  14  08  00  00  00</v>
      </c>
      <c r="I145" s="29" t="str">
        <f>VLOOKUP(G145,'insumos terrapl'!$C$3:$K$47,3,0)</f>
        <v>2N</v>
      </c>
      <c r="J145" s="29">
        <f>VLOOKUP(G145,'insumos terrapl'!$C$3:$K$47,4,0)</f>
        <v>20</v>
      </c>
      <c r="K145" s="29">
        <f>VLOOKUP(G145,'insumos terrapl'!$C$3:$K$47,5,0)</f>
        <v>14</v>
      </c>
      <c r="L145" s="29" t="str">
        <f>VLOOKUP(G145,'insumos terrapl'!$C$3:$K$47,6,0)</f>
        <v>08</v>
      </c>
      <c r="M145" s="29" t="str">
        <f>VLOOKUP(G145,'insumos terrapl'!$C$3:$K$47,7,0)</f>
        <v>00</v>
      </c>
      <c r="N145" s="29" t="str">
        <f>VLOOKUP(G145,'insumos terrapl'!$C$3:$K$47,8,0)</f>
        <v>00</v>
      </c>
      <c r="O145" s="97" t="str">
        <f>VLOOKUP(G145,'insumos terrapl'!$C$3:$K$47,9,0)</f>
        <v>00</v>
      </c>
    </row>
    <row r="146" spans="1:15" s="4" customFormat="1">
      <c r="A146" s="134"/>
      <c r="B146" s="127"/>
      <c r="C146" s="132"/>
      <c r="D146" s="116"/>
      <c r="E146" s="116"/>
      <c r="F146" s="13"/>
      <c r="G146" s="21"/>
      <c r="H146" s="31"/>
      <c r="I146" s="31"/>
      <c r="J146" s="31"/>
      <c r="K146" s="31"/>
      <c r="L146" s="31"/>
      <c r="M146" s="31"/>
      <c r="N146" s="31"/>
      <c r="O146" s="98"/>
    </row>
    <row r="147" spans="1:15" s="4" customFormat="1">
      <c r="A147" s="134"/>
      <c r="B147" s="127"/>
      <c r="C147" s="124" t="s">
        <v>72</v>
      </c>
      <c r="D147" s="114" t="str">
        <f>A142</f>
        <v>2.6.1</v>
      </c>
      <c r="E147" s="114" t="s">
        <v>572</v>
      </c>
      <c r="F147" s="12" t="s">
        <v>72</v>
      </c>
      <c r="G147" s="19"/>
      <c r="H147" s="28"/>
      <c r="I147" s="28"/>
      <c r="J147" s="28"/>
      <c r="K147" s="28"/>
      <c r="L147" s="28"/>
      <c r="M147" s="28"/>
      <c r="N147" s="28"/>
      <c r="O147" s="99"/>
    </row>
    <row r="148" spans="1:15" s="4" customFormat="1">
      <c r="A148" s="134"/>
      <c r="B148" s="127"/>
      <c r="C148" s="125"/>
      <c r="D148" s="115"/>
      <c r="E148" s="115"/>
      <c r="F148" s="11" t="s">
        <v>667</v>
      </c>
      <c r="G148" s="20" t="s">
        <v>668</v>
      </c>
      <c r="H148" s="29" t="str">
        <f>VLOOKUP(G148,'insumos terrapl'!$C$3:$K$47,2,0)</f>
        <v>2Q  62  26  00  00  00  00</v>
      </c>
      <c r="I148" s="29" t="str">
        <f>VLOOKUP(G148,'insumos terrapl'!$C$3:$K$47,3,0)</f>
        <v>2Q</v>
      </c>
      <c r="J148" s="29">
        <f>VLOOKUP(G148,'insumos terrapl'!$C$3:$K$47,4,0)</f>
        <v>62</v>
      </c>
      <c r="K148" s="29" t="str">
        <f>VLOOKUP(G148,'insumos terrapl'!$C$3:$K$47,5,0)</f>
        <v>26</v>
      </c>
      <c r="L148" s="29" t="str">
        <f>VLOOKUP(G148,'insumos terrapl'!$C$3:$K$47,6,0)</f>
        <v>00</v>
      </c>
      <c r="M148" s="29" t="str">
        <f>VLOOKUP(G148,'insumos terrapl'!$C$3:$K$47,7,0)</f>
        <v>00</v>
      </c>
      <c r="N148" s="29" t="str">
        <f>VLOOKUP(G148,'insumos terrapl'!$C$3:$K$47,8,0)</f>
        <v>00</v>
      </c>
      <c r="O148" s="97" t="str">
        <f>VLOOKUP(G148,'insumos terrapl'!$C$3:$K$47,9,0)</f>
        <v>00</v>
      </c>
    </row>
    <row r="149" spans="1:15" s="4" customFormat="1">
      <c r="A149" s="134"/>
      <c r="B149" s="127"/>
      <c r="C149" s="125"/>
      <c r="D149" s="115"/>
      <c r="E149" s="115"/>
      <c r="F149" s="11" t="s">
        <v>605</v>
      </c>
      <c r="G149" s="20" t="s">
        <v>606</v>
      </c>
      <c r="H149" s="29" t="str">
        <f>VLOOKUP(G149,'insumos terrapl'!$C$3:$K$47,2,0)</f>
        <v>2Q  62  30  02  14  00  00</v>
      </c>
      <c r="I149" s="29" t="str">
        <f>VLOOKUP(G149,'insumos terrapl'!$C$3:$K$47,3,0)</f>
        <v>2Q</v>
      </c>
      <c r="J149" s="29">
        <f>VLOOKUP(G149,'insumos terrapl'!$C$3:$K$47,4,0)</f>
        <v>62</v>
      </c>
      <c r="K149" s="29">
        <f>VLOOKUP(G149,'insumos terrapl'!$C$3:$K$47,5,0)</f>
        <v>30</v>
      </c>
      <c r="L149" s="29" t="str">
        <f>VLOOKUP(G149,'insumos terrapl'!$C$3:$K$47,6,0)</f>
        <v>02</v>
      </c>
      <c r="M149" s="29" t="str">
        <f>VLOOKUP(G149,'insumos terrapl'!$C$3:$K$47,7,0)</f>
        <v>14</v>
      </c>
      <c r="N149" s="29" t="str">
        <f>VLOOKUP(G149,'insumos terrapl'!$C$3:$K$47,8,0)</f>
        <v>00</v>
      </c>
      <c r="O149" s="97" t="str">
        <f>VLOOKUP(G149,'insumos terrapl'!$C$3:$K$47,9,0)</f>
        <v>00</v>
      </c>
    </row>
    <row r="150" spans="1:15" s="4" customFormat="1">
      <c r="A150" s="134"/>
      <c r="B150" s="127"/>
      <c r="C150" s="125"/>
      <c r="D150" s="115"/>
      <c r="E150" s="115"/>
      <c r="F150" s="11" t="s">
        <v>588</v>
      </c>
      <c r="G150" s="20" t="s">
        <v>589</v>
      </c>
      <c r="H150" s="29" t="str">
        <f>VLOOKUP(G150,'insumos terrapl'!$C$3:$K$47,2,0)</f>
        <v>2N  20  14  08  00  00  00</v>
      </c>
      <c r="I150" s="29" t="str">
        <f>VLOOKUP(G150,'insumos terrapl'!$C$3:$K$47,3,0)</f>
        <v>2N</v>
      </c>
      <c r="J150" s="29">
        <f>VLOOKUP(G150,'insumos terrapl'!$C$3:$K$47,4,0)</f>
        <v>20</v>
      </c>
      <c r="K150" s="29">
        <f>VLOOKUP(G150,'insumos terrapl'!$C$3:$K$47,5,0)</f>
        <v>14</v>
      </c>
      <c r="L150" s="29" t="str">
        <f>VLOOKUP(G150,'insumos terrapl'!$C$3:$K$47,6,0)</f>
        <v>08</v>
      </c>
      <c r="M150" s="29" t="str">
        <f>VLOOKUP(G150,'insumos terrapl'!$C$3:$K$47,7,0)</f>
        <v>00</v>
      </c>
      <c r="N150" s="29" t="str">
        <f>VLOOKUP(G150,'insumos terrapl'!$C$3:$K$47,8,0)</f>
        <v>00</v>
      </c>
      <c r="O150" s="97" t="str">
        <f>VLOOKUP(G150,'insumos terrapl'!$C$3:$K$47,9,0)</f>
        <v>00</v>
      </c>
    </row>
    <row r="151" spans="1:15" s="5" customFormat="1">
      <c r="A151" s="134"/>
      <c r="B151" s="127"/>
      <c r="C151" s="132"/>
      <c r="D151" s="116"/>
      <c r="E151" s="116"/>
      <c r="F151" s="13"/>
      <c r="G151" s="21"/>
      <c r="H151" s="31"/>
      <c r="I151" s="31"/>
      <c r="J151" s="31"/>
      <c r="K151" s="31"/>
      <c r="L151" s="31"/>
      <c r="M151" s="31"/>
      <c r="N151" s="31"/>
      <c r="O151" s="98"/>
    </row>
    <row r="152" spans="1:15" s="5" customFormat="1">
      <c r="A152" s="134"/>
      <c r="B152" s="127"/>
      <c r="C152" s="124" t="s">
        <v>73</v>
      </c>
      <c r="D152" s="114" t="str">
        <f>A142</f>
        <v>2.6.1</v>
      </c>
      <c r="E152" s="114" t="s">
        <v>573</v>
      </c>
      <c r="F152" s="12" t="s">
        <v>73</v>
      </c>
      <c r="G152" s="19"/>
      <c r="H152" s="28"/>
      <c r="I152" s="28"/>
      <c r="J152" s="28"/>
      <c r="K152" s="28"/>
      <c r="L152" s="28"/>
      <c r="M152" s="28"/>
      <c r="N152" s="28"/>
      <c r="O152" s="99"/>
    </row>
    <row r="153" spans="1:15" s="5" customFormat="1">
      <c r="A153" s="134"/>
      <c r="B153" s="127"/>
      <c r="C153" s="125"/>
      <c r="D153" s="115"/>
      <c r="E153" s="115"/>
      <c r="F153" s="11" t="s">
        <v>667</v>
      </c>
      <c r="G153" s="20" t="s">
        <v>668</v>
      </c>
      <c r="H153" s="29" t="str">
        <f>VLOOKUP(G153,'insumos terrapl'!$C$3:$K$47,2,0)</f>
        <v>2Q  62  26  00  00  00  00</v>
      </c>
      <c r="I153" s="29" t="str">
        <f>VLOOKUP(G153,'insumos terrapl'!$C$3:$K$47,3,0)</f>
        <v>2Q</v>
      </c>
      <c r="J153" s="29">
        <f>VLOOKUP(G153,'insumos terrapl'!$C$3:$K$47,4,0)</f>
        <v>62</v>
      </c>
      <c r="K153" s="29" t="str">
        <f>VLOOKUP(G153,'insumos terrapl'!$C$3:$K$47,5,0)</f>
        <v>26</v>
      </c>
      <c r="L153" s="29" t="str">
        <f>VLOOKUP(G153,'insumos terrapl'!$C$3:$K$47,6,0)</f>
        <v>00</v>
      </c>
      <c r="M153" s="29" t="str">
        <f>VLOOKUP(G153,'insumos terrapl'!$C$3:$K$47,7,0)</f>
        <v>00</v>
      </c>
      <c r="N153" s="29" t="str">
        <f>VLOOKUP(G153,'insumos terrapl'!$C$3:$K$47,8,0)</f>
        <v>00</v>
      </c>
      <c r="O153" s="97" t="str">
        <f>VLOOKUP(G153,'insumos terrapl'!$C$3:$K$47,9,0)</f>
        <v>00</v>
      </c>
    </row>
    <row r="154" spans="1:15" s="5" customFormat="1">
      <c r="A154" s="134"/>
      <c r="B154" s="127"/>
      <c r="C154" s="125"/>
      <c r="D154" s="115"/>
      <c r="E154" s="115"/>
      <c r="F154" s="11" t="s">
        <v>605</v>
      </c>
      <c r="G154" s="20" t="s">
        <v>606</v>
      </c>
      <c r="H154" s="29" t="str">
        <f>VLOOKUP(G154,'insumos terrapl'!$C$3:$K$47,2,0)</f>
        <v>2Q  62  30  02  14  00  00</v>
      </c>
      <c r="I154" s="29" t="str">
        <f>VLOOKUP(G154,'insumos terrapl'!$C$3:$K$47,3,0)</f>
        <v>2Q</v>
      </c>
      <c r="J154" s="29">
        <f>VLOOKUP(G154,'insumos terrapl'!$C$3:$K$47,4,0)</f>
        <v>62</v>
      </c>
      <c r="K154" s="29">
        <f>VLOOKUP(G154,'insumos terrapl'!$C$3:$K$47,5,0)</f>
        <v>30</v>
      </c>
      <c r="L154" s="29" t="str">
        <f>VLOOKUP(G154,'insumos terrapl'!$C$3:$K$47,6,0)</f>
        <v>02</v>
      </c>
      <c r="M154" s="29" t="str">
        <f>VLOOKUP(G154,'insumos terrapl'!$C$3:$K$47,7,0)</f>
        <v>14</v>
      </c>
      <c r="N154" s="29" t="str">
        <f>VLOOKUP(G154,'insumos terrapl'!$C$3:$K$47,8,0)</f>
        <v>00</v>
      </c>
      <c r="O154" s="97" t="str">
        <f>VLOOKUP(G154,'insumos terrapl'!$C$3:$K$47,9,0)</f>
        <v>00</v>
      </c>
    </row>
    <row r="155" spans="1:15" s="5" customFormat="1">
      <c r="A155" s="134"/>
      <c r="B155" s="127"/>
      <c r="C155" s="125"/>
      <c r="D155" s="115"/>
      <c r="E155" s="115"/>
      <c r="F155" s="11" t="s">
        <v>588</v>
      </c>
      <c r="G155" s="20" t="s">
        <v>589</v>
      </c>
      <c r="H155" s="29" t="str">
        <f>VLOOKUP(G155,'insumos terrapl'!$C$3:$K$47,2,0)</f>
        <v>2N  20  14  08  00  00  00</v>
      </c>
      <c r="I155" s="29" t="str">
        <f>VLOOKUP(G155,'insumos terrapl'!$C$3:$K$47,3,0)</f>
        <v>2N</v>
      </c>
      <c r="J155" s="29">
        <f>VLOOKUP(G155,'insumos terrapl'!$C$3:$K$47,4,0)</f>
        <v>20</v>
      </c>
      <c r="K155" s="29">
        <f>VLOOKUP(G155,'insumos terrapl'!$C$3:$K$47,5,0)</f>
        <v>14</v>
      </c>
      <c r="L155" s="29" t="str">
        <f>VLOOKUP(G155,'insumos terrapl'!$C$3:$K$47,6,0)</f>
        <v>08</v>
      </c>
      <c r="M155" s="29" t="str">
        <f>VLOOKUP(G155,'insumos terrapl'!$C$3:$K$47,7,0)</f>
        <v>00</v>
      </c>
      <c r="N155" s="29" t="str">
        <f>VLOOKUP(G155,'insumos terrapl'!$C$3:$K$47,8,0)</f>
        <v>00</v>
      </c>
      <c r="O155" s="97" t="str">
        <f>VLOOKUP(G155,'insumos terrapl'!$C$3:$K$47,9,0)</f>
        <v>00</v>
      </c>
    </row>
    <row r="156" spans="1:15" s="5" customFormat="1">
      <c r="A156" s="134"/>
      <c r="B156" s="127"/>
      <c r="C156" s="132"/>
      <c r="D156" s="116"/>
      <c r="E156" s="116"/>
      <c r="F156" s="13"/>
      <c r="G156" s="21"/>
      <c r="H156" s="31"/>
      <c r="I156" s="31"/>
      <c r="J156" s="31"/>
      <c r="K156" s="31"/>
      <c r="L156" s="31"/>
      <c r="M156" s="31"/>
      <c r="N156" s="31"/>
      <c r="O156" s="98"/>
    </row>
    <row r="157" spans="1:15" s="5" customFormat="1">
      <c r="A157" s="134"/>
      <c r="B157" s="127"/>
      <c r="C157" s="124" t="s">
        <v>74</v>
      </c>
      <c r="D157" s="114" t="str">
        <f>A142</f>
        <v>2.6.1</v>
      </c>
      <c r="E157" s="114" t="s">
        <v>574</v>
      </c>
      <c r="F157" s="12" t="s">
        <v>74</v>
      </c>
      <c r="G157" s="19"/>
      <c r="H157" s="28"/>
      <c r="I157" s="28"/>
      <c r="J157" s="28"/>
      <c r="K157" s="28"/>
      <c r="L157" s="28"/>
      <c r="M157" s="28"/>
      <c r="N157" s="28"/>
      <c r="O157" s="99"/>
    </row>
    <row r="158" spans="1:15" s="5" customFormat="1">
      <c r="A158" s="134"/>
      <c r="B158" s="127"/>
      <c r="C158" s="125"/>
      <c r="D158" s="115"/>
      <c r="E158" s="115"/>
      <c r="F158" s="11" t="s">
        <v>667</v>
      </c>
      <c r="G158" s="20" t="s">
        <v>668</v>
      </c>
      <c r="H158" s="29" t="str">
        <f>VLOOKUP(G158,'insumos terrapl'!$C$3:$K$47,2,0)</f>
        <v>2Q  62  26  00  00  00  00</v>
      </c>
      <c r="I158" s="29" t="str">
        <f>VLOOKUP(G158,'insumos terrapl'!$C$3:$K$47,3,0)</f>
        <v>2Q</v>
      </c>
      <c r="J158" s="29">
        <f>VLOOKUP(G158,'insumos terrapl'!$C$3:$K$47,4,0)</f>
        <v>62</v>
      </c>
      <c r="K158" s="29" t="str">
        <f>VLOOKUP(G158,'insumos terrapl'!$C$3:$K$47,5,0)</f>
        <v>26</v>
      </c>
      <c r="L158" s="29" t="str">
        <f>VLOOKUP(G158,'insumos terrapl'!$C$3:$K$47,6,0)</f>
        <v>00</v>
      </c>
      <c r="M158" s="29" t="str">
        <f>VLOOKUP(G158,'insumos terrapl'!$C$3:$K$47,7,0)</f>
        <v>00</v>
      </c>
      <c r="N158" s="29" t="str">
        <f>VLOOKUP(G158,'insumos terrapl'!$C$3:$K$47,8,0)</f>
        <v>00</v>
      </c>
      <c r="O158" s="97" t="str">
        <f>VLOOKUP(G158,'insumos terrapl'!$C$3:$K$47,9,0)</f>
        <v>00</v>
      </c>
    </row>
    <row r="159" spans="1:15" s="5" customFormat="1">
      <c r="A159" s="134"/>
      <c r="B159" s="127"/>
      <c r="C159" s="125"/>
      <c r="D159" s="115"/>
      <c r="E159" s="115"/>
      <c r="F159" s="11" t="s">
        <v>605</v>
      </c>
      <c r="G159" s="20" t="s">
        <v>606</v>
      </c>
      <c r="H159" s="29" t="str">
        <f>VLOOKUP(G159,'insumos terrapl'!$C$3:$K$47,2,0)</f>
        <v>2Q  62  30  02  14  00  00</v>
      </c>
      <c r="I159" s="29" t="str">
        <f>VLOOKUP(G159,'insumos terrapl'!$C$3:$K$47,3,0)</f>
        <v>2Q</v>
      </c>
      <c r="J159" s="29">
        <f>VLOOKUP(G159,'insumos terrapl'!$C$3:$K$47,4,0)</f>
        <v>62</v>
      </c>
      <c r="K159" s="29">
        <f>VLOOKUP(G159,'insumos terrapl'!$C$3:$K$47,5,0)</f>
        <v>30</v>
      </c>
      <c r="L159" s="29" t="str">
        <f>VLOOKUP(G159,'insumos terrapl'!$C$3:$K$47,6,0)</f>
        <v>02</v>
      </c>
      <c r="M159" s="29" t="str">
        <f>VLOOKUP(G159,'insumos terrapl'!$C$3:$K$47,7,0)</f>
        <v>14</v>
      </c>
      <c r="N159" s="29" t="str">
        <f>VLOOKUP(G159,'insumos terrapl'!$C$3:$K$47,8,0)</f>
        <v>00</v>
      </c>
      <c r="O159" s="97" t="str">
        <f>VLOOKUP(G159,'insumos terrapl'!$C$3:$K$47,9,0)</f>
        <v>00</v>
      </c>
    </row>
    <row r="160" spans="1:15" s="5" customFormat="1">
      <c r="A160" s="134"/>
      <c r="B160" s="127"/>
      <c r="C160" s="125"/>
      <c r="D160" s="115"/>
      <c r="E160" s="115"/>
      <c r="F160" s="11" t="s">
        <v>588</v>
      </c>
      <c r="G160" s="20" t="s">
        <v>589</v>
      </c>
      <c r="H160" s="29" t="str">
        <f>VLOOKUP(G160,'insumos terrapl'!$C$3:$K$47,2,0)</f>
        <v>2N  20  14  08  00  00  00</v>
      </c>
      <c r="I160" s="29" t="str">
        <f>VLOOKUP(G160,'insumos terrapl'!$C$3:$K$47,3,0)</f>
        <v>2N</v>
      </c>
      <c r="J160" s="29">
        <f>VLOOKUP(G160,'insumos terrapl'!$C$3:$K$47,4,0)</f>
        <v>20</v>
      </c>
      <c r="K160" s="29">
        <f>VLOOKUP(G160,'insumos terrapl'!$C$3:$K$47,5,0)</f>
        <v>14</v>
      </c>
      <c r="L160" s="29" t="str">
        <f>VLOOKUP(G160,'insumos terrapl'!$C$3:$K$47,6,0)</f>
        <v>08</v>
      </c>
      <c r="M160" s="29" t="str">
        <f>VLOOKUP(G160,'insumos terrapl'!$C$3:$K$47,7,0)</f>
        <v>00</v>
      </c>
      <c r="N160" s="29" t="str">
        <f>VLOOKUP(G160,'insumos terrapl'!$C$3:$K$47,8,0)</f>
        <v>00</v>
      </c>
      <c r="O160" s="97" t="str">
        <f>VLOOKUP(G160,'insumos terrapl'!$C$3:$K$47,9,0)</f>
        <v>00</v>
      </c>
    </row>
    <row r="161" spans="1:15" s="5" customFormat="1">
      <c r="A161" s="134"/>
      <c r="B161" s="127"/>
      <c r="C161" s="132"/>
      <c r="D161" s="116"/>
      <c r="E161" s="116"/>
      <c r="F161" s="13"/>
      <c r="G161" s="21"/>
      <c r="H161" s="31"/>
      <c r="I161" s="31"/>
      <c r="J161" s="31"/>
      <c r="K161" s="31"/>
      <c r="L161" s="31"/>
      <c r="M161" s="31"/>
      <c r="N161" s="31"/>
      <c r="O161" s="98"/>
    </row>
    <row r="162" spans="1:15" s="5" customFormat="1">
      <c r="A162" s="134"/>
      <c r="B162" s="127"/>
      <c r="C162" s="124" t="s">
        <v>75</v>
      </c>
      <c r="D162" s="114" t="str">
        <f>A142</f>
        <v>2.6.1</v>
      </c>
      <c r="E162" s="114" t="s">
        <v>575</v>
      </c>
      <c r="F162" s="12" t="s">
        <v>75</v>
      </c>
      <c r="G162" s="19"/>
      <c r="H162" s="28"/>
      <c r="I162" s="28"/>
      <c r="J162" s="28"/>
      <c r="K162" s="28"/>
      <c r="L162" s="28"/>
      <c r="M162" s="28"/>
      <c r="N162" s="28"/>
      <c r="O162" s="99"/>
    </row>
    <row r="163" spans="1:15" s="5" customFormat="1">
      <c r="A163" s="134"/>
      <c r="B163" s="127"/>
      <c r="C163" s="125"/>
      <c r="D163" s="115"/>
      <c r="E163" s="115"/>
      <c r="F163" s="11" t="s">
        <v>667</v>
      </c>
      <c r="G163" s="20" t="s">
        <v>668</v>
      </c>
      <c r="H163" s="29" t="str">
        <f>VLOOKUP(G163,'insumos terrapl'!$C$3:$K$47,2,0)</f>
        <v>2Q  62  26  00  00  00  00</v>
      </c>
      <c r="I163" s="29" t="str">
        <f>VLOOKUP(G163,'insumos terrapl'!$C$3:$K$47,3,0)</f>
        <v>2Q</v>
      </c>
      <c r="J163" s="29">
        <f>VLOOKUP(G163,'insumos terrapl'!$C$3:$K$47,4,0)</f>
        <v>62</v>
      </c>
      <c r="K163" s="29" t="str">
        <f>VLOOKUP(G163,'insumos terrapl'!$C$3:$K$47,5,0)</f>
        <v>26</v>
      </c>
      <c r="L163" s="29" t="str">
        <f>VLOOKUP(G163,'insumos terrapl'!$C$3:$K$47,6,0)</f>
        <v>00</v>
      </c>
      <c r="M163" s="29" t="str">
        <f>VLOOKUP(G163,'insumos terrapl'!$C$3:$K$47,7,0)</f>
        <v>00</v>
      </c>
      <c r="N163" s="29" t="str">
        <f>VLOOKUP(G163,'insumos terrapl'!$C$3:$K$47,8,0)</f>
        <v>00</v>
      </c>
      <c r="O163" s="97" t="str">
        <f>VLOOKUP(G163,'insumos terrapl'!$C$3:$K$47,9,0)</f>
        <v>00</v>
      </c>
    </row>
    <row r="164" spans="1:15" s="5" customFormat="1">
      <c r="A164" s="134"/>
      <c r="B164" s="127"/>
      <c r="C164" s="125"/>
      <c r="D164" s="115"/>
      <c r="E164" s="115"/>
      <c r="F164" s="11" t="s">
        <v>605</v>
      </c>
      <c r="G164" s="20" t="s">
        <v>606</v>
      </c>
      <c r="H164" s="29" t="str">
        <f>VLOOKUP(G164,'insumos terrapl'!$C$3:$K$47,2,0)</f>
        <v>2Q  62  30  02  14  00  00</v>
      </c>
      <c r="I164" s="29" t="str">
        <f>VLOOKUP(G164,'insumos terrapl'!$C$3:$K$47,3,0)</f>
        <v>2Q</v>
      </c>
      <c r="J164" s="29">
        <f>VLOOKUP(G164,'insumos terrapl'!$C$3:$K$47,4,0)</f>
        <v>62</v>
      </c>
      <c r="K164" s="29">
        <f>VLOOKUP(G164,'insumos terrapl'!$C$3:$K$47,5,0)</f>
        <v>30</v>
      </c>
      <c r="L164" s="29" t="str">
        <f>VLOOKUP(G164,'insumos terrapl'!$C$3:$K$47,6,0)</f>
        <v>02</v>
      </c>
      <c r="M164" s="29" t="str">
        <f>VLOOKUP(G164,'insumos terrapl'!$C$3:$K$47,7,0)</f>
        <v>14</v>
      </c>
      <c r="N164" s="29" t="str">
        <f>VLOOKUP(G164,'insumos terrapl'!$C$3:$K$47,8,0)</f>
        <v>00</v>
      </c>
      <c r="O164" s="97" t="str">
        <f>VLOOKUP(G164,'insumos terrapl'!$C$3:$K$47,9,0)</f>
        <v>00</v>
      </c>
    </row>
    <row r="165" spans="1:15" s="5" customFormat="1">
      <c r="A165" s="134"/>
      <c r="B165" s="127"/>
      <c r="C165" s="125"/>
      <c r="D165" s="115"/>
      <c r="E165" s="115"/>
      <c r="F165" s="11" t="s">
        <v>588</v>
      </c>
      <c r="G165" s="20" t="s">
        <v>589</v>
      </c>
      <c r="H165" s="29" t="str">
        <f>VLOOKUP(G165,'insumos terrapl'!$C$3:$K$47,2,0)</f>
        <v>2N  20  14  08  00  00  00</v>
      </c>
      <c r="I165" s="29" t="str">
        <f>VLOOKUP(G165,'insumos terrapl'!$C$3:$K$47,3,0)</f>
        <v>2N</v>
      </c>
      <c r="J165" s="29">
        <f>VLOOKUP(G165,'insumos terrapl'!$C$3:$K$47,4,0)</f>
        <v>20</v>
      </c>
      <c r="K165" s="29">
        <f>VLOOKUP(G165,'insumos terrapl'!$C$3:$K$47,5,0)</f>
        <v>14</v>
      </c>
      <c r="L165" s="29" t="str">
        <f>VLOOKUP(G165,'insumos terrapl'!$C$3:$K$47,6,0)</f>
        <v>08</v>
      </c>
      <c r="M165" s="29" t="str">
        <f>VLOOKUP(G165,'insumos terrapl'!$C$3:$K$47,7,0)</f>
        <v>00</v>
      </c>
      <c r="N165" s="29" t="str">
        <f>VLOOKUP(G165,'insumos terrapl'!$C$3:$K$47,8,0)</f>
        <v>00</v>
      </c>
      <c r="O165" s="97" t="str">
        <f>VLOOKUP(G165,'insumos terrapl'!$C$3:$K$47,9,0)</f>
        <v>00</v>
      </c>
    </row>
    <row r="166" spans="1:15" s="5" customFormat="1">
      <c r="A166" s="134"/>
      <c r="B166" s="127"/>
      <c r="C166" s="132"/>
      <c r="D166" s="116"/>
      <c r="E166" s="116"/>
      <c r="F166" s="13"/>
      <c r="G166" s="21"/>
      <c r="H166" s="31"/>
      <c r="I166" s="31"/>
      <c r="J166" s="31"/>
      <c r="K166" s="31"/>
      <c r="L166" s="31"/>
      <c r="M166" s="31"/>
      <c r="N166" s="31"/>
      <c r="O166" s="98"/>
    </row>
    <row r="167" spans="1:15" s="5" customFormat="1">
      <c r="A167" s="134"/>
      <c r="B167" s="127"/>
      <c r="C167" s="124" t="s">
        <v>76</v>
      </c>
      <c r="D167" s="114" t="str">
        <f>A142</f>
        <v>2.6.1</v>
      </c>
      <c r="E167" s="114" t="s">
        <v>577</v>
      </c>
      <c r="F167" s="12" t="s">
        <v>76</v>
      </c>
      <c r="G167" s="19"/>
      <c r="H167" s="28"/>
      <c r="I167" s="28"/>
      <c r="J167" s="28"/>
      <c r="K167" s="28"/>
      <c r="L167" s="28"/>
      <c r="M167" s="28"/>
      <c r="N167" s="28"/>
      <c r="O167" s="99"/>
    </row>
    <row r="168" spans="1:15" s="5" customFormat="1">
      <c r="A168" s="134"/>
      <c r="B168" s="127"/>
      <c r="C168" s="125"/>
      <c r="D168" s="115"/>
      <c r="E168" s="115"/>
      <c r="F168" s="11" t="s">
        <v>667</v>
      </c>
      <c r="G168" s="20" t="s">
        <v>668</v>
      </c>
      <c r="H168" s="29" t="str">
        <f>VLOOKUP(G168,'insumos terrapl'!$C$3:$K$47,2,0)</f>
        <v>2Q  62  26  00  00  00  00</v>
      </c>
      <c r="I168" s="29" t="str">
        <f>VLOOKUP(G168,'insumos terrapl'!$C$3:$K$47,3,0)</f>
        <v>2Q</v>
      </c>
      <c r="J168" s="29">
        <f>VLOOKUP(G168,'insumos terrapl'!$C$3:$K$47,4,0)</f>
        <v>62</v>
      </c>
      <c r="K168" s="29" t="str">
        <f>VLOOKUP(G168,'insumos terrapl'!$C$3:$K$47,5,0)</f>
        <v>26</v>
      </c>
      <c r="L168" s="29" t="str">
        <f>VLOOKUP(G168,'insumos terrapl'!$C$3:$K$47,6,0)</f>
        <v>00</v>
      </c>
      <c r="M168" s="29" t="str">
        <f>VLOOKUP(G168,'insumos terrapl'!$C$3:$K$47,7,0)</f>
        <v>00</v>
      </c>
      <c r="N168" s="29" t="str">
        <f>VLOOKUP(G168,'insumos terrapl'!$C$3:$K$47,8,0)</f>
        <v>00</v>
      </c>
      <c r="O168" s="97" t="str">
        <f>VLOOKUP(G168,'insumos terrapl'!$C$3:$K$47,9,0)</f>
        <v>00</v>
      </c>
    </row>
    <row r="169" spans="1:15" s="5" customFormat="1">
      <c r="A169" s="134"/>
      <c r="B169" s="127"/>
      <c r="C169" s="125"/>
      <c r="D169" s="115"/>
      <c r="E169" s="115"/>
      <c r="F169" s="11" t="s">
        <v>605</v>
      </c>
      <c r="G169" s="20" t="s">
        <v>606</v>
      </c>
      <c r="H169" s="29" t="str">
        <f>VLOOKUP(G169,'insumos terrapl'!$C$3:$K$47,2,0)</f>
        <v>2Q  62  30  02  14  00  00</v>
      </c>
      <c r="I169" s="29" t="str">
        <f>VLOOKUP(G169,'insumos terrapl'!$C$3:$K$47,3,0)</f>
        <v>2Q</v>
      </c>
      <c r="J169" s="29">
        <f>VLOOKUP(G169,'insumos terrapl'!$C$3:$K$47,4,0)</f>
        <v>62</v>
      </c>
      <c r="K169" s="29">
        <f>VLOOKUP(G169,'insumos terrapl'!$C$3:$K$47,5,0)</f>
        <v>30</v>
      </c>
      <c r="L169" s="29" t="str">
        <f>VLOOKUP(G169,'insumos terrapl'!$C$3:$K$47,6,0)</f>
        <v>02</v>
      </c>
      <c r="M169" s="29" t="str">
        <f>VLOOKUP(G169,'insumos terrapl'!$C$3:$K$47,7,0)</f>
        <v>14</v>
      </c>
      <c r="N169" s="29" t="str">
        <f>VLOOKUP(G169,'insumos terrapl'!$C$3:$K$47,8,0)</f>
        <v>00</v>
      </c>
      <c r="O169" s="97" t="str">
        <f>VLOOKUP(G169,'insumos terrapl'!$C$3:$K$47,9,0)</f>
        <v>00</v>
      </c>
    </row>
    <row r="170" spans="1:15" s="5" customFormat="1">
      <c r="A170" s="134"/>
      <c r="B170" s="127"/>
      <c r="C170" s="125"/>
      <c r="D170" s="115"/>
      <c r="E170" s="115"/>
      <c r="F170" s="11" t="s">
        <v>588</v>
      </c>
      <c r="G170" s="20" t="s">
        <v>589</v>
      </c>
      <c r="H170" s="29" t="str">
        <f>VLOOKUP(G170,'insumos terrapl'!$C$3:$K$47,2,0)</f>
        <v>2N  20  14  08  00  00  00</v>
      </c>
      <c r="I170" s="29" t="str">
        <f>VLOOKUP(G170,'insumos terrapl'!$C$3:$K$47,3,0)</f>
        <v>2N</v>
      </c>
      <c r="J170" s="29">
        <f>VLOOKUP(G170,'insumos terrapl'!$C$3:$K$47,4,0)</f>
        <v>20</v>
      </c>
      <c r="K170" s="29">
        <f>VLOOKUP(G170,'insumos terrapl'!$C$3:$K$47,5,0)</f>
        <v>14</v>
      </c>
      <c r="L170" s="29" t="str">
        <f>VLOOKUP(G170,'insumos terrapl'!$C$3:$K$47,6,0)</f>
        <v>08</v>
      </c>
      <c r="M170" s="29" t="str">
        <f>VLOOKUP(G170,'insumos terrapl'!$C$3:$K$47,7,0)</f>
        <v>00</v>
      </c>
      <c r="N170" s="29" t="str">
        <f>VLOOKUP(G170,'insumos terrapl'!$C$3:$K$47,8,0)</f>
        <v>00</v>
      </c>
      <c r="O170" s="97" t="str">
        <f>VLOOKUP(G170,'insumos terrapl'!$C$3:$K$47,9,0)</f>
        <v>00</v>
      </c>
    </row>
    <row r="171" spans="1:15" s="5" customFormat="1">
      <c r="A171" s="134"/>
      <c r="B171" s="127"/>
      <c r="C171" s="132"/>
      <c r="D171" s="116"/>
      <c r="E171" s="116"/>
      <c r="F171" s="13"/>
      <c r="G171" s="21"/>
      <c r="H171" s="31"/>
      <c r="I171" s="31"/>
      <c r="J171" s="31"/>
      <c r="K171" s="31"/>
      <c r="L171" s="31"/>
      <c r="M171" s="31"/>
      <c r="N171" s="31"/>
      <c r="O171" s="98"/>
    </row>
    <row r="172" spans="1:15" s="5" customFormat="1">
      <c r="A172" s="134"/>
      <c r="B172" s="127"/>
      <c r="C172" s="124" t="s">
        <v>77</v>
      </c>
      <c r="D172" s="114" t="str">
        <f>A142</f>
        <v>2.6.1</v>
      </c>
      <c r="E172" s="114" t="s">
        <v>578</v>
      </c>
      <c r="F172" s="12" t="s">
        <v>77</v>
      </c>
      <c r="G172" s="19"/>
      <c r="H172" s="28"/>
      <c r="I172" s="28"/>
      <c r="J172" s="28"/>
      <c r="K172" s="28"/>
      <c r="L172" s="28"/>
      <c r="M172" s="28"/>
      <c r="N172" s="28"/>
      <c r="O172" s="99"/>
    </row>
    <row r="173" spans="1:15" s="5" customFormat="1">
      <c r="A173" s="134"/>
      <c r="B173" s="127"/>
      <c r="C173" s="125"/>
      <c r="D173" s="115"/>
      <c r="E173" s="115"/>
      <c r="F173" s="11" t="s">
        <v>667</v>
      </c>
      <c r="G173" s="20" t="s">
        <v>668</v>
      </c>
      <c r="H173" s="29" t="str">
        <f>VLOOKUP(G173,'insumos terrapl'!$C$3:$K$47,2,0)</f>
        <v>2Q  62  26  00  00  00  00</v>
      </c>
      <c r="I173" s="29" t="str">
        <f>VLOOKUP(G173,'insumos terrapl'!$C$3:$K$47,3,0)</f>
        <v>2Q</v>
      </c>
      <c r="J173" s="29">
        <f>VLOOKUP(G173,'insumos terrapl'!$C$3:$K$47,4,0)</f>
        <v>62</v>
      </c>
      <c r="K173" s="29" t="str">
        <f>VLOOKUP(G173,'insumos terrapl'!$C$3:$K$47,5,0)</f>
        <v>26</v>
      </c>
      <c r="L173" s="29" t="str">
        <f>VLOOKUP(G173,'insumos terrapl'!$C$3:$K$47,6,0)</f>
        <v>00</v>
      </c>
      <c r="M173" s="29" t="str">
        <f>VLOOKUP(G173,'insumos terrapl'!$C$3:$K$47,7,0)</f>
        <v>00</v>
      </c>
      <c r="N173" s="29" t="str">
        <f>VLOOKUP(G173,'insumos terrapl'!$C$3:$K$47,8,0)</f>
        <v>00</v>
      </c>
      <c r="O173" s="97" t="str">
        <f>VLOOKUP(G173,'insumos terrapl'!$C$3:$K$47,9,0)</f>
        <v>00</v>
      </c>
    </row>
    <row r="174" spans="1:15" s="5" customFormat="1">
      <c r="A174" s="134"/>
      <c r="B174" s="127"/>
      <c r="C174" s="125"/>
      <c r="D174" s="115"/>
      <c r="E174" s="115"/>
      <c r="F174" s="11" t="s">
        <v>605</v>
      </c>
      <c r="G174" s="20" t="s">
        <v>606</v>
      </c>
      <c r="H174" s="29" t="str">
        <f>VLOOKUP(G174,'insumos terrapl'!$C$3:$K$47,2,0)</f>
        <v>2Q  62  30  02  14  00  00</v>
      </c>
      <c r="I174" s="29" t="str">
        <f>VLOOKUP(G174,'insumos terrapl'!$C$3:$K$47,3,0)</f>
        <v>2Q</v>
      </c>
      <c r="J174" s="29">
        <f>VLOOKUP(G174,'insumos terrapl'!$C$3:$K$47,4,0)</f>
        <v>62</v>
      </c>
      <c r="K174" s="29">
        <f>VLOOKUP(G174,'insumos terrapl'!$C$3:$K$47,5,0)</f>
        <v>30</v>
      </c>
      <c r="L174" s="29" t="str">
        <f>VLOOKUP(G174,'insumos terrapl'!$C$3:$K$47,6,0)</f>
        <v>02</v>
      </c>
      <c r="M174" s="29" t="str">
        <f>VLOOKUP(G174,'insumos terrapl'!$C$3:$K$47,7,0)</f>
        <v>14</v>
      </c>
      <c r="N174" s="29" t="str">
        <f>VLOOKUP(G174,'insumos terrapl'!$C$3:$K$47,8,0)</f>
        <v>00</v>
      </c>
      <c r="O174" s="97" t="str">
        <f>VLOOKUP(G174,'insumos terrapl'!$C$3:$K$47,9,0)</f>
        <v>00</v>
      </c>
    </row>
    <row r="175" spans="1:15" s="5" customFormat="1">
      <c r="A175" s="134"/>
      <c r="B175" s="127"/>
      <c r="C175" s="125"/>
      <c r="D175" s="115"/>
      <c r="E175" s="115"/>
      <c r="F175" s="11" t="s">
        <v>588</v>
      </c>
      <c r="G175" s="20" t="s">
        <v>589</v>
      </c>
      <c r="H175" s="29" t="str">
        <f>VLOOKUP(G175,'insumos terrapl'!$C$3:$K$47,2,0)</f>
        <v>2N  20  14  08  00  00  00</v>
      </c>
      <c r="I175" s="29" t="str">
        <f>VLOOKUP(G175,'insumos terrapl'!$C$3:$K$47,3,0)</f>
        <v>2N</v>
      </c>
      <c r="J175" s="29">
        <f>VLOOKUP(G175,'insumos terrapl'!$C$3:$K$47,4,0)</f>
        <v>20</v>
      </c>
      <c r="K175" s="29">
        <f>VLOOKUP(G175,'insumos terrapl'!$C$3:$K$47,5,0)</f>
        <v>14</v>
      </c>
      <c r="L175" s="29" t="str">
        <f>VLOOKUP(G175,'insumos terrapl'!$C$3:$K$47,6,0)</f>
        <v>08</v>
      </c>
      <c r="M175" s="29" t="str">
        <f>VLOOKUP(G175,'insumos terrapl'!$C$3:$K$47,7,0)</f>
        <v>00</v>
      </c>
      <c r="N175" s="29" t="str">
        <f>VLOOKUP(G175,'insumos terrapl'!$C$3:$K$47,8,0)</f>
        <v>00</v>
      </c>
      <c r="O175" s="97" t="str">
        <f>VLOOKUP(G175,'insumos terrapl'!$C$3:$K$47,9,0)</f>
        <v>00</v>
      </c>
    </row>
    <row r="176" spans="1:15" s="4" customFormat="1">
      <c r="A176" s="135"/>
      <c r="B176" s="131"/>
      <c r="C176" s="132"/>
      <c r="D176" s="116"/>
      <c r="E176" s="116"/>
      <c r="F176" s="13"/>
      <c r="G176" s="21"/>
      <c r="H176" s="31"/>
      <c r="I176" s="31"/>
      <c r="J176" s="31"/>
      <c r="K176" s="31"/>
      <c r="L176" s="31"/>
      <c r="M176" s="31"/>
      <c r="N176" s="31"/>
      <c r="O176" s="98"/>
    </row>
    <row r="177" spans="1:15" s="4" customFormat="1">
      <c r="A177" s="133" t="s">
        <v>46</v>
      </c>
      <c r="B177" s="126" t="s">
        <v>24</v>
      </c>
      <c r="C177" s="124" t="s">
        <v>576</v>
      </c>
      <c r="D177" s="114" t="str">
        <f>A177</f>
        <v>2.6.2</v>
      </c>
      <c r="E177" s="114" t="s">
        <v>24</v>
      </c>
      <c r="F177" s="12" t="s">
        <v>576</v>
      </c>
      <c r="G177" s="19"/>
      <c r="H177" s="28"/>
      <c r="I177" s="28"/>
      <c r="J177" s="28"/>
      <c r="K177" s="28"/>
      <c r="L177" s="28"/>
      <c r="M177" s="28"/>
      <c r="N177" s="28"/>
      <c r="O177" s="99"/>
    </row>
    <row r="178" spans="1:15" s="4" customFormat="1">
      <c r="A178" s="134"/>
      <c r="B178" s="127"/>
      <c r="C178" s="125"/>
      <c r="D178" s="115"/>
      <c r="E178" s="115"/>
      <c r="F178" s="11" t="s">
        <v>605</v>
      </c>
      <c r="G178" s="20" t="s">
        <v>606</v>
      </c>
      <c r="H178" s="29" t="str">
        <f>VLOOKUP(G178,'insumos terrapl'!$C$3:$K$47,2,0)</f>
        <v>2Q  62  30  02  14  00  00</v>
      </c>
      <c r="I178" s="29" t="str">
        <f>VLOOKUP(G178,'insumos terrapl'!$C$3:$K$47,3,0)</f>
        <v>2Q</v>
      </c>
      <c r="J178" s="29">
        <f>VLOOKUP(G178,'insumos terrapl'!$C$3:$K$47,4,0)</f>
        <v>62</v>
      </c>
      <c r="K178" s="29">
        <f>VLOOKUP(G178,'insumos terrapl'!$C$3:$K$47,5,0)</f>
        <v>30</v>
      </c>
      <c r="L178" s="29" t="str">
        <f>VLOOKUP(G178,'insumos terrapl'!$C$3:$K$47,6,0)</f>
        <v>02</v>
      </c>
      <c r="M178" s="29" t="str">
        <f>VLOOKUP(G178,'insumos terrapl'!$C$3:$K$47,7,0)</f>
        <v>14</v>
      </c>
      <c r="N178" s="29" t="str">
        <f>VLOOKUP(G178,'insumos terrapl'!$C$3:$K$47,8,0)</f>
        <v>00</v>
      </c>
      <c r="O178" s="97" t="str">
        <f>VLOOKUP(G178,'insumos terrapl'!$C$3:$K$47,9,0)</f>
        <v>00</v>
      </c>
    </row>
    <row r="179" spans="1:15" s="4" customFormat="1">
      <c r="A179" s="134"/>
      <c r="B179" s="127"/>
      <c r="C179" s="125"/>
      <c r="D179" s="115"/>
      <c r="E179" s="115"/>
      <c r="F179" s="11" t="s">
        <v>588</v>
      </c>
      <c r="G179" s="20" t="s">
        <v>589</v>
      </c>
      <c r="H179" s="29" t="str">
        <f>VLOOKUP(G179,'insumos terrapl'!$C$3:$K$47,2,0)</f>
        <v>2N  20  14  08  00  00  00</v>
      </c>
      <c r="I179" s="29" t="str">
        <f>VLOOKUP(G179,'insumos terrapl'!$C$3:$K$47,3,0)</f>
        <v>2N</v>
      </c>
      <c r="J179" s="29">
        <f>VLOOKUP(G179,'insumos terrapl'!$C$3:$K$47,4,0)</f>
        <v>20</v>
      </c>
      <c r="K179" s="29">
        <f>VLOOKUP(G179,'insumos terrapl'!$C$3:$K$47,5,0)</f>
        <v>14</v>
      </c>
      <c r="L179" s="29" t="str">
        <f>VLOOKUP(G179,'insumos terrapl'!$C$3:$K$47,6,0)</f>
        <v>08</v>
      </c>
      <c r="M179" s="29" t="str">
        <f>VLOOKUP(G179,'insumos terrapl'!$C$3:$K$47,7,0)</f>
        <v>00</v>
      </c>
      <c r="N179" s="29" t="str">
        <f>VLOOKUP(G179,'insumos terrapl'!$C$3:$K$47,8,0)</f>
        <v>00</v>
      </c>
      <c r="O179" s="97" t="str">
        <f>VLOOKUP(G179,'insumos terrapl'!$C$3:$K$47,9,0)</f>
        <v>00</v>
      </c>
    </row>
    <row r="180" spans="1:15" s="4" customFormat="1">
      <c r="A180" s="135"/>
      <c r="B180" s="131"/>
      <c r="C180" s="132"/>
      <c r="D180" s="116"/>
      <c r="E180" s="116"/>
      <c r="F180" s="13"/>
      <c r="G180" s="21"/>
      <c r="H180" s="31"/>
      <c r="I180" s="31"/>
      <c r="J180" s="31"/>
      <c r="K180" s="31"/>
      <c r="L180" s="31"/>
      <c r="M180" s="31"/>
      <c r="N180" s="31"/>
      <c r="O180" s="98"/>
    </row>
    <row r="181" spans="1:15" s="4" customFormat="1" ht="30">
      <c r="A181" s="124" t="s">
        <v>47</v>
      </c>
      <c r="B181" s="126" t="s">
        <v>23</v>
      </c>
      <c r="C181" s="124" t="s">
        <v>117</v>
      </c>
      <c r="D181" s="114" t="str">
        <f>A181</f>
        <v>2.6.3</v>
      </c>
      <c r="E181" s="114" t="s">
        <v>336</v>
      </c>
      <c r="F181" s="12" t="s">
        <v>117</v>
      </c>
      <c r="G181" s="19"/>
      <c r="H181" s="28"/>
      <c r="I181" s="28"/>
      <c r="J181" s="28"/>
      <c r="K181" s="28"/>
      <c r="L181" s="28"/>
      <c r="M181" s="28"/>
      <c r="N181" s="28"/>
      <c r="O181" s="99"/>
    </row>
    <row r="182" spans="1:15" s="4" customFormat="1">
      <c r="A182" s="125"/>
      <c r="B182" s="127"/>
      <c r="C182" s="125"/>
      <c r="D182" s="115"/>
      <c r="E182" s="115"/>
      <c r="F182" s="10" t="s">
        <v>651</v>
      </c>
      <c r="G182" s="22" t="s">
        <v>652</v>
      </c>
      <c r="H182" s="32" t="str">
        <f>VLOOKUP(G182,'insumos terrapl'!$C$3:$K$47,2,0)</f>
        <v>2Q  66  10  02  00  00  00</v>
      </c>
      <c r="I182" s="32" t="str">
        <f>VLOOKUP(G182,'insumos terrapl'!$C$3:$K$47,3,0)</f>
        <v>2Q</v>
      </c>
      <c r="J182" s="32">
        <f>VLOOKUP(G182,'insumos terrapl'!$C$3:$K$47,4,0)</f>
        <v>66</v>
      </c>
      <c r="K182" s="32" t="str">
        <f>VLOOKUP(G182,'insumos terrapl'!$C$3:$K$47,5,0)</f>
        <v>10</v>
      </c>
      <c r="L182" s="32" t="str">
        <f>VLOOKUP(G182,'insumos terrapl'!$C$3:$K$47,6,0)</f>
        <v>02</v>
      </c>
      <c r="M182" s="32" t="str">
        <f>VLOOKUP(G182,'insumos terrapl'!$C$3:$K$47,7,0)</f>
        <v>00</v>
      </c>
      <c r="N182" s="32" t="str">
        <f>VLOOKUP(G182,'insumos terrapl'!$C$3:$K$47,8,0)</f>
        <v>00</v>
      </c>
      <c r="O182" s="100" t="str">
        <f>VLOOKUP(G182,'insumos terrapl'!$C$3:$K$47,9,0)</f>
        <v>00</v>
      </c>
    </row>
    <row r="183" spans="1:15" s="4" customFormat="1">
      <c r="A183" s="125"/>
      <c r="B183" s="127"/>
      <c r="C183" s="125"/>
      <c r="D183" s="115"/>
      <c r="E183" s="115"/>
      <c r="F183" s="10" t="s">
        <v>653</v>
      </c>
      <c r="G183" s="22" t="s">
        <v>654</v>
      </c>
      <c r="H183" s="32" t="str">
        <f>VLOOKUP(G183,'insumos terrapl'!$C$3:$K$47,2,0)</f>
        <v>2Q  62  10  06  00  00  00</v>
      </c>
      <c r="I183" s="32" t="str">
        <f>VLOOKUP(G183,'insumos terrapl'!$C$3:$K$47,3,0)</f>
        <v>2Q</v>
      </c>
      <c r="J183" s="32">
        <f>VLOOKUP(G183,'insumos terrapl'!$C$3:$K$47,4,0)</f>
        <v>62</v>
      </c>
      <c r="K183" s="32" t="str">
        <f>VLOOKUP(G183,'insumos terrapl'!$C$3:$K$47,5,0)</f>
        <v>10</v>
      </c>
      <c r="L183" s="32" t="str">
        <f>VLOOKUP(G183,'insumos terrapl'!$C$3:$K$47,6,0)</f>
        <v>06</v>
      </c>
      <c r="M183" s="32" t="str">
        <f>VLOOKUP(G183,'insumos terrapl'!$C$3:$K$47,7,0)</f>
        <v>00</v>
      </c>
      <c r="N183" s="32" t="str">
        <f>VLOOKUP(G183,'insumos terrapl'!$C$3:$K$47,8,0)</f>
        <v>00</v>
      </c>
      <c r="O183" s="100" t="str">
        <f>VLOOKUP(G183,'insumos terrapl'!$C$3:$K$47,9,0)</f>
        <v>00</v>
      </c>
    </row>
    <row r="184" spans="1:15" s="4" customFormat="1">
      <c r="A184" s="125"/>
      <c r="B184" s="127"/>
      <c r="C184" s="125"/>
      <c r="D184" s="115"/>
      <c r="E184" s="115"/>
      <c r="F184" s="10" t="s">
        <v>605</v>
      </c>
      <c r="G184" s="22" t="s">
        <v>606</v>
      </c>
      <c r="H184" s="32" t="str">
        <f>VLOOKUP(G184,'insumos terrapl'!$C$3:$K$47,2,0)</f>
        <v>2Q  62  30  02  14  00  00</v>
      </c>
      <c r="I184" s="32" t="str">
        <f>VLOOKUP(G184,'insumos terrapl'!$C$3:$K$47,3,0)</f>
        <v>2Q</v>
      </c>
      <c r="J184" s="32">
        <f>VLOOKUP(G184,'insumos terrapl'!$C$3:$K$47,4,0)</f>
        <v>62</v>
      </c>
      <c r="K184" s="32">
        <f>VLOOKUP(G184,'insumos terrapl'!$C$3:$K$47,5,0)</f>
        <v>30</v>
      </c>
      <c r="L184" s="32" t="str">
        <f>VLOOKUP(G184,'insumos terrapl'!$C$3:$K$47,6,0)</f>
        <v>02</v>
      </c>
      <c r="M184" s="32" t="str">
        <f>VLOOKUP(G184,'insumos terrapl'!$C$3:$K$47,7,0)</f>
        <v>14</v>
      </c>
      <c r="N184" s="32" t="str">
        <f>VLOOKUP(G184,'insumos terrapl'!$C$3:$K$47,8,0)</f>
        <v>00</v>
      </c>
      <c r="O184" s="100" t="str">
        <f>VLOOKUP(G184,'insumos terrapl'!$C$3:$K$47,9,0)</f>
        <v>00</v>
      </c>
    </row>
    <row r="185" spans="1:15" s="4" customFormat="1">
      <c r="A185" s="125"/>
      <c r="B185" s="127"/>
      <c r="C185" s="132"/>
      <c r="D185" s="116"/>
      <c r="E185" s="116"/>
      <c r="F185" s="14" t="s">
        <v>588</v>
      </c>
      <c r="G185" s="23" t="s">
        <v>589</v>
      </c>
      <c r="H185" s="33" t="str">
        <f>VLOOKUP(G185,'insumos terrapl'!$C$3:$K$47,2,0)</f>
        <v>2N  20  14  08  00  00  00</v>
      </c>
      <c r="I185" s="33" t="str">
        <f>VLOOKUP(G185,'insumos terrapl'!$C$3:$K$47,3,0)</f>
        <v>2N</v>
      </c>
      <c r="J185" s="33">
        <f>VLOOKUP(G185,'insumos terrapl'!$C$3:$K$47,4,0)</f>
        <v>20</v>
      </c>
      <c r="K185" s="33">
        <f>VLOOKUP(G185,'insumos terrapl'!$C$3:$K$47,5,0)</f>
        <v>14</v>
      </c>
      <c r="L185" s="33" t="str">
        <f>VLOOKUP(G185,'insumos terrapl'!$C$3:$K$47,6,0)</f>
        <v>08</v>
      </c>
      <c r="M185" s="33" t="str">
        <f>VLOOKUP(G185,'insumos terrapl'!$C$3:$K$47,7,0)</f>
        <v>00</v>
      </c>
      <c r="N185" s="33" t="str">
        <f>VLOOKUP(G185,'insumos terrapl'!$C$3:$K$47,8,0)</f>
        <v>00</v>
      </c>
      <c r="O185" s="101" t="str">
        <f>VLOOKUP(G185,'insumos terrapl'!$C$3:$K$47,9,0)</f>
        <v>00</v>
      </c>
    </row>
    <row r="186" spans="1:15" s="4" customFormat="1">
      <c r="A186" s="125"/>
      <c r="B186" s="127"/>
      <c r="C186" s="125">
        <v>5501906</v>
      </c>
      <c r="D186" s="115" t="str">
        <f>A181</f>
        <v>2.6.3</v>
      </c>
      <c r="E186" s="115" t="s">
        <v>338</v>
      </c>
      <c r="F186" s="11" t="s">
        <v>79</v>
      </c>
      <c r="G186" s="20"/>
      <c r="H186" s="29"/>
      <c r="I186" s="29"/>
      <c r="J186" s="29"/>
      <c r="K186" s="29"/>
      <c r="L186" s="29"/>
      <c r="M186" s="29"/>
      <c r="N186" s="29"/>
      <c r="O186" s="97"/>
    </row>
    <row r="187" spans="1:15" s="4" customFormat="1" ht="30">
      <c r="A187" s="125"/>
      <c r="B187" s="127"/>
      <c r="C187" s="125"/>
      <c r="D187" s="115"/>
      <c r="E187" s="115"/>
      <c r="F187" s="11" t="s">
        <v>651</v>
      </c>
      <c r="G187" s="20" t="s">
        <v>652</v>
      </c>
      <c r="H187" s="29" t="str">
        <f>VLOOKUP(G187,'insumos terrapl'!$C$3:$K$47,2,0)</f>
        <v>2Q  66  10  02  00  00  00</v>
      </c>
      <c r="I187" s="29" t="str">
        <f>VLOOKUP(G187,'insumos terrapl'!$C$3:$K$47,3,0)</f>
        <v>2Q</v>
      </c>
      <c r="J187" s="29">
        <f>VLOOKUP(G187,'insumos terrapl'!$C$3:$K$47,4,0)</f>
        <v>66</v>
      </c>
      <c r="K187" s="29" t="str">
        <f>VLOOKUP(G187,'insumos terrapl'!$C$3:$K$47,5,0)</f>
        <v>10</v>
      </c>
      <c r="L187" s="29" t="str">
        <f>VLOOKUP(G187,'insumos terrapl'!$C$3:$K$47,6,0)</f>
        <v>02</v>
      </c>
      <c r="M187" s="29" t="str">
        <f>VLOOKUP(G187,'insumos terrapl'!$C$3:$K$47,7,0)</f>
        <v>00</v>
      </c>
      <c r="N187" s="29" t="str">
        <f>VLOOKUP(G187,'insumos terrapl'!$C$3:$K$47,8,0)</f>
        <v>00</v>
      </c>
      <c r="O187" s="97" t="str">
        <f>VLOOKUP(G187,'insumos terrapl'!$C$3:$K$47,9,0)</f>
        <v>00</v>
      </c>
    </row>
    <row r="188" spans="1:15" s="4" customFormat="1" ht="30">
      <c r="A188" s="125"/>
      <c r="B188" s="127"/>
      <c r="C188" s="125"/>
      <c r="D188" s="115"/>
      <c r="E188" s="115"/>
      <c r="F188" s="11" t="s">
        <v>653</v>
      </c>
      <c r="G188" s="20" t="s">
        <v>654</v>
      </c>
      <c r="H188" s="29" t="str">
        <f>VLOOKUP(G188,'insumos terrapl'!$C$3:$K$47,2,0)</f>
        <v>2Q  62  10  06  00  00  00</v>
      </c>
      <c r="I188" s="29" t="str">
        <f>VLOOKUP(G188,'insumos terrapl'!$C$3:$K$47,3,0)</f>
        <v>2Q</v>
      </c>
      <c r="J188" s="29">
        <f>VLOOKUP(G188,'insumos terrapl'!$C$3:$K$47,4,0)</f>
        <v>62</v>
      </c>
      <c r="K188" s="29" t="str">
        <f>VLOOKUP(G188,'insumos terrapl'!$C$3:$K$47,5,0)</f>
        <v>10</v>
      </c>
      <c r="L188" s="29" t="str">
        <f>VLOOKUP(G188,'insumos terrapl'!$C$3:$K$47,6,0)</f>
        <v>06</v>
      </c>
      <c r="M188" s="29" t="str">
        <f>VLOOKUP(G188,'insumos terrapl'!$C$3:$K$47,7,0)</f>
        <v>00</v>
      </c>
      <c r="N188" s="29" t="str">
        <f>VLOOKUP(G188,'insumos terrapl'!$C$3:$K$47,8,0)</f>
        <v>00</v>
      </c>
      <c r="O188" s="97" t="str">
        <f>VLOOKUP(G188,'insumos terrapl'!$C$3:$K$47,9,0)</f>
        <v>00</v>
      </c>
    </row>
    <row r="189" spans="1:15" s="4" customFormat="1">
      <c r="A189" s="125"/>
      <c r="B189" s="127"/>
      <c r="C189" s="125"/>
      <c r="D189" s="115"/>
      <c r="E189" s="115"/>
      <c r="F189" s="11" t="s">
        <v>605</v>
      </c>
      <c r="G189" s="20" t="s">
        <v>606</v>
      </c>
      <c r="H189" s="29" t="str">
        <f>VLOOKUP(G189,'insumos terrapl'!$C$3:$K$47,2,0)</f>
        <v>2Q  62  30  02  14  00  00</v>
      </c>
      <c r="I189" s="29" t="str">
        <f>VLOOKUP(G189,'insumos terrapl'!$C$3:$K$47,3,0)</f>
        <v>2Q</v>
      </c>
      <c r="J189" s="29">
        <f>VLOOKUP(G189,'insumos terrapl'!$C$3:$K$47,4,0)</f>
        <v>62</v>
      </c>
      <c r="K189" s="29">
        <f>VLOOKUP(G189,'insumos terrapl'!$C$3:$K$47,5,0)</f>
        <v>30</v>
      </c>
      <c r="L189" s="29" t="str">
        <f>VLOOKUP(G189,'insumos terrapl'!$C$3:$K$47,6,0)</f>
        <v>02</v>
      </c>
      <c r="M189" s="29" t="str">
        <f>VLOOKUP(G189,'insumos terrapl'!$C$3:$K$47,7,0)</f>
        <v>14</v>
      </c>
      <c r="N189" s="29" t="str">
        <f>VLOOKUP(G189,'insumos terrapl'!$C$3:$K$47,8,0)</f>
        <v>00</v>
      </c>
      <c r="O189" s="97" t="str">
        <f>VLOOKUP(G189,'insumos terrapl'!$C$3:$K$47,9,0)</f>
        <v>00</v>
      </c>
    </row>
    <row r="190" spans="1:15" s="4" customFormat="1">
      <c r="A190" s="125"/>
      <c r="B190" s="127"/>
      <c r="C190" s="125"/>
      <c r="D190" s="115"/>
      <c r="E190" s="115"/>
      <c r="F190" s="11" t="s">
        <v>588</v>
      </c>
      <c r="G190" s="20" t="s">
        <v>589</v>
      </c>
      <c r="H190" s="29" t="str">
        <f>VLOOKUP(G190,'insumos terrapl'!$C$3:$K$47,2,0)</f>
        <v>2N  20  14  08  00  00  00</v>
      </c>
      <c r="I190" s="29" t="str">
        <f>VLOOKUP(G190,'insumos terrapl'!$C$3:$K$47,3,0)</f>
        <v>2N</v>
      </c>
      <c r="J190" s="29">
        <f>VLOOKUP(G190,'insumos terrapl'!$C$3:$K$47,4,0)</f>
        <v>20</v>
      </c>
      <c r="K190" s="29">
        <f>VLOOKUP(G190,'insumos terrapl'!$C$3:$K$47,5,0)</f>
        <v>14</v>
      </c>
      <c r="L190" s="29" t="str">
        <f>VLOOKUP(G190,'insumos terrapl'!$C$3:$K$47,6,0)</f>
        <v>08</v>
      </c>
      <c r="M190" s="29" t="str">
        <f>VLOOKUP(G190,'insumos terrapl'!$C$3:$K$47,7,0)</f>
        <v>00</v>
      </c>
      <c r="N190" s="29" t="str">
        <f>VLOOKUP(G190,'insumos terrapl'!$C$3:$K$47,8,0)</f>
        <v>00</v>
      </c>
      <c r="O190" s="97" t="str">
        <f>VLOOKUP(G190,'insumos terrapl'!$C$3:$K$47,9,0)</f>
        <v>00</v>
      </c>
    </row>
    <row r="191" spans="1:15" s="4" customFormat="1">
      <c r="A191" s="125"/>
      <c r="B191" s="127"/>
      <c r="C191" s="132"/>
      <c r="D191" s="116"/>
      <c r="E191" s="115"/>
      <c r="F191" s="10"/>
      <c r="G191" s="20"/>
      <c r="H191" s="29"/>
      <c r="I191" s="29"/>
      <c r="J191" s="29"/>
      <c r="K191" s="29"/>
      <c r="L191" s="29"/>
      <c r="M191" s="29"/>
      <c r="N191" s="29"/>
      <c r="O191" s="97"/>
    </row>
    <row r="192" spans="1:15" s="4" customFormat="1">
      <c r="A192" s="125"/>
      <c r="B192" s="127"/>
      <c r="C192" s="124">
        <v>5501932</v>
      </c>
      <c r="D192" s="114" t="str">
        <f>A181</f>
        <v>2.6.3</v>
      </c>
      <c r="E192" s="114" t="s">
        <v>340</v>
      </c>
      <c r="F192" s="12" t="s">
        <v>80</v>
      </c>
      <c r="G192" s="19"/>
      <c r="H192" s="28"/>
      <c r="I192" s="28"/>
      <c r="J192" s="28"/>
      <c r="K192" s="28"/>
      <c r="L192" s="28"/>
      <c r="M192" s="28"/>
      <c r="N192" s="28"/>
      <c r="O192" s="99"/>
    </row>
    <row r="193" spans="1:15" s="4" customFormat="1" ht="30">
      <c r="A193" s="125"/>
      <c r="B193" s="127"/>
      <c r="C193" s="125"/>
      <c r="D193" s="115"/>
      <c r="E193" s="115"/>
      <c r="F193" s="11" t="s">
        <v>651</v>
      </c>
      <c r="G193" s="20" t="s">
        <v>652</v>
      </c>
      <c r="H193" s="29" t="str">
        <f>VLOOKUP(G193,'insumos terrapl'!$C$3:$K$47,2,0)</f>
        <v>2Q  66  10  02  00  00  00</v>
      </c>
      <c r="I193" s="29" t="str">
        <f>VLOOKUP(G193,'insumos terrapl'!$C$3:$K$47,3,0)</f>
        <v>2Q</v>
      </c>
      <c r="J193" s="29">
        <f>VLOOKUP(G193,'insumos terrapl'!$C$3:$K$47,4,0)</f>
        <v>66</v>
      </c>
      <c r="K193" s="29" t="str">
        <f>VLOOKUP(G193,'insumos terrapl'!$C$3:$K$47,5,0)</f>
        <v>10</v>
      </c>
      <c r="L193" s="29" t="str">
        <f>VLOOKUP(G193,'insumos terrapl'!$C$3:$K$47,6,0)</f>
        <v>02</v>
      </c>
      <c r="M193" s="29" t="str">
        <f>VLOOKUP(G193,'insumos terrapl'!$C$3:$K$47,7,0)</f>
        <v>00</v>
      </c>
      <c r="N193" s="29" t="str">
        <f>VLOOKUP(G193,'insumos terrapl'!$C$3:$K$47,8,0)</f>
        <v>00</v>
      </c>
      <c r="O193" s="97" t="str">
        <f>VLOOKUP(G193,'insumos terrapl'!$C$3:$K$47,9,0)</f>
        <v>00</v>
      </c>
    </row>
    <row r="194" spans="1:15" s="4" customFormat="1" ht="30">
      <c r="A194" s="125"/>
      <c r="B194" s="127"/>
      <c r="C194" s="125"/>
      <c r="D194" s="115"/>
      <c r="E194" s="115"/>
      <c r="F194" s="11" t="s">
        <v>653</v>
      </c>
      <c r="G194" s="20" t="s">
        <v>654</v>
      </c>
      <c r="H194" s="29" t="str">
        <f>VLOOKUP(G194,'insumos terrapl'!$C$3:$K$47,2,0)</f>
        <v>2Q  62  10  06  00  00  00</v>
      </c>
      <c r="I194" s="29" t="str">
        <f>VLOOKUP(G194,'insumos terrapl'!$C$3:$K$47,3,0)</f>
        <v>2Q</v>
      </c>
      <c r="J194" s="29">
        <f>VLOOKUP(G194,'insumos terrapl'!$C$3:$K$47,4,0)</f>
        <v>62</v>
      </c>
      <c r="K194" s="29" t="str">
        <f>VLOOKUP(G194,'insumos terrapl'!$C$3:$K$47,5,0)</f>
        <v>10</v>
      </c>
      <c r="L194" s="29" t="str">
        <f>VLOOKUP(G194,'insumos terrapl'!$C$3:$K$47,6,0)</f>
        <v>06</v>
      </c>
      <c r="M194" s="29" t="str">
        <f>VLOOKUP(G194,'insumos terrapl'!$C$3:$K$47,7,0)</f>
        <v>00</v>
      </c>
      <c r="N194" s="29" t="str">
        <f>VLOOKUP(G194,'insumos terrapl'!$C$3:$K$47,8,0)</f>
        <v>00</v>
      </c>
      <c r="O194" s="97" t="str">
        <f>VLOOKUP(G194,'insumos terrapl'!$C$3:$K$47,9,0)</f>
        <v>00</v>
      </c>
    </row>
    <row r="195" spans="1:15" s="1" customFormat="1">
      <c r="A195" s="125"/>
      <c r="B195" s="127"/>
      <c r="C195" s="125"/>
      <c r="D195" s="115"/>
      <c r="E195" s="115"/>
      <c r="F195" s="11" t="s">
        <v>605</v>
      </c>
      <c r="G195" s="20" t="s">
        <v>606</v>
      </c>
      <c r="H195" s="29" t="str">
        <f>VLOOKUP(G195,'insumos terrapl'!$C$3:$K$47,2,0)</f>
        <v>2Q  62  30  02  14  00  00</v>
      </c>
      <c r="I195" s="29" t="str">
        <f>VLOOKUP(G195,'insumos terrapl'!$C$3:$K$47,3,0)</f>
        <v>2Q</v>
      </c>
      <c r="J195" s="29">
        <f>VLOOKUP(G195,'insumos terrapl'!$C$3:$K$47,4,0)</f>
        <v>62</v>
      </c>
      <c r="K195" s="29">
        <f>VLOOKUP(G195,'insumos terrapl'!$C$3:$K$47,5,0)</f>
        <v>30</v>
      </c>
      <c r="L195" s="29" t="str">
        <f>VLOOKUP(G195,'insumos terrapl'!$C$3:$K$47,6,0)</f>
        <v>02</v>
      </c>
      <c r="M195" s="29" t="str">
        <f>VLOOKUP(G195,'insumos terrapl'!$C$3:$K$47,7,0)</f>
        <v>14</v>
      </c>
      <c r="N195" s="29" t="str">
        <f>VLOOKUP(G195,'insumos terrapl'!$C$3:$K$47,8,0)</f>
        <v>00</v>
      </c>
      <c r="O195" s="97" t="str">
        <f>VLOOKUP(G195,'insumos terrapl'!$C$3:$K$47,9,0)</f>
        <v>00</v>
      </c>
    </row>
    <row r="196" spans="1:15">
      <c r="A196" s="125"/>
      <c r="B196" s="127"/>
      <c r="C196" s="125"/>
      <c r="D196" s="115"/>
      <c r="E196" s="115"/>
      <c r="F196" s="11" t="s">
        <v>588</v>
      </c>
      <c r="G196" s="20" t="s">
        <v>589</v>
      </c>
      <c r="H196" s="29" t="str">
        <f>VLOOKUP(G196,'insumos terrapl'!$C$3:$K$47,2,0)</f>
        <v>2N  20  14  08  00  00  00</v>
      </c>
      <c r="I196" s="29" t="str">
        <f>VLOOKUP(G196,'insumos terrapl'!$C$3:$K$47,3,0)</f>
        <v>2N</v>
      </c>
      <c r="J196" s="29">
        <f>VLOOKUP(G196,'insumos terrapl'!$C$3:$K$47,4,0)</f>
        <v>20</v>
      </c>
      <c r="K196" s="29">
        <f>VLOOKUP(G196,'insumos terrapl'!$C$3:$K$47,5,0)</f>
        <v>14</v>
      </c>
      <c r="L196" s="29" t="str">
        <f>VLOOKUP(G196,'insumos terrapl'!$C$3:$K$47,6,0)</f>
        <v>08</v>
      </c>
      <c r="M196" s="29" t="str">
        <f>VLOOKUP(G196,'insumos terrapl'!$C$3:$K$47,7,0)</f>
        <v>00</v>
      </c>
      <c r="N196" s="29" t="str">
        <f>VLOOKUP(G196,'insumos terrapl'!$C$3:$K$47,8,0)</f>
        <v>00</v>
      </c>
      <c r="O196" s="97" t="str">
        <f>VLOOKUP(G196,'insumos terrapl'!$C$3:$K$47,9,0)</f>
        <v>00</v>
      </c>
    </row>
    <row r="197" spans="1:15">
      <c r="A197" s="125"/>
      <c r="B197" s="127"/>
      <c r="C197" s="132"/>
      <c r="D197" s="116"/>
      <c r="E197" s="116"/>
      <c r="F197" s="13"/>
      <c r="G197" s="21"/>
      <c r="H197" s="31"/>
      <c r="I197" s="31"/>
      <c r="J197" s="31"/>
      <c r="K197" s="31"/>
      <c r="L197" s="31"/>
      <c r="M197" s="31"/>
      <c r="N197" s="31"/>
      <c r="O197" s="98"/>
    </row>
    <row r="198" spans="1:15">
      <c r="A198" s="125"/>
      <c r="B198" s="127"/>
      <c r="C198" s="124">
        <v>5501881</v>
      </c>
      <c r="D198" s="114" t="str">
        <f>A181</f>
        <v>2.6.3</v>
      </c>
      <c r="E198" s="115" t="s">
        <v>342</v>
      </c>
      <c r="F198" s="11" t="s">
        <v>81</v>
      </c>
      <c r="G198" s="20"/>
      <c r="H198" s="29"/>
      <c r="I198" s="29"/>
      <c r="J198" s="29"/>
      <c r="K198" s="29"/>
      <c r="L198" s="29"/>
      <c r="M198" s="29"/>
      <c r="N198" s="29"/>
      <c r="O198" s="97"/>
    </row>
    <row r="199" spans="1:15" ht="30">
      <c r="A199" s="125"/>
      <c r="B199" s="127"/>
      <c r="C199" s="125"/>
      <c r="D199" s="115"/>
      <c r="E199" s="115"/>
      <c r="F199" s="11" t="s">
        <v>651</v>
      </c>
      <c r="G199" s="20" t="s">
        <v>652</v>
      </c>
      <c r="H199" s="29" t="str">
        <f>VLOOKUP(G199,'insumos terrapl'!$C$3:$K$47,2,0)</f>
        <v>2Q  66  10  02  00  00  00</v>
      </c>
      <c r="I199" s="29" t="str">
        <f>VLOOKUP(G199,'insumos terrapl'!$C$3:$K$47,3,0)</f>
        <v>2Q</v>
      </c>
      <c r="J199" s="29">
        <f>VLOOKUP(G199,'insumos terrapl'!$C$3:$K$47,4,0)</f>
        <v>66</v>
      </c>
      <c r="K199" s="29" t="str">
        <f>VLOOKUP(G199,'insumos terrapl'!$C$3:$K$47,5,0)</f>
        <v>10</v>
      </c>
      <c r="L199" s="29" t="str">
        <f>VLOOKUP(G199,'insumos terrapl'!$C$3:$K$47,6,0)</f>
        <v>02</v>
      </c>
      <c r="M199" s="29" t="str">
        <f>VLOOKUP(G199,'insumos terrapl'!$C$3:$K$47,7,0)</f>
        <v>00</v>
      </c>
      <c r="N199" s="29" t="str">
        <f>VLOOKUP(G199,'insumos terrapl'!$C$3:$K$47,8,0)</f>
        <v>00</v>
      </c>
      <c r="O199" s="97" t="str">
        <f>VLOOKUP(G199,'insumos terrapl'!$C$3:$K$47,9,0)</f>
        <v>00</v>
      </c>
    </row>
    <row r="200" spans="1:15" ht="30">
      <c r="A200" s="125"/>
      <c r="B200" s="127"/>
      <c r="C200" s="125"/>
      <c r="D200" s="115"/>
      <c r="E200" s="115"/>
      <c r="F200" s="11" t="s">
        <v>653</v>
      </c>
      <c r="G200" s="20" t="s">
        <v>654</v>
      </c>
      <c r="H200" s="29" t="str">
        <f>VLOOKUP(G200,'insumos terrapl'!$C$3:$K$47,2,0)</f>
        <v>2Q  62  10  06  00  00  00</v>
      </c>
      <c r="I200" s="29" t="str">
        <f>VLOOKUP(G200,'insumos terrapl'!$C$3:$K$47,3,0)</f>
        <v>2Q</v>
      </c>
      <c r="J200" s="29">
        <f>VLOOKUP(G200,'insumos terrapl'!$C$3:$K$47,4,0)</f>
        <v>62</v>
      </c>
      <c r="K200" s="29" t="str">
        <f>VLOOKUP(G200,'insumos terrapl'!$C$3:$K$47,5,0)</f>
        <v>10</v>
      </c>
      <c r="L200" s="29" t="str">
        <f>VLOOKUP(G200,'insumos terrapl'!$C$3:$K$47,6,0)</f>
        <v>06</v>
      </c>
      <c r="M200" s="29" t="str">
        <f>VLOOKUP(G200,'insumos terrapl'!$C$3:$K$47,7,0)</f>
        <v>00</v>
      </c>
      <c r="N200" s="29" t="str">
        <f>VLOOKUP(G200,'insumos terrapl'!$C$3:$K$47,8,0)</f>
        <v>00</v>
      </c>
      <c r="O200" s="97" t="str">
        <f>VLOOKUP(G200,'insumos terrapl'!$C$3:$K$47,9,0)</f>
        <v>00</v>
      </c>
    </row>
    <row r="201" spans="1:15">
      <c r="A201" s="125"/>
      <c r="B201" s="127"/>
      <c r="C201" s="125"/>
      <c r="D201" s="115"/>
      <c r="E201" s="115"/>
      <c r="F201" s="11" t="s">
        <v>605</v>
      </c>
      <c r="G201" s="20" t="s">
        <v>606</v>
      </c>
      <c r="H201" s="29" t="str">
        <f>VLOOKUP(G201,'insumos terrapl'!$C$3:$K$47,2,0)</f>
        <v>2Q  62  30  02  14  00  00</v>
      </c>
      <c r="I201" s="29" t="str">
        <f>VLOOKUP(G201,'insumos terrapl'!$C$3:$K$47,3,0)</f>
        <v>2Q</v>
      </c>
      <c r="J201" s="29">
        <f>VLOOKUP(G201,'insumos terrapl'!$C$3:$K$47,4,0)</f>
        <v>62</v>
      </c>
      <c r="K201" s="29">
        <f>VLOOKUP(G201,'insumos terrapl'!$C$3:$K$47,5,0)</f>
        <v>30</v>
      </c>
      <c r="L201" s="29" t="str">
        <f>VLOOKUP(G201,'insumos terrapl'!$C$3:$K$47,6,0)</f>
        <v>02</v>
      </c>
      <c r="M201" s="29" t="str">
        <f>VLOOKUP(G201,'insumos terrapl'!$C$3:$K$47,7,0)</f>
        <v>14</v>
      </c>
      <c r="N201" s="29" t="str">
        <f>VLOOKUP(G201,'insumos terrapl'!$C$3:$K$47,8,0)</f>
        <v>00</v>
      </c>
      <c r="O201" s="97" t="str">
        <f>VLOOKUP(G201,'insumos terrapl'!$C$3:$K$47,9,0)</f>
        <v>00</v>
      </c>
    </row>
    <row r="202" spans="1:15" s="6" customFormat="1">
      <c r="A202" s="125"/>
      <c r="B202" s="127"/>
      <c r="C202" s="125"/>
      <c r="D202" s="115"/>
      <c r="E202" s="115"/>
      <c r="F202" s="11" t="s">
        <v>588</v>
      </c>
      <c r="G202" s="20" t="s">
        <v>589</v>
      </c>
      <c r="H202" s="29" t="str">
        <f>VLOOKUP(G202,'insumos terrapl'!$C$3:$K$47,2,0)</f>
        <v>2N  20  14  08  00  00  00</v>
      </c>
      <c r="I202" s="29" t="str">
        <f>VLOOKUP(G202,'insumos terrapl'!$C$3:$K$47,3,0)</f>
        <v>2N</v>
      </c>
      <c r="J202" s="29">
        <f>VLOOKUP(G202,'insumos terrapl'!$C$3:$K$47,4,0)</f>
        <v>20</v>
      </c>
      <c r="K202" s="29">
        <f>VLOOKUP(G202,'insumos terrapl'!$C$3:$K$47,5,0)</f>
        <v>14</v>
      </c>
      <c r="L202" s="29" t="str">
        <f>VLOOKUP(G202,'insumos terrapl'!$C$3:$K$47,6,0)</f>
        <v>08</v>
      </c>
      <c r="M202" s="29" t="str">
        <f>VLOOKUP(G202,'insumos terrapl'!$C$3:$K$47,7,0)</f>
        <v>00</v>
      </c>
      <c r="N202" s="29" t="str">
        <f>VLOOKUP(G202,'insumos terrapl'!$C$3:$K$47,8,0)</f>
        <v>00</v>
      </c>
      <c r="O202" s="97" t="str">
        <f>VLOOKUP(G202,'insumos terrapl'!$C$3:$K$47,9,0)</f>
        <v>00</v>
      </c>
    </row>
    <row r="203" spans="1:15" s="6" customFormat="1">
      <c r="A203" s="125"/>
      <c r="B203" s="127"/>
      <c r="C203" s="132"/>
      <c r="D203" s="116"/>
      <c r="E203" s="115"/>
      <c r="F203" s="10"/>
      <c r="G203" s="20"/>
      <c r="H203" s="29"/>
      <c r="I203" s="29"/>
      <c r="J203" s="29"/>
      <c r="K203" s="29"/>
      <c r="L203" s="29"/>
      <c r="M203" s="29"/>
      <c r="N203" s="29"/>
      <c r="O203" s="97"/>
    </row>
    <row r="204" spans="1:15" s="6" customFormat="1">
      <c r="A204" s="125"/>
      <c r="B204" s="127"/>
      <c r="C204" s="124" t="s">
        <v>82</v>
      </c>
      <c r="D204" s="114" t="str">
        <f>A181</f>
        <v>2.6.3</v>
      </c>
      <c r="E204" s="114" t="s">
        <v>344</v>
      </c>
      <c r="F204" s="12" t="s">
        <v>82</v>
      </c>
      <c r="G204" s="19"/>
      <c r="H204" s="28"/>
      <c r="I204" s="28"/>
      <c r="J204" s="28"/>
      <c r="K204" s="28"/>
      <c r="L204" s="28"/>
      <c r="M204" s="28"/>
      <c r="N204" s="28"/>
      <c r="O204" s="99"/>
    </row>
    <row r="205" spans="1:15" s="6" customFormat="1" ht="30">
      <c r="A205" s="125"/>
      <c r="B205" s="127"/>
      <c r="C205" s="125"/>
      <c r="D205" s="115"/>
      <c r="E205" s="115"/>
      <c r="F205" s="11" t="s">
        <v>651</v>
      </c>
      <c r="G205" s="20" t="s">
        <v>652</v>
      </c>
      <c r="H205" s="29" t="str">
        <f>VLOOKUP(G205,'insumos terrapl'!$C$3:$K$47,2,0)</f>
        <v>2Q  66  10  02  00  00  00</v>
      </c>
      <c r="I205" s="29" t="str">
        <f>VLOOKUP(G205,'insumos terrapl'!$C$3:$K$47,3,0)</f>
        <v>2Q</v>
      </c>
      <c r="J205" s="29">
        <f>VLOOKUP(G205,'insumos terrapl'!$C$3:$K$47,4,0)</f>
        <v>66</v>
      </c>
      <c r="K205" s="29" t="str">
        <f>VLOOKUP(G205,'insumos terrapl'!$C$3:$K$47,5,0)</f>
        <v>10</v>
      </c>
      <c r="L205" s="29" t="str">
        <f>VLOOKUP(G205,'insumos terrapl'!$C$3:$K$47,6,0)</f>
        <v>02</v>
      </c>
      <c r="M205" s="29" t="str">
        <f>VLOOKUP(G205,'insumos terrapl'!$C$3:$K$47,7,0)</f>
        <v>00</v>
      </c>
      <c r="N205" s="29" t="str">
        <f>VLOOKUP(G205,'insumos terrapl'!$C$3:$K$47,8,0)</f>
        <v>00</v>
      </c>
      <c r="O205" s="97" t="str">
        <f>VLOOKUP(G205,'insumos terrapl'!$C$3:$K$47,9,0)</f>
        <v>00</v>
      </c>
    </row>
    <row r="206" spans="1:15" s="6" customFormat="1" ht="30">
      <c r="A206" s="125"/>
      <c r="B206" s="127"/>
      <c r="C206" s="125"/>
      <c r="D206" s="115"/>
      <c r="E206" s="115"/>
      <c r="F206" s="11" t="s">
        <v>653</v>
      </c>
      <c r="G206" s="20" t="s">
        <v>654</v>
      </c>
      <c r="H206" s="29" t="str">
        <f>VLOOKUP(G206,'insumos terrapl'!$C$3:$K$47,2,0)</f>
        <v>2Q  62  10  06  00  00  00</v>
      </c>
      <c r="I206" s="29" t="str">
        <f>VLOOKUP(G206,'insumos terrapl'!$C$3:$K$47,3,0)</f>
        <v>2Q</v>
      </c>
      <c r="J206" s="29">
        <f>VLOOKUP(G206,'insumos terrapl'!$C$3:$K$47,4,0)</f>
        <v>62</v>
      </c>
      <c r="K206" s="29" t="str">
        <f>VLOOKUP(G206,'insumos terrapl'!$C$3:$K$47,5,0)</f>
        <v>10</v>
      </c>
      <c r="L206" s="29" t="str">
        <f>VLOOKUP(G206,'insumos terrapl'!$C$3:$K$47,6,0)</f>
        <v>06</v>
      </c>
      <c r="M206" s="29" t="str">
        <f>VLOOKUP(G206,'insumos terrapl'!$C$3:$K$47,7,0)</f>
        <v>00</v>
      </c>
      <c r="N206" s="29" t="str">
        <f>VLOOKUP(G206,'insumos terrapl'!$C$3:$K$47,8,0)</f>
        <v>00</v>
      </c>
      <c r="O206" s="97" t="str">
        <f>VLOOKUP(G206,'insumos terrapl'!$C$3:$K$47,9,0)</f>
        <v>00</v>
      </c>
    </row>
    <row r="207" spans="1:15" s="6" customFormat="1">
      <c r="A207" s="125"/>
      <c r="B207" s="127"/>
      <c r="C207" s="125"/>
      <c r="D207" s="115"/>
      <c r="E207" s="115"/>
      <c r="F207" s="11" t="s">
        <v>605</v>
      </c>
      <c r="G207" s="20" t="s">
        <v>606</v>
      </c>
      <c r="H207" s="29" t="str">
        <f>VLOOKUP(G207,'insumos terrapl'!$C$3:$K$47,2,0)</f>
        <v>2Q  62  30  02  14  00  00</v>
      </c>
      <c r="I207" s="29" t="str">
        <f>VLOOKUP(G207,'insumos terrapl'!$C$3:$K$47,3,0)</f>
        <v>2Q</v>
      </c>
      <c r="J207" s="29">
        <f>VLOOKUP(G207,'insumos terrapl'!$C$3:$K$47,4,0)</f>
        <v>62</v>
      </c>
      <c r="K207" s="29">
        <f>VLOOKUP(G207,'insumos terrapl'!$C$3:$K$47,5,0)</f>
        <v>30</v>
      </c>
      <c r="L207" s="29" t="str">
        <f>VLOOKUP(G207,'insumos terrapl'!$C$3:$K$47,6,0)</f>
        <v>02</v>
      </c>
      <c r="M207" s="29" t="str">
        <f>VLOOKUP(G207,'insumos terrapl'!$C$3:$K$47,7,0)</f>
        <v>14</v>
      </c>
      <c r="N207" s="29" t="str">
        <f>VLOOKUP(G207,'insumos terrapl'!$C$3:$K$47,8,0)</f>
        <v>00</v>
      </c>
      <c r="O207" s="97" t="str">
        <f>VLOOKUP(G207,'insumos terrapl'!$C$3:$K$47,9,0)</f>
        <v>00</v>
      </c>
    </row>
    <row r="208" spans="1:15" s="6" customFormat="1">
      <c r="A208" s="125"/>
      <c r="B208" s="127"/>
      <c r="C208" s="125"/>
      <c r="D208" s="115"/>
      <c r="E208" s="115"/>
      <c r="F208" s="11" t="s">
        <v>588</v>
      </c>
      <c r="G208" s="20" t="s">
        <v>589</v>
      </c>
      <c r="H208" s="29" t="str">
        <f>VLOOKUP(G208,'insumos terrapl'!$C$3:$K$47,2,0)</f>
        <v>2N  20  14  08  00  00  00</v>
      </c>
      <c r="I208" s="29" t="str">
        <f>VLOOKUP(G208,'insumos terrapl'!$C$3:$K$47,3,0)</f>
        <v>2N</v>
      </c>
      <c r="J208" s="29">
        <f>VLOOKUP(G208,'insumos terrapl'!$C$3:$K$47,4,0)</f>
        <v>20</v>
      </c>
      <c r="K208" s="29">
        <f>VLOOKUP(G208,'insumos terrapl'!$C$3:$K$47,5,0)</f>
        <v>14</v>
      </c>
      <c r="L208" s="29" t="str">
        <f>VLOOKUP(G208,'insumos terrapl'!$C$3:$K$47,6,0)</f>
        <v>08</v>
      </c>
      <c r="M208" s="29" t="str">
        <f>VLOOKUP(G208,'insumos terrapl'!$C$3:$K$47,7,0)</f>
        <v>00</v>
      </c>
      <c r="N208" s="29" t="str">
        <f>VLOOKUP(G208,'insumos terrapl'!$C$3:$K$47,8,0)</f>
        <v>00</v>
      </c>
      <c r="O208" s="97" t="str">
        <f>VLOOKUP(G208,'insumos terrapl'!$C$3:$K$47,9,0)</f>
        <v>00</v>
      </c>
    </row>
    <row r="209" spans="1:15" s="6" customFormat="1">
      <c r="A209" s="125"/>
      <c r="B209" s="127"/>
      <c r="C209" s="132"/>
      <c r="D209" s="116"/>
      <c r="E209" s="116"/>
      <c r="F209" s="13"/>
      <c r="G209" s="21"/>
      <c r="H209" s="31"/>
      <c r="I209" s="31"/>
      <c r="J209" s="31"/>
      <c r="K209" s="31"/>
      <c r="L209" s="31"/>
      <c r="M209" s="31"/>
      <c r="N209" s="31"/>
      <c r="O209" s="98"/>
    </row>
    <row r="210" spans="1:15" s="6" customFormat="1">
      <c r="A210" s="125"/>
      <c r="B210" s="127"/>
      <c r="C210" s="124" t="s">
        <v>83</v>
      </c>
      <c r="D210" s="114" t="str">
        <f>A181</f>
        <v>2.6.3</v>
      </c>
      <c r="E210" s="115" t="s">
        <v>346</v>
      </c>
      <c r="F210" s="11" t="s">
        <v>83</v>
      </c>
      <c r="G210" s="20"/>
      <c r="H210" s="29"/>
      <c r="I210" s="29"/>
      <c r="J210" s="29"/>
      <c r="K210" s="29"/>
      <c r="L210" s="29"/>
      <c r="M210" s="29"/>
      <c r="N210" s="29"/>
      <c r="O210" s="97"/>
    </row>
    <row r="211" spans="1:15" s="6" customFormat="1" ht="30">
      <c r="A211" s="125"/>
      <c r="B211" s="127"/>
      <c r="C211" s="125"/>
      <c r="D211" s="115"/>
      <c r="E211" s="115"/>
      <c r="F211" s="11" t="s">
        <v>651</v>
      </c>
      <c r="G211" s="20" t="s">
        <v>652</v>
      </c>
      <c r="H211" s="29" t="str">
        <f>VLOOKUP(G211,'insumos terrapl'!$C$3:$K$47,2,0)</f>
        <v>2Q  66  10  02  00  00  00</v>
      </c>
      <c r="I211" s="29" t="str">
        <f>VLOOKUP(G211,'insumos terrapl'!$C$3:$K$47,3,0)</f>
        <v>2Q</v>
      </c>
      <c r="J211" s="29">
        <f>VLOOKUP(G211,'insumos terrapl'!$C$3:$K$47,4,0)</f>
        <v>66</v>
      </c>
      <c r="K211" s="29" t="str">
        <f>VLOOKUP(G211,'insumos terrapl'!$C$3:$K$47,5,0)</f>
        <v>10</v>
      </c>
      <c r="L211" s="29" t="str">
        <f>VLOOKUP(G211,'insumos terrapl'!$C$3:$K$47,6,0)</f>
        <v>02</v>
      </c>
      <c r="M211" s="29" t="str">
        <f>VLOOKUP(G211,'insumos terrapl'!$C$3:$K$47,7,0)</f>
        <v>00</v>
      </c>
      <c r="N211" s="29" t="str">
        <f>VLOOKUP(G211,'insumos terrapl'!$C$3:$K$47,8,0)</f>
        <v>00</v>
      </c>
      <c r="O211" s="97" t="str">
        <f>VLOOKUP(G211,'insumos terrapl'!$C$3:$K$47,9,0)</f>
        <v>00</v>
      </c>
    </row>
    <row r="212" spans="1:15" s="6" customFormat="1" ht="30">
      <c r="A212" s="125"/>
      <c r="B212" s="127"/>
      <c r="C212" s="125"/>
      <c r="D212" s="115"/>
      <c r="E212" s="115"/>
      <c r="F212" s="11" t="s">
        <v>653</v>
      </c>
      <c r="G212" s="20" t="s">
        <v>654</v>
      </c>
      <c r="H212" s="29" t="str">
        <f>VLOOKUP(G212,'insumos terrapl'!$C$3:$K$47,2,0)</f>
        <v>2Q  62  10  06  00  00  00</v>
      </c>
      <c r="I212" s="29" t="str">
        <f>VLOOKUP(G212,'insumos terrapl'!$C$3:$K$47,3,0)</f>
        <v>2Q</v>
      </c>
      <c r="J212" s="29">
        <f>VLOOKUP(G212,'insumos terrapl'!$C$3:$K$47,4,0)</f>
        <v>62</v>
      </c>
      <c r="K212" s="29" t="str">
        <f>VLOOKUP(G212,'insumos terrapl'!$C$3:$K$47,5,0)</f>
        <v>10</v>
      </c>
      <c r="L212" s="29" t="str">
        <f>VLOOKUP(G212,'insumos terrapl'!$C$3:$K$47,6,0)</f>
        <v>06</v>
      </c>
      <c r="M212" s="29" t="str">
        <f>VLOOKUP(G212,'insumos terrapl'!$C$3:$K$47,7,0)</f>
        <v>00</v>
      </c>
      <c r="N212" s="29" t="str">
        <f>VLOOKUP(G212,'insumos terrapl'!$C$3:$K$47,8,0)</f>
        <v>00</v>
      </c>
      <c r="O212" s="97" t="str">
        <f>VLOOKUP(G212,'insumos terrapl'!$C$3:$K$47,9,0)</f>
        <v>00</v>
      </c>
    </row>
    <row r="213" spans="1:15" s="6" customFormat="1">
      <c r="A213" s="125"/>
      <c r="B213" s="127"/>
      <c r="C213" s="125"/>
      <c r="D213" s="115"/>
      <c r="E213" s="115"/>
      <c r="F213" s="11" t="s">
        <v>605</v>
      </c>
      <c r="G213" s="20" t="s">
        <v>606</v>
      </c>
      <c r="H213" s="29" t="str">
        <f>VLOOKUP(G213,'insumos terrapl'!$C$3:$K$47,2,0)</f>
        <v>2Q  62  30  02  14  00  00</v>
      </c>
      <c r="I213" s="29" t="str">
        <f>VLOOKUP(G213,'insumos terrapl'!$C$3:$K$47,3,0)</f>
        <v>2Q</v>
      </c>
      <c r="J213" s="29">
        <f>VLOOKUP(G213,'insumos terrapl'!$C$3:$K$47,4,0)</f>
        <v>62</v>
      </c>
      <c r="K213" s="29">
        <f>VLOOKUP(G213,'insumos terrapl'!$C$3:$K$47,5,0)</f>
        <v>30</v>
      </c>
      <c r="L213" s="29" t="str">
        <f>VLOOKUP(G213,'insumos terrapl'!$C$3:$K$47,6,0)</f>
        <v>02</v>
      </c>
      <c r="M213" s="29" t="str">
        <f>VLOOKUP(G213,'insumos terrapl'!$C$3:$K$47,7,0)</f>
        <v>14</v>
      </c>
      <c r="N213" s="29" t="str">
        <f>VLOOKUP(G213,'insumos terrapl'!$C$3:$K$47,8,0)</f>
        <v>00</v>
      </c>
      <c r="O213" s="97" t="str">
        <f>VLOOKUP(G213,'insumos terrapl'!$C$3:$K$47,9,0)</f>
        <v>00</v>
      </c>
    </row>
    <row r="214" spans="1:15" s="6" customFormat="1">
      <c r="A214" s="125"/>
      <c r="B214" s="127"/>
      <c r="C214" s="125"/>
      <c r="D214" s="115"/>
      <c r="E214" s="115"/>
      <c r="F214" s="11" t="s">
        <v>588</v>
      </c>
      <c r="G214" s="20" t="s">
        <v>589</v>
      </c>
      <c r="H214" s="29" t="str">
        <f>VLOOKUP(G214,'insumos terrapl'!$C$3:$K$47,2,0)</f>
        <v>2N  20  14  08  00  00  00</v>
      </c>
      <c r="I214" s="29" t="str">
        <f>VLOOKUP(G214,'insumos terrapl'!$C$3:$K$47,3,0)</f>
        <v>2N</v>
      </c>
      <c r="J214" s="29">
        <f>VLOOKUP(G214,'insumos terrapl'!$C$3:$K$47,4,0)</f>
        <v>20</v>
      </c>
      <c r="K214" s="29">
        <f>VLOOKUP(G214,'insumos terrapl'!$C$3:$K$47,5,0)</f>
        <v>14</v>
      </c>
      <c r="L214" s="29" t="str">
        <f>VLOOKUP(G214,'insumos terrapl'!$C$3:$K$47,6,0)</f>
        <v>08</v>
      </c>
      <c r="M214" s="29" t="str">
        <f>VLOOKUP(G214,'insumos terrapl'!$C$3:$K$47,7,0)</f>
        <v>00</v>
      </c>
      <c r="N214" s="29" t="str">
        <f>VLOOKUP(G214,'insumos terrapl'!$C$3:$K$47,8,0)</f>
        <v>00</v>
      </c>
      <c r="O214" s="97" t="str">
        <f>VLOOKUP(G214,'insumos terrapl'!$C$3:$K$47,9,0)</f>
        <v>00</v>
      </c>
    </row>
    <row r="215" spans="1:15" s="6" customFormat="1">
      <c r="A215" s="125"/>
      <c r="B215" s="127"/>
      <c r="C215" s="132"/>
      <c r="D215" s="116"/>
      <c r="E215" s="115"/>
      <c r="F215" s="10"/>
      <c r="G215" s="20"/>
      <c r="H215" s="29"/>
      <c r="I215" s="29"/>
      <c r="J215" s="29"/>
      <c r="K215" s="29"/>
      <c r="L215" s="29"/>
      <c r="M215" s="29"/>
      <c r="N215" s="29"/>
      <c r="O215" s="97"/>
    </row>
    <row r="216" spans="1:15" s="6" customFormat="1">
      <c r="A216" s="125"/>
      <c r="B216" s="127"/>
      <c r="C216" s="124" t="s">
        <v>84</v>
      </c>
      <c r="D216" s="114" t="str">
        <f>A181</f>
        <v>2.6.3</v>
      </c>
      <c r="E216" s="114" t="s">
        <v>348</v>
      </c>
      <c r="F216" s="12" t="s">
        <v>84</v>
      </c>
      <c r="G216" s="19"/>
      <c r="H216" s="28"/>
      <c r="I216" s="28"/>
      <c r="J216" s="28"/>
      <c r="K216" s="28"/>
      <c r="L216" s="28"/>
      <c r="M216" s="28"/>
      <c r="N216" s="28"/>
      <c r="O216" s="99"/>
    </row>
    <row r="217" spans="1:15" s="6" customFormat="1" ht="30">
      <c r="A217" s="125"/>
      <c r="B217" s="127"/>
      <c r="C217" s="125"/>
      <c r="D217" s="115"/>
      <c r="E217" s="115"/>
      <c r="F217" s="11" t="s">
        <v>651</v>
      </c>
      <c r="G217" s="20" t="s">
        <v>652</v>
      </c>
      <c r="H217" s="29" t="str">
        <f>VLOOKUP(G217,'insumos terrapl'!$C$3:$K$47,2,0)</f>
        <v>2Q  66  10  02  00  00  00</v>
      </c>
      <c r="I217" s="29" t="str">
        <f>VLOOKUP(G217,'insumos terrapl'!$C$3:$K$47,3,0)</f>
        <v>2Q</v>
      </c>
      <c r="J217" s="29">
        <f>VLOOKUP(G217,'insumos terrapl'!$C$3:$K$47,4,0)</f>
        <v>66</v>
      </c>
      <c r="K217" s="29" t="str">
        <f>VLOOKUP(G217,'insumos terrapl'!$C$3:$K$47,5,0)</f>
        <v>10</v>
      </c>
      <c r="L217" s="29" t="str">
        <f>VLOOKUP(G217,'insumos terrapl'!$C$3:$K$47,6,0)</f>
        <v>02</v>
      </c>
      <c r="M217" s="29" t="str">
        <f>VLOOKUP(G217,'insumos terrapl'!$C$3:$K$47,7,0)</f>
        <v>00</v>
      </c>
      <c r="N217" s="29" t="str">
        <f>VLOOKUP(G217,'insumos terrapl'!$C$3:$K$47,8,0)</f>
        <v>00</v>
      </c>
      <c r="O217" s="97" t="str">
        <f>VLOOKUP(G217,'insumos terrapl'!$C$3:$K$47,9,0)</f>
        <v>00</v>
      </c>
    </row>
    <row r="218" spans="1:15" s="6" customFormat="1" ht="30">
      <c r="A218" s="125"/>
      <c r="B218" s="127"/>
      <c r="C218" s="125"/>
      <c r="D218" s="115"/>
      <c r="E218" s="115"/>
      <c r="F218" s="11" t="s">
        <v>653</v>
      </c>
      <c r="G218" s="20" t="s">
        <v>654</v>
      </c>
      <c r="H218" s="29" t="str">
        <f>VLOOKUP(G218,'insumos terrapl'!$C$3:$K$47,2,0)</f>
        <v>2Q  62  10  06  00  00  00</v>
      </c>
      <c r="I218" s="29" t="str">
        <f>VLOOKUP(G218,'insumos terrapl'!$C$3:$K$47,3,0)</f>
        <v>2Q</v>
      </c>
      <c r="J218" s="29">
        <f>VLOOKUP(G218,'insumos terrapl'!$C$3:$K$47,4,0)</f>
        <v>62</v>
      </c>
      <c r="K218" s="29" t="str">
        <f>VLOOKUP(G218,'insumos terrapl'!$C$3:$K$47,5,0)</f>
        <v>10</v>
      </c>
      <c r="L218" s="29" t="str">
        <f>VLOOKUP(G218,'insumos terrapl'!$C$3:$K$47,6,0)</f>
        <v>06</v>
      </c>
      <c r="M218" s="29" t="str">
        <f>VLOOKUP(G218,'insumos terrapl'!$C$3:$K$47,7,0)</f>
        <v>00</v>
      </c>
      <c r="N218" s="29" t="str">
        <f>VLOOKUP(G218,'insumos terrapl'!$C$3:$K$47,8,0)</f>
        <v>00</v>
      </c>
      <c r="O218" s="97" t="str">
        <f>VLOOKUP(G218,'insumos terrapl'!$C$3:$K$47,9,0)</f>
        <v>00</v>
      </c>
    </row>
    <row r="219" spans="1:15" s="6" customFormat="1">
      <c r="A219" s="125"/>
      <c r="B219" s="127"/>
      <c r="C219" s="125"/>
      <c r="D219" s="115"/>
      <c r="E219" s="115"/>
      <c r="F219" s="11" t="s">
        <v>605</v>
      </c>
      <c r="G219" s="20" t="s">
        <v>606</v>
      </c>
      <c r="H219" s="29" t="str">
        <f>VLOOKUP(G219,'insumos terrapl'!$C$3:$K$47,2,0)</f>
        <v>2Q  62  30  02  14  00  00</v>
      </c>
      <c r="I219" s="29" t="str">
        <f>VLOOKUP(G219,'insumos terrapl'!$C$3:$K$47,3,0)</f>
        <v>2Q</v>
      </c>
      <c r="J219" s="29">
        <f>VLOOKUP(G219,'insumos terrapl'!$C$3:$K$47,4,0)</f>
        <v>62</v>
      </c>
      <c r="K219" s="29">
        <f>VLOOKUP(G219,'insumos terrapl'!$C$3:$K$47,5,0)</f>
        <v>30</v>
      </c>
      <c r="L219" s="29" t="str">
        <f>VLOOKUP(G219,'insumos terrapl'!$C$3:$K$47,6,0)</f>
        <v>02</v>
      </c>
      <c r="M219" s="29" t="str">
        <f>VLOOKUP(G219,'insumos terrapl'!$C$3:$K$47,7,0)</f>
        <v>14</v>
      </c>
      <c r="N219" s="29" t="str">
        <f>VLOOKUP(G219,'insumos terrapl'!$C$3:$K$47,8,0)</f>
        <v>00</v>
      </c>
      <c r="O219" s="97" t="str">
        <f>VLOOKUP(G219,'insumos terrapl'!$C$3:$K$47,9,0)</f>
        <v>00</v>
      </c>
    </row>
    <row r="220" spans="1:15" s="6" customFormat="1">
      <c r="A220" s="125"/>
      <c r="B220" s="127"/>
      <c r="C220" s="125"/>
      <c r="D220" s="115"/>
      <c r="E220" s="115"/>
      <c r="F220" s="11" t="s">
        <v>588</v>
      </c>
      <c r="G220" s="20" t="s">
        <v>589</v>
      </c>
      <c r="H220" s="29" t="str">
        <f>VLOOKUP(G220,'insumos terrapl'!$C$3:$K$47,2,0)</f>
        <v>2N  20  14  08  00  00  00</v>
      </c>
      <c r="I220" s="29" t="str">
        <f>VLOOKUP(G220,'insumos terrapl'!$C$3:$K$47,3,0)</f>
        <v>2N</v>
      </c>
      <c r="J220" s="29">
        <f>VLOOKUP(G220,'insumos terrapl'!$C$3:$K$47,4,0)</f>
        <v>20</v>
      </c>
      <c r="K220" s="29">
        <f>VLOOKUP(G220,'insumos terrapl'!$C$3:$K$47,5,0)</f>
        <v>14</v>
      </c>
      <c r="L220" s="29" t="str">
        <f>VLOOKUP(G220,'insumos terrapl'!$C$3:$K$47,6,0)</f>
        <v>08</v>
      </c>
      <c r="M220" s="29" t="str">
        <f>VLOOKUP(G220,'insumos terrapl'!$C$3:$K$47,7,0)</f>
        <v>00</v>
      </c>
      <c r="N220" s="29" t="str">
        <f>VLOOKUP(G220,'insumos terrapl'!$C$3:$K$47,8,0)</f>
        <v>00</v>
      </c>
      <c r="O220" s="97" t="str">
        <f>VLOOKUP(G220,'insumos terrapl'!$C$3:$K$47,9,0)</f>
        <v>00</v>
      </c>
    </row>
    <row r="221" spans="1:15" s="6" customFormat="1">
      <c r="A221" s="125"/>
      <c r="B221" s="127"/>
      <c r="C221" s="132"/>
      <c r="D221" s="116"/>
      <c r="E221" s="116"/>
      <c r="F221" s="13"/>
      <c r="G221" s="21"/>
      <c r="H221" s="31"/>
      <c r="I221" s="31"/>
      <c r="J221" s="31"/>
      <c r="K221" s="31"/>
      <c r="L221" s="31"/>
      <c r="M221" s="31"/>
      <c r="N221" s="31"/>
      <c r="O221" s="98"/>
    </row>
    <row r="222" spans="1:15" s="6" customFormat="1">
      <c r="A222" s="125"/>
      <c r="B222" s="127"/>
      <c r="C222" s="124" t="s">
        <v>85</v>
      </c>
      <c r="D222" s="114" t="str">
        <f>A181</f>
        <v>2.6.3</v>
      </c>
      <c r="E222" s="115" t="s">
        <v>350</v>
      </c>
      <c r="F222" s="11" t="s">
        <v>85</v>
      </c>
      <c r="G222" s="20"/>
      <c r="H222" s="29"/>
      <c r="I222" s="29"/>
      <c r="J222" s="29"/>
      <c r="K222" s="29"/>
      <c r="L222" s="29"/>
      <c r="M222" s="29"/>
      <c r="N222" s="29"/>
      <c r="O222" s="97"/>
    </row>
    <row r="223" spans="1:15" s="6" customFormat="1" ht="30">
      <c r="A223" s="125"/>
      <c r="B223" s="127"/>
      <c r="C223" s="125"/>
      <c r="D223" s="115"/>
      <c r="E223" s="115"/>
      <c r="F223" s="11" t="s">
        <v>651</v>
      </c>
      <c r="G223" s="20" t="s">
        <v>652</v>
      </c>
      <c r="H223" s="29" t="str">
        <f>VLOOKUP(G223,'insumos terrapl'!$C$3:$K$47,2,0)</f>
        <v>2Q  66  10  02  00  00  00</v>
      </c>
      <c r="I223" s="29" t="str">
        <f>VLOOKUP(G223,'insumos terrapl'!$C$3:$K$47,3,0)</f>
        <v>2Q</v>
      </c>
      <c r="J223" s="29">
        <f>VLOOKUP(G223,'insumos terrapl'!$C$3:$K$47,4,0)</f>
        <v>66</v>
      </c>
      <c r="K223" s="29" t="str">
        <f>VLOOKUP(G223,'insumos terrapl'!$C$3:$K$47,5,0)</f>
        <v>10</v>
      </c>
      <c r="L223" s="29" t="str">
        <f>VLOOKUP(G223,'insumos terrapl'!$C$3:$K$47,6,0)</f>
        <v>02</v>
      </c>
      <c r="M223" s="29" t="str">
        <f>VLOOKUP(G223,'insumos terrapl'!$C$3:$K$47,7,0)</f>
        <v>00</v>
      </c>
      <c r="N223" s="29" t="str">
        <f>VLOOKUP(G223,'insumos terrapl'!$C$3:$K$47,8,0)</f>
        <v>00</v>
      </c>
      <c r="O223" s="97" t="str">
        <f>VLOOKUP(G223,'insumos terrapl'!$C$3:$K$47,9,0)</f>
        <v>00</v>
      </c>
    </row>
    <row r="224" spans="1:15" s="6" customFormat="1" ht="30">
      <c r="A224" s="125"/>
      <c r="B224" s="127"/>
      <c r="C224" s="125"/>
      <c r="D224" s="115"/>
      <c r="E224" s="115"/>
      <c r="F224" s="11" t="s">
        <v>653</v>
      </c>
      <c r="G224" s="20" t="s">
        <v>654</v>
      </c>
      <c r="H224" s="29" t="str">
        <f>VLOOKUP(G224,'insumos terrapl'!$C$3:$K$47,2,0)</f>
        <v>2Q  62  10  06  00  00  00</v>
      </c>
      <c r="I224" s="29" t="str">
        <f>VLOOKUP(G224,'insumos terrapl'!$C$3:$K$47,3,0)</f>
        <v>2Q</v>
      </c>
      <c r="J224" s="29">
        <f>VLOOKUP(G224,'insumos terrapl'!$C$3:$K$47,4,0)</f>
        <v>62</v>
      </c>
      <c r="K224" s="29" t="str">
        <f>VLOOKUP(G224,'insumos terrapl'!$C$3:$K$47,5,0)</f>
        <v>10</v>
      </c>
      <c r="L224" s="29" t="str">
        <f>VLOOKUP(G224,'insumos terrapl'!$C$3:$K$47,6,0)</f>
        <v>06</v>
      </c>
      <c r="M224" s="29" t="str">
        <f>VLOOKUP(G224,'insumos terrapl'!$C$3:$K$47,7,0)</f>
        <v>00</v>
      </c>
      <c r="N224" s="29" t="str">
        <f>VLOOKUP(G224,'insumos terrapl'!$C$3:$K$47,8,0)</f>
        <v>00</v>
      </c>
      <c r="O224" s="97" t="str">
        <f>VLOOKUP(G224,'insumos terrapl'!$C$3:$K$47,9,0)</f>
        <v>00</v>
      </c>
    </row>
    <row r="225" spans="1:15" s="6" customFormat="1">
      <c r="A225" s="125"/>
      <c r="B225" s="127"/>
      <c r="C225" s="125"/>
      <c r="D225" s="115"/>
      <c r="E225" s="115"/>
      <c r="F225" s="11" t="s">
        <v>605</v>
      </c>
      <c r="G225" s="20" t="s">
        <v>606</v>
      </c>
      <c r="H225" s="29" t="str">
        <f>VLOOKUP(G225,'insumos terrapl'!$C$3:$K$47,2,0)</f>
        <v>2Q  62  30  02  14  00  00</v>
      </c>
      <c r="I225" s="29" t="str">
        <f>VLOOKUP(G225,'insumos terrapl'!$C$3:$K$47,3,0)</f>
        <v>2Q</v>
      </c>
      <c r="J225" s="29">
        <f>VLOOKUP(G225,'insumos terrapl'!$C$3:$K$47,4,0)</f>
        <v>62</v>
      </c>
      <c r="K225" s="29">
        <f>VLOOKUP(G225,'insumos terrapl'!$C$3:$K$47,5,0)</f>
        <v>30</v>
      </c>
      <c r="L225" s="29" t="str">
        <f>VLOOKUP(G225,'insumos terrapl'!$C$3:$K$47,6,0)</f>
        <v>02</v>
      </c>
      <c r="M225" s="29" t="str">
        <f>VLOOKUP(G225,'insumos terrapl'!$C$3:$K$47,7,0)</f>
        <v>14</v>
      </c>
      <c r="N225" s="29" t="str">
        <f>VLOOKUP(G225,'insumos terrapl'!$C$3:$K$47,8,0)</f>
        <v>00</v>
      </c>
      <c r="O225" s="97" t="str">
        <f>VLOOKUP(G225,'insumos terrapl'!$C$3:$K$47,9,0)</f>
        <v>00</v>
      </c>
    </row>
    <row r="226" spans="1:15" s="6" customFormat="1">
      <c r="A226" s="125"/>
      <c r="B226" s="127"/>
      <c r="C226" s="125"/>
      <c r="D226" s="115"/>
      <c r="E226" s="115"/>
      <c r="F226" s="11" t="s">
        <v>588</v>
      </c>
      <c r="G226" s="20" t="s">
        <v>589</v>
      </c>
      <c r="H226" s="29" t="str">
        <f>VLOOKUP(G226,'insumos terrapl'!$C$3:$K$47,2,0)</f>
        <v>2N  20  14  08  00  00  00</v>
      </c>
      <c r="I226" s="29" t="str">
        <f>VLOOKUP(G226,'insumos terrapl'!$C$3:$K$47,3,0)</f>
        <v>2N</v>
      </c>
      <c r="J226" s="29">
        <f>VLOOKUP(G226,'insumos terrapl'!$C$3:$K$47,4,0)</f>
        <v>20</v>
      </c>
      <c r="K226" s="29">
        <f>VLOOKUP(G226,'insumos terrapl'!$C$3:$K$47,5,0)</f>
        <v>14</v>
      </c>
      <c r="L226" s="29" t="str">
        <f>VLOOKUP(G226,'insumos terrapl'!$C$3:$K$47,6,0)</f>
        <v>08</v>
      </c>
      <c r="M226" s="29" t="str">
        <f>VLOOKUP(G226,'insumos terrapl'!$C$3:$K$47,7,0)</f>
        <v>00</v>
      </c>
      <c r="N226" s="29" t="str">
        <f>VLOOKUP(G226,'insumos terrapl'!$C$3:$K$47,8,0)</f>
        <v>00</v>
      </c>
      <c r="O226" s="97" t="str">
        <f>VLOOKUP(G226,'insumos terrapl'!$C$3:$K$47,9,0)</f>
        <v>00</v>
      </c>
    </row>
    <row r="227" spans="1:15" s="6" customFormat="1">
      <c r="A227" s="125"/>
      <c r="B227" s="127"/>
      <c r="C227" s="132"/>
      <c r="D227" s="116"/>
      <c r="E227" s="115"/>
      <c r="F227" s="10"/>
      <c r="G227" s="20"/>
      <c r="H227" s="29"/>
      <c r="I227" s="29"/>
      <c r="J227" s="29"/>
      <c r="K227" s="29"/>
      <c r="L227" s="29"/>
      <c r="M227" s="29"/>
      <c r="N227" s="29"/>
      <c r="O227" s="97"/>
    </row>
    <row r="228" spans="1:15" s="6" customFormat="1">
      <c r="A228" s="125"/>
      <c r="B228" s="127"/>
      <c r="C228" s="124" t="s">
        <v>86</v>
      </c>
      <c r="D228" s="114" t="str">
        <f>A181</f>
        <v>2.6.3</v>
      </c>
      <c r="E228" s="114" t="s">
        <v>352</v>
      </c>
      <c r="F228" s="12" t="s">
        <v>86</v>
      </c>
      <c r="G228" s="19"/>
      <c r="H228" s="28"/>
      <c r="I228" s="28"/>
      <c r="J228" s="28"/>
      <c r="K228" s="28"/>
      <c r="L228" s="28"/>
      <c r="M228" s="28"/>
      <c r="N228" s="28"/>
      <c r="O228" s="99"/>
    </row>
    <row r="229" spans="1:15" s="6" customFormat="1" ht="30">
      <c r="A229" s="125"/>
      <c r="B229" s="127"/>
      <c r="C229" s="125"/>
      <c r="D229" s="115"/>
      <c r="E229" s="115"/>
      <c r="F229" s="11" t="s">
        <v>651</v>
      </c>
      <c r="G229" s="20" t="s">
        <v>652</v>
      </c>
      <c r="H229" s="29" t="str">
        <f>VLOOKUP(G229,'insumos terrapl'!$C$3:$K$47,2,0)</f>
        <v>2Q  66  10  02  00  00  00</v>
      </c>
      <c r="I229" s="29" t="str">
        <f>VLOOKUP(G229,'insumos terrapl'!$C$3:$K$47,3,0)</f>
        <v>2Q</v>
      </c>
      <c r="J229" s="29">
        <f>VLOOKUP(G229,'insumos terrapl'!$C$3:$K$47,4,0)</f>
        <v>66</v>
      </c>
      <c r="K229" s="29" t="str">
        <f>VLOOKUP(G229,'insumos terrapl'!$C$3:$K$47,5,0)</f>
        <v>10</v>
      </c>
      <c r="L229" s="29" t="str">
        <f>VLOOKUP(G229,'insumos terrapl'!$C$3:$K$47,6,0)</f>
        <v>02</v>
      </c>
      <c r="M229" s="29" t="str">
        <f>VLOOKUP(G229,'insumos terrapl'!$C$3:$K$47,7,0)</f>
        <v>00</v>
      </c>
      <c r="N229" s="29" t="str">
        <f>VLOOKUP(G229,'insumos terrapl'!$C$3:$K$47,8,0)</f>
        <v>00</v>
      </c>
      <c r="O229" s="97" t="str">
        <f>VLOOKUP(G229,'insumos terrapl'!$C$3:$K$47,9,0)</f>
        <v>00</v>
      </c>
    </row>
    <row r="230" spans="1:15" s="6" customFormat="1" ht="30">
      <c r="A230" s="125"/>
      <c r="B230" s="127"/>
      <c r="C230" s="125"/>
      <c r="D230" s="115"/>
      <c r="E230" s="115"/>
      <c r="F230" s="11" t="s">
        <v>653</v>
      </c>
      <c r="G230" s="20" t="s">
        <v>654</v>
      </c>
      <c r="H230" s="29" t="str">
        <f>VLOOKUP(G230,'insumos terrapl'!$C$3:$K$47,2,0)</f>
        <v>2Q  62  10  06  00  00  00</v>
      </c>
      <c r="I230" s="29" t="str">
        <f>VLOOKUP(G230,'insumos terrapl'!$C$3:$K$47,3,0)</f>
        <v>2Q</v>
      </c>
      <c r="J230" s="29">
        <f>VLOOKUP(G230,'insumos terrapl'!$C$3:$K$47,4,0)</f>
        <v>62</v>
      </c>
      <c r="K230" s="29" t="str">
        <f>VLOOKUP(G230,'insumos terrapl'!$C$3:$K$47,5,0)</f>
        <v>10</v>
      </c>
      <c r="L230" s="29" t="str">
        <f>VLOOKUP(G230,'insumos terrapl'!$C$3:$K$47,6,0)</f>
        <v>06</v>
      </c>
      <c r="M230" s="29" t="str">
        <f>VLOOKUP(G230,'insumos terrapl'!$C$3:$K$47,7,0)</f>
        <v>00</v>
      </c>
      <c r="N230" s="29" t="str">
        <f>VLOOKUP(G230,'insumos terrapl'!$C$3:$K$47,8,0)</f>
        <v>00</v>
      </c>
      <c r="O230" s="97" t="str">
        <f>VLOOKUP(G230,'insumos terrapl'!$C$3:$K$47,9,0)</f>
        <v>00</v>
      </c>
    </row>
    <row r="231" spans="1:15" s="6" customFormat="1">
      <c r="A231" s="125"/>
      <c r="B231" s="127"/>
      <c r="C231" s="125"/>
      <c r="D231" s="115"/>
      <c r="E231" s="115"/>
      <c r="F231" s="11" t="s">
        <v>605</v>
      </c>
      <c r="G231" s="20" t="s">
        <v>606</v>
      </c>
      <c r="H231" s="29" t="str">
        <f>VLOOKUP(G231,'insumos terrapl'!$C$3:$K$47,2,0)</f>
        <v>2Q  62  30  02  14  00  00</v>
      </c>
      <c r="I231" s="29" t="str">
        <f>VLOOKUP(G231,'insumos terrapl'!$C$3:$K$47,3,0)</f>
        <v>2Q</v>
      </c>
      <c r="J231" s="29">
        <f>VLOOKUP(G231,'insumos terrapl'!$C$3:$K$47,4,0)</f>
        <v>62</v>
      </c>
      <c r="K231" s="29">
        <f>VLOOKUP(G231,'insumos terrapl'!$C$3:$K$47,5,0)</f>
        <v>30</v>
      </c>
      <c r="L231" s="29" t="str">
        <f>VLOOKUP(G231,'insumos terrapl'!$C$3:$K$47,6,0)</f>
        <v>02</v>
      </c>
      <c r="M231" s="29" t="str">
        <f>VLOOKUP(G231,'insumos terrapl'!$C$3:$K$47,7,0)</f>
        <v>14</v>
      </c>
      <c r="N231" s="29" t="str">
        <f>VLOOKUP(G231,'insumos terrapl'!$C$3:$K$47,8,0)</f>
        <v>00</v>
      </c>
      <c r="O231" s="97" t="str">
        <f>VLOOKUP(G231,'insumos terrapl'!$C$3:$K$47,9,0)</f>
        <v>00</v>
      </c>
    </row>
    <row r="232" spans="1:15" s="6" customFormat="1">
      <c r="A232" s="125"/>
      <c r="B232" s="127"/>
      <c r="C232" s="125"/>
      <c r="D232" s="115"/>
      <c r="E232" s="115"/>
      <c r="F232" s="11" t="s">
        <v>588</v>
      </c>
      <c r="G232" s="20" t="s">
        <v>589</v>
      </c>
      <c r="H232" s="29" t="str">
        <f>VLOOKUP(G232,'insumos terrapl'!$C$3:$K$47,2,0)</f>
        <v>2N  20  14  08  00  00  00</v>
      </c>
      <c r="I232" s="29" t="str">
        <f>VLOOKUP(G232,'insumos terrapl'!$C$3:$K$47,3,0)</f>
        <v>2N</v>
      </c>
      <c r="J232" s="29">
        <f>VLOOKUP(G232,'insumos terrapl'!$C$3:$K$47,4,0)</f>
        <v>20</v>
      </c>
      <c r="K232" s="29">
        <f>VLOOKUP(G232,'insumos terrapl'!$C$3:$K$47,5,0)</f>
        <v>14</v>
      </c>
      <c r="L232" s="29" t="str">
        <f>VLOOKUP(G232,'insumos terrapl'!$C$3:$K$47,6,0)</f>
        <v>08</v>
      </c>
      <c r="M232" s="29" t="str">
        <f>VLOOKUP(G232,'insumos terrapl'!$C$3:$K$47,7,0)</f>
        <v>00</v>
      </c>
      <c r="N232" s="29" t="str">
        <f>VLOOKUP(G232,'insumos terrapl'!$C$3:$K$47,8,0)</f>
        <v>00</v>
      </c>
      <c r="O232" s="97" t="str">
        <f>VLOOKUP(G232,'insumos terrapl'!$C$3:$K$47,9,0)</f>
        <v>00</v>
      </c>
    </row>
    <row r="233" spans="1:15" s="6" customFormat="1">
      <c r="A233" s="125"/>
      <c r="B233" s="127"/>
      <c r="C233" s="132"/>
      <c r="D233" s="116"/>
      <c r="E233" s="116"/>
      <c r="F233" s="13"/>
      <c r="G233" s="21"/>
      <c r="H233" s="31"/>
      <c r="I233" s="31"/>
      <c r="J233" s="31"/>
      <c r="K233" s="31"/>
      <c r="L233" s="31"/>
      <c r="M233" s="31"/>
      <c r="N233" s="31"/>
      <c r="O233" s="98"/>
    </row>
    <row r="234" spans="1:15" s="6" customFormat="1">
      <c r="A234" s="125"/>
      <c r="B234" s="127"/>
      <c r="C234" s="124" t="s">
        <v>87</v>
      </c>
      <c r="D234" s="114" t="str">
        <f>A181</f>
        <v>2.6.3</v>
      </c>
      <c r="E234" s="115" t="s">
        <v>354</v>
      </c>
      <c r="F234" s="11" t="s">
        <v>87</v>
      </c>
      <c r="G234" s="20"/>
      <c r="H234" s="29"/>
      <c r="I234" s="29"/>
      <c r="J234" s="29"/>
      <c r="K234" s="29"/>
      <c r="L234" s="29"/>
      <c r="M234" s="29"/>
      <c r="N234" s="29"/>
      <c r="O234" s="97"/>
    </row>
    <row r="235" spans="1:15" s="6" customFormat="1" ht="30">
      <c r="A235" s="125"/>
      <c r="B235" s="127"/>
      <c r="C235" s="125"/>
      <c r="D235" s="115"/>
      <c r="E235" s="115"/>
      <c r="F235" s="11" t="s">
        <v>651</v>
      </c>
      <c r="G235" s="20" t="s">
        <v>652</v>
      </c>
      <c r="H235" s="29" t="str">
        <f>VLOOKUP(G235,'insumos terrapl'!$C$3:$K$47,2,0)</f>
        <v>2Q  66  10  02  00  00  00</v>
      </c>
      <c r="I235" s="29" t="str">
        <f>VLOOKUP(G235,'insumos terrapl'!$C$3:$K$47,3,0)</f>
        <v>2Q</v>
      </c>
      <c r="J235" s="29">
        <f>VLOOKUP(G235,'insumos terrapl'!$C$3:$K$47,4,0)</f>
        <v>66</v>
      </c>
      <c r="K235" s="29" t="str">
        <f>VLOOKUP(G235,'insumos terrapl'!$C$3:$K$47,5,0)</f>
        <v>10</v>
      </c>
      <c r="L235" s="29" t="str">
        <f>VLOOKUP(G235,'insumos terrapl'!$C$3:$K$47,6,0)</f>
        <v>02</v>
      </c>
      <c r="M235" s="29" t="str">
        <f>VLOOKUP(G235,'insumos terrapl'!$C$3:$K$47,7,0)</f>
        <v>00</v>
      </c>
      <c r="N235" s="29" t="str">
        <f>VLOOKUP(G235,'insumos terrapl'!$C$3:$K$47,8,0)</f>
        <v>00</v>
      </c>
      <c r="O235" s="97" t="str">
        <f>VLOOKUP(G235,'insumos terrapl'!$C$3:$K$47,9,0)</f>
        <v>00</v>
      </c>
    </row>
    <row r="236" spans="1:15" s="6" customFormat="1" ht="30">
      <c r="A236" s="125"/>
      <c r="B236" s="127"/>
      <c r="C236" s="125"/>
      <c r="D236" s="115"/>
      <c r="E236" s="115"/>
      <c r="F236" s="11" t="s">
        <v>653</v>
      </c>
      <c r="G236" s="20" t="s">
        <v>654</v>
      </c>
      <c r="H236" s="29" t="str">
        <f>VLOOKUP(G236,'insumos terrapl'!$C$3:$K$47,2,0)</f>
        <v>2Q  62  10  06  00  00  00</v>
      </c>
      <c r="I236" s="29" t="str">
        <f>VLOOKUP(G236,'insumos terrapl'!$C$3:$K$47,3,0)</f>
        <v>2Q</v>
      </c>
      <c r="J236" s="29">
        <f>VLOOKUP(G236,'insumos terrapl'!$C$3:$K$47,4,0)</f>
        <v>62</v>
      </c>
      <c r="K236" s="29" t="str">
        <f>VLOOKUP(G236,'insumos terrapl'!$C$3:$K$47,5,0)</f>
        <v>10</v>
      </c>
      <c r="L236" s="29" t="str">
        <f>VLOOKUP(G236,'insumos terrapl'!$C$3:$K$47,6,0)</f>
        <v>06</v>
      </c>
      <c r="M236" s="29" t="str">
        <f>VLOOKUP(G236,'insumos terrapl'!$C$3:$K$47,7,0)</f>
        <v>00</v>
      </c>
      <c r="N236" s="29" t="str">
        <f>VLOOKUP(G236,'insumos terrapl'!$C$3:$K$47,8,0)</f>
        <v>00</v>
      </c>
      <c r="O236" s="97" t="str">
        <f>VLOOKUP(G236,'insumos terrapl'!$C$3:$K$47,9,0)</f>
        <v>00</v>
      </c>
    </row>
    <row r="237" spans="1:15" s="6" customFormat="1">
      <c r="A237" s="125"/>
      <c r="B237" s="127"/>
      <c r="C237" s="125"/>
      <c r="D237" s="115"/>
      <c r="E237" s="115"/>
      <c r="F237" s="11" t="s">
        <v>605</v>
      </c>
      <c r="G237" s="20" t="s">
        <v>606</v>
      </c>
      <c r="H237" s="29" t="str">
        <f>VLOOKUP(G237,'insumos terrapl'!$C$3:$K$47,2,0)</f>
        <v>2Q  62  30  02  14  00  00</v>
      </c>
      <c r="I237" s="29" t="str">
        <f>VLOOKUP(G237,'insumos terrapl'!$C$3:$K$47,3,0)</f>
        <v>2Q</v>
      </c>
      <c r="J237" s="29">
        <f>VLOOKUP(G237,'insumos terrapl'!$C$3:$K$47,4,0)</f>
        <v>62</v>
      </c>
      <c r="K237" s="29">
        <f>VLOOKUP(G237,'insumos terrapl'!$C$3:$K$47,5,0)</f>
        <v>30</v>
      </c>
      <c r="L237" s="29" t="str">
        <f>VLOOKUP(G237,'insumos terrapl'!$C$3:$K$47,6,0)</f>
        <v>02</v>
      </c>
      <c r="M237" s="29" t="str">
        <f>VLOOKUP(G237,'insumos terrapl'!$C$3:$K$47,7,0)</f>
        <v>14</v>
      </c>
      <c r="N237" s="29" t="str">
        <f>VLOOKUP(G237,'insumos terrapl'!$C$3:$K$47,8,0)</f>
        <v>00</v>
      </c>
      <c r="O237" s="97" t="str">
        <f>VLOOKUP(G237,'insumos terrapl'!$C$3:$K$47,9,0)</f>
        <v>00</v>
      </c>
    </row>
    <row r="238" spans="1:15" s="6" customFormat="1">
      <c r="A238" s="125"/>
      <c r="B238" s="127"/>
      <c r="C238" s="125"/>
      <c r="D238" s="115"/>
      <c r="E238" s="115"/>
      <c r="F238" s="11" t="s">
        <v>588</v>
      </c>
      <c r="G238" s="20" t="s">
        <v>589</v>
      </c>
      <c r="H238" s="29" t="str">
        <f>VLOOKUP(G238,'insumos terrapl'!$C$3:$K$47,2,0)</f>
        <v>2N  20  14  08  00  00  00</v>
      </c>
      <c r="I238" s="29" t="str">
        <f>VLOOKUP(G238,'insumos terrapl'!$C$3:$K$47,3,0)</f>
        <v>2N</v>
      </c>
      <c r="J238" s="29">
        <f>VLOOKUP(G238,'insumos terrapl'!$C$3:$K$47,4,0)</f>
        <v>20</v>
      </c>
      <c r="K238" s="29">
        <f>VLOOKUP(G238,'insumos terrapl'!$C$3:$K$47,5,0)</f>
        <v>14</v>
      </c>
      <c r="L238" s="29" t="str">
        <f>VLOOKUP(G238,'insumos terrapl'!$C$3:$K$47,6,0)</f>
        <v>08</v>
      </c>
      <c r="M238" s="29" t="str">
        <f>VLOOKUP(G238,'insumos terrapl'!$C$3:$K$47,7,0)</f>
        <v>00</v>
      </c>
      <c r="N238" s="29" t="str">
        <f>VLOOKUP(G238,'insumos terrapl'!$C$3:$K$47,8,0)</f>
        <v>00</v>
      </c>
      <c r="O238" s="97" t="str">
        <f>VLOOKUP(G238,'insumos terrapl'!$C$3:$K$47,9,0)</f>
        <v>00</v>
      </c>
    </row>
    <row r="239" spans="1:15" s="6" customFormat="1">
      <c r="A239" s="125"/>
      <c r="B239" s="127"/>
      <c r="C239" s="132"/>
      <c r="D239" s="116"/>
      <c r="E239" s="115"/>
      <c r="F239" s="10"/>
      <c r="G239" s="20"/>
      <c r="H239" s="29"/>
      <c r="I239" s="29"/>
      <c r="J239" s="29"/>
      <c r="K239" s="29"/>
      <c r="L239" s="29"/>
      <c r="M239" s="29"/>
      <c r="N239" s="29"/>
      <c r="O239" s="97"/>
    </row>
    <row r="240" spans="1:15" s="6" customFormat="1">
      <c r="A240" s="125"/>
      <c r="B240" s="127"/>
      <c r="C240" s="124" t="s">
        <v>88</v>
      </c>
      <c r="D240" s="114" t="str">
        <f>A181</f>
        <v>2.6.3</v>
      </c>
      <c r="E240" s="114" t="s">
        <v>356</v>
      </c>
      <c r="F240" s="12" t="s">
        <v>88</v>
      </c>
      <c r="G240" s="19"/>
      <c r="H240" s="28"/>
      <c r="I240" s="28"/>
      <c r="J240" s="28"/>
      <c r="K240" s="28"/>
      <c r="L240" s="28"/>
      <c r="M240" s="28"/>
      <c r="N240" s="28"/>
      <c r="O240" s="99"/>
    </row>
    <row r="241" spans="1:15" s="6" customFormat="1" ht="30">
      <c r="A241" s="125"/>
      <c r="B241" s="127"/>
      <c r="C241" s="125"/>
      <c r="D241" s="115"/>
      <c r="E241" s="115"/>
      <c r="F241" s="11" t="s">
        <v>651</v>
      </c>
      <c r="G241" s="20" t="s">
        <v>652</v>
      </c>
      <c r="H241" s="29" t="str">
        <f>VLOOKUP(G241,'insumos terrapl'!$C$3:$K$47,2,0)</f>
        <v>2Q  66  10  02  00  00  00</v>
      </c>
      <c r="I241" s="29" t="str">
        <f>VLOOKUP(G241,'insumos terrapl'!$C$3:$K$47,3,0)</f>
        <v>2Q</v>
      </c>
      <c r="J241" s="29">
        <f>VLOOKUP(G241,'insumos terrapl'!$C$3:$K$47,4,0)</f>
        <v>66</v>
      </c>
      <c r="K241" s="29" t="str">
        <f>VLOOKUP(G241,'insumos terrapl'!$C$3:$K$47,5,0)</f>
        <v>10</v>
      </c>
      <c r="L241" s="29" t="str">
        <f>VLOOKUP(G241,'insumos terrapl'!$C$3:$K$47,6,0)</f>
        <v>02</v>
      </c>
      <c r="M241" s="29" t="str">
        <f>VLOOKUP(G241,'insumos terrapl'!$C$3:$K$47,7,0)</f>
        <v>00</v>
      </c>
      <c r="N241" s="29" t="str">
        <f>VLOOKUP(G241,'insumos terrapl'!$C$3:$K$47,8,0)</f>
        <v>00</v>
      </c>
      <c r="O241" s="97" t="str">
        <f>VLOOKUP(G241,'insumos terrapl'!$C$3:$K$47,9,0)</f>
        <v>00</v>
      </c>
    </row>
    <row r="242" spans="1:15" s="6" customFormat="1" ht="30">
      <c r="A242" s="125"/>
      <c r="B242" s="127"/>
      <c r="C242" s="125"/>
      <c r="D242" s="115"/>
      <c r="E242" s="115"/>
      <c r="F242" s="11" t="s">
        <v>653</v>
      </c>
      <c r="G242" s="20" t="s">
        <v>654</v>
      </c>
      <c r="H242" s="29" t="str">
        <f>VLOOKUP(G242,'insumos terrapl'!$C$3:$K$47,2,0)</f>
        <v>2Q  62  10  06  00  00  00</v>
      </c>
      <c r="I242" s="29" t="str">
        <f>VLOOKUP(G242,'insumos terrapl'!$C$3:$K$47,3,0)</f>
        <v>2Q</v>
      </c>
      <c r="J242" s="29">
        <f>VLOOKUP(G242,'insumos terrapl'!$C$3:$K$47,4,0)</f>
        <v>62</v>
      </c>
      <c r="K242" s="29" t="str">
        <f>VLOOKUP(G242,'insumos terrapl'!$C$3:$K$47,5,0)</f>
        <v>10</v>
      </c>
      <c r="L242" s="29" t="str">
        <f>VLOOKUP(G242,'insumos terrapl'!$C$3:$K$47,6,0)</f>
        <v>06</v>
      </c>
      <c r="M242" s="29" t="str">
        <f>VLOOKUP(G242,'insumos terrapl'!$C$3:$K$47,7,0)</f>
        <v>00</v>
      </c>
      <c r="N242" s="29" t="str">
        <f>VLOOKUP(G242,'insumos terrapl'!$C$3:$K$47,8,0)</f>
        <v>00</v>
      </c>
      <c r="O242" s="97" t="str">
        <f>VLOOKUP(G242,'insumos terrapl'!$C$3:$K$47,9,0)</f>
        <v>00</v>
      </c>
    </row>
    <row r="243" spans="1:15" s="6" customFormat="1">
      <c r="A243" s="125"/>
      <c r="B243" s="127"/>
      <c r="C243" s="125"/>
      <c r="D243" s="115"/>
      <c r="E243" s="115"/>
      <c r="F243" s="11" t="s">
        <v>605</v>
      </c>
      <c r="G243" s="20" t="s">
        <v>606</v>
      </c>
      <c r="H243" s="29" t="str">
        <f>VLOOKUP(G243,'insumos terrapl'!$C$3:$K$47,2,0)</f>
        <v>2Q  62  30  02  14  00  00</v>
      </c>
      <c r="I243" s="29" t="str">
        <f>VLOOKUP(G243,'insumos terrapl'!$C$3:$K$47,3,0)</f>
        <v>2Q</v>
      </c>
      <c r="J243" s="29">
        <f>VLOOKUP(G243,'insumos terrapl'!$C$3:$K$47,4,0)</f>
        <v>62</v>
      </c>
      <c r="K243" s="29">
        <f>VLOOKUP(G243,'insumos terrapl'!$C$3:$K$47,5,0)</f>
        <v>30</v>
      </c>
      <c r="L243" s="29" t="str">
        <f>VLOOKUP(G243,'insumos terrapl'!$C$3:$K$47,6,0)</f>
        <v>02</v>
      </c>
      <c r="M243" s="29" t="str">
        <f>VLOOKUP(G243,'insumos terrapl'!$C$3:$K$47,7,0)</f>
        <v>14</v>
      </c>
      <c r="N243" s="29" t="str">
        <f>VLOOKUP(G243,'insumos terrapl'!$C$3:$K$47,8,0)</f>
        <v>00</v>
      </c>
      <c r="O243" s="97" t="str">
        <f>VLOOKUP(G243,'insumos terrapl'!$C$3:$K$47,9,0)</f>
        <v>00</v>
      </c>
    </row>
    <row r="244" spans="1:15" s="6" customFormat="1">
      <c r="A244" s="125"/>
      <c r="B244" s="127"/>
      <c r="C244" s="125"/>
      <c r="D244" s="115"/>
      <c r="E244" s="115"/>
      <c r="F244" s="11" t="s">
        <v>588</v>
      </c>
      <c r="G244" s="20" t="s">
        <v>589</v>
      </c>
      <c r="H244" s="29" t="str">
        <f>VLOOKUP(G244,'insumos terrapl'!$C$3:$K$47,2,0)</f>
        <v>2N  20  14  08  00  00  00</v>
      </c>
      <c r="I244" s="29" t="str">
        <f>VLOOKUP(G244,'insumos terrapl'!$C$3:$K$47,3,0)</f>
        <v>2N</v>
      </c>
      <c r="J244" s="29">
        <f>VLOOKUP(G244,'insumos terrapl'!$C$3:$K$47,4,0)</f>
        <v>20</v>
      </c>
      <c r="K244" s="29">
        <f>VLOOKUP(G244,'insumos terrapl'!$C$3:$K$47,5,0)</f>
        <v>14</v>
      </c>
      <c r="L244" s="29" t="str">
        <f>VLOOKUP(G244,'insumos terrapl'!$C$3:$K$47,6,0)</f>
        <v>08</v>
      </c>
      <c r="M244" s="29" t="str">
        <f>VLOOKUP(G244,'insumos terrapl'!$C$3:$K$47,7,0)</f>
        <v>00</v>
      </c>
      <c r="N244" s="29" t="str">
        <f>VLOOKUP(G244,'insumos terrapl'!$C$3:$K$47,8,0)</f>
        <v>00</v>
      </c>
      <c r="O244" s="97" t="str">
        <f>VLOOKUP(G244,'insumos terrapl'!$C$3:$K$47,9,0)</f>
        <v>00</v>
      </c>
    </row>
    <row r="245" spans="1:15" s="6" customFormat="1">
      <c r="A245" s="125"/>
      <c r="B245" s="127"/>
      <c r="C245" s="132"/>
      <c r="D245" s="116"/>
      <c r="E245" s="116"/>
      <c r="F245" s="13"/>
      <c r="G245" s="21"/>
      <c r="H245" s="31"/>
      <c r="I245" s="31"/>
      <c r="J245" s="31"/>
      <c r="K245" s="31"/>
      <c r="L245" s="31"/>
      <c r="M245" s="31"/>
      <c r="N245" s="31"/>
      <c r="O245" s="98"/>
    </row>
    <row r="246" spans="1:15" s="6" customFormat="1">
      <c r="A246" s="125"/>
      <c r="B246" s="127"/>
      <c r="C246" s="124" t="s">
        <v>89</v>
      </c>
      <c r="D246" s="114" t="str">
        <f>$A$181</f>
        <v>2.6.3</v>
      </c>
      <c r="E246" s="115" t="s">
        <v>358</v>
      </c>
      <c r="F246" s="11" t="s">
        <v>89</v>
      </c>
      <c r="G246" s="20"/>
      <c r="H246" s="29"/>
      <c r="I246" s="29"/>
      <c r="J246" s="29"/>
      <c r="K246" s="29"/>
      <c r="L246" s="29"/>
      <c r="M246" s="29"/>
      <c r="N246" s="29"/>
      <c r="O246" s="97"/>
    </row>
    <row r="247" spans="1:15" s="6" customFormat="1" ht="30">
      <c r="A247" s="125"/>
      <c r="B247" s="127"/>
      <c r="C247" s="125"/>
      <c r="D247" s="115"/>
      <c r="E247" s="115"/>
      <c r="F247" s="11" t="s">
        <v>651</v>
      </c>
      <c r="G247" s="20" t="s">
        <v>652</v>
      </c>
      <c r="H247" s="29" t="str">
        <f>VLOOKUP(G247,'insumos terrapl'!$C$3:$K$47,2,0)</f>
        <v>2Q  66  10  02  00  00  00</v>
      </c>
      <c r="I247" s="29" t="str">
        <f>VLOOKUP(G247,'insumos terrapl'!$C$3:$K$47,3,0)</f>
        <v>2Q</v>
      </c>
      <c r="J247" s="29">
        <f>VLOOKUP(G247,'insumos terrapl'!$C$3:$K$47,4,0)</f>
        <v>66</v>
      </c>
      <c r="K247" s="29" t="str">
        <f>VLOOKUP(G247,'insumos terrapl'!$C$3:$K$47,5,0)</f>
        <v>10</v>
      </c>
      <c r="L247" s="29" t="str">
        <f>VLOOKUP(G247,'insumos terrapl'!$C$3:$K$47,6,0)</f>
        <v>02</v>
      </c>
      <c r="M247" s="29" t="str">
        <f>VLOOKUP(G247,'insumos terrapl'!$C$3:$K$47,7,0)</f>
        <v>00</v>
      </c>
      <c r="N247" s="29" t="str">
        <f>VLOOKUP(G247,'insumos terrapl'!$C$3:$K$47,8,0)</f>
        <v>00</v>
      </c>
      <c r="O247" s="97" t="str">
        <f>VLOOKUP(G247,'insumos terrapl'!$C$3:$K$47,9,0)</f>
        <v>00</v>
      </c>
    </row>
    <row r="248" spans="1:15" s="6" customFormat="1" ht="30">
      <c r="A248" s="125"/>
      <c r="B248" s="127"/>
      <c r="C248" s="125"/>
      <c r="D248" s="115"/>
      <c r="E248" s="115"/>
      <c r="F248" s="11" t="s">
        <v>653</v>
      </c>
      <c r="G248" s="20" t="s">
        <v>654</v>
      </c>
      <c r="H248" s="29" t="str">
        <f>VLOOKUP(G248,'insumos terrapl'!$C$3:$K$47,2,0)</f>
        <v>2Q  62  10  06  00  00  00</v>
      </c>
      <c r="I248" s="29" t="str">
        <f>VLOOKUP(G248,'insumos terrapl'!$C$3:$K$47,3,0)</f>
        <v>2Q</v>
      </c>
      <c r="J248" s="29">
        <f>VLOOKUP(G248,'insumos terrapl'!$C$3:$K$47,4,0)</f>
        <v>62</v>
      </c>
      <c r="K248" s="29" t="str">
        <f>VLOOKUP(G248,'insumos terrapl'!$C$3:$K$47,5,0)</f>
        <v>10</v>
      </c>
      <c r="L248" s="29" t="str">
        <f>VLOOKUP(G248,'insumos terrapl'!$C$3:$K$47,6,0)</f>
        <v>06</v>
      </c>
      <c r="M248" s="29" t="str">
        <f>VLOOKUP(G248,'insumos terrapl'!$C$3:$K$47,7,0)</f>
        <v>00</v>
      </c>
      <c r="N248" s="29" t="str">
        <f>VLOOKUP(G248,'insumos terrapl'!$C$3:$K$47,8,0)</f>
        <v>00</v>
      </c>
      <c r="O248" s="97" t="str">
        <f>VLOOKUP(G248,'insumos terrapl'!$C$3:$K$47,9,0)</f>
        <v>00</v>
      </c>
    </row>
    <row r="249" spans="1:15">
      <c r="A249" s="125"/>
      <c r="B249" s="127"/>
      <c r="C249" s="125"/>
      <c r="D249" s="115"/>
      <c r="E249" s="115"/>
      <c r="F249" s="11" t="s">
        <v>605</v>
      </c>
      <c r="G249" s="20" t="s">
        <v>606</v>
      </c>
      <c r="H249" s="29" t="str">
        <f>VLOOKUP(G249,'insumos terrapl'!$C$3:$K$47,2,0)</f>
        <v>2Q  62  30  02  14  00  00</v>
      </c>
      <c r="I249" s="29" t="str">
        <f>VLOOKUP(G249,'insumos terrapl'!$C$3:$K$47,3,0)</f>
        <v>2Q</v>
      </c>
      <c r="J249" s="29">
        <f>VLOOKUP(G249,'insumos terrapl'!$C$3:$K$47,4,0)</f>
        <v>62</v>
      </c>
      <c r="K249" s="29">
        <f>VLOOKUP(G249,'insumos terrapl'!$C$3:$K$47,5,0)</f>
        <v>30</v>
      </c>
      <c r="L249" s="29" t="str">
        <f>VLOOKUP(G249,'insumos terrapl'!$C$3:$K$47,6,0)</f>
        <v>02</v>
      </c>
      <c r="M249" s="29" t="str">
        <f>VLOOKUP(G249,'insumos terrapl'!$C$3:$K$47,7,0)</f>
        <v>14</v>
      </c>
      <c r="N249" s="29" t="str">
        <f>VLOOKUP(G249,'insumos terrapl'!$C$3:$K$47,8,0)</f>
        <v>00</v>
      </c>
      <c r="O249" s="97" t="str">
        <f>VLOOKUP(G249,'insumos terrapl'!$C$3:$K$47,9,0)</f>
        <v>00</v>
      </c>
    </row>
    <row r="250" spans="1:15">
      <c r="A250" s="125"/>
      <c r="B250" s="127"/>
      <c r="C250" s="125"/>
      <c r="D250" s="115"/>
      <c r="E250" s="115"/>
      <c r="F250" s="11" t="s">
        <v>588</v>
      </c>
      <c r="G250" s="20" t="s">
        <v>589</v>
      </c>
      <c r="H250" s="29" t="str">
        <f>VLOOKUP(G250,'insumos terrapl'!$C$3:$K$47,2,0)</f>
        <v>2N  20  14  08  00  00  00</v>
      </c>
      <c r="I250" s="29" t="str">
        <f>VLOOKUP(G250,'insumos terrapl'!$C$3:$K$47,3,0)</f>
        <v>2N</v>
      </c>
      <c r="J250" s="29">
        <f>VLOOKUP(G250,'insumos terrapl'!$C$3:$K$47,4,0)</f>
        <v>20</v>
      </c>
      <c r="K250" s="29">
        <f>VLOOKUP(G250,'insumos terrapl'!$C$3:$K$47,5,0)</f>
        <v>14</v>
      </c>
      <c r="L250" s="29" t="str">
        <f>VLOOKUP(G250,'insumos terrapl'!$C$3:$K$47,6,0)</f>
        <v>08</v>
      </c>
      <c r="M250" s="29" t="str">
        <f>VLOOKUP(G250,'insumos terrapl'!$C$3:$K$47,7,0)</f>
        <v>00</v>
      </c>
      <c r="N250" s="29" t="str">
        <f>VLOOKUP(G250,'insumos terrapl'!$C$3:$K$47,8,0)</f>
        <v>00</v>
      </c>
      <c r="O250" s="97" t="str">
        <f>VLOOKUP(G250,'insumos terrapl'!$C$3:$K$47,9,0)</f>
        <v>00</v>
      </c>
    </row>
    <row r="251" spans="1:15">
      <c r="A251" s="125"/>
      <c r="B251" s="127"/>
      <c r="C251" s="132"/>
      <c r="D251" s="116"/>
      <c r="E251" s="115"/>
      <c r="F251" s="10"/>
      <c r="G251" s="20"/>
      <c r="H251" s="29"/>
      <c r="I251" s="29"/>
      <c r="J251" s="29"/>
      <c r="K251" s="29"/>
      <c r="L251" s="29"/>
      <c r="M251" s="29"/>
      <c r="N251" s="29"/>
      <c r="O251" s="97"/>
    </row>
    <row r="252" spans="1:15">
      <c r="A252" s="125"/>
      <c r="B252" s="127"/>
      <c r="C252" s="124" t="s">
        <v>90</v>
      </c>
      <c r="D252" s="114" t="str">
        <f>$A$181</f>
        <v>2.6.3</v>
      </c>
      <c r="E252" s="114" t="s">
        <v>360</v>
      </c>
      <c r="F252" s="12" t="s">
        <v>90</v>
      </c>
      <c r="G252" s="19"/>
      <c r="H252" s="28"/>
      <c r="I252" s="28"/>
      <c r="J252" s="28"/>
      <c r="K252" s="28"/>
      <c r="L252" s="28"/>
      <c r="M252" s="28"/>
      <c r="N252" s="28"/>
      <c r="O252" s="99"/>
    </row>
    <row r="253" spans="1:15" ht="30">
      <c r="A253" s="125"/>
      <c r="B253" s="127"/>
      <c r="C253" s="125"/>
      <c r="D253" s="115"/>
      <c r="E253" s="115"/>
      <c r="F253" s="11" t="s">
        <v>651</v>
      </c>
      <c r="G253" s="20" t="s">
        <v>652</v>
      </c>
      <c r="H253" s="29" t="str">
        <f>VLOOKUP(G253,'insumos terrapl'!$C$3:$K$47,2,0)</f>
        <v>2Q  66  10  02  00  00  00</v>
      </c>
      <c r="I253" s="29" t="str">
        <f>VLOOKUP(G253,'insumos terrapl'!$C$3:$K$47,3,0)</f>
        <v>2Q</v>
      </c>
      <c r="J253" s="29">
        <f>VLOOKUP(G253,'insumos terrapl'!$C$3:$K$47,4,0)</f>
        <v>66</v>
      </c>
      <c r="K253" s="29" t="str">
        <f>VLOOKUP(G253,'insumos terrapl'!$C$3:$K$47,5,0)</f>
        <v>10</v>
      </c>
      <c r="L253" s="29" t="str">
        <f>VLOOKUP(G253,'insumos terrapl'!$C$3:$K$47,6,0)</f>
        <v>02</v>
      </c>
      <c r="M253" s="29" t="str">
        <f>VLOOKUP(G253,'insumos terrapl'!$C$3:$K$47,7,0)</f>
        <v>00</v>
      </c>
      <c r="N253" s="29" t="str">
        <f>VLOOKUP(G253,'insumos terrapl'!$C$3:$K$47,8,0)</f>
        <v>00</v>
      </c>
      <c r="O253" s="97" t="str">
        <f>VLOOKUP(G253,'insumos terrapl'!$C$3:$K$47,9,0)</f>
        <v>00</v>
      </c>
    </row>
    <row r="254" spans="1:15" ht="30">
      <c r="A254" s="125"/>
      <c r="B254" s="127"/>
      <c r="C254" s="125"/>
      <c r="D254" s="115"/>
      <c r="E254" s="115"/>
      <c r="F254" s="11" t="s">
        <v>653</v>
      </c>
      <c r="G254" s="20" t="s">
        <v>654</v>
      </c>
      <c r="H254" s="29" t="str">
        <f>VLOOKUP(G254,'insumos terrapl'!$C$3:$K$47,2,0)</f>
        <v>2Q  62  10  06  00  00  00</v>
      </c>
      <c r="I254" s="29" t="str">
        <f>VLOOKUP(G254,'insumos terrapl'!$C$3:$K$47,3,0)</f>
        <v>2Q</v>
      </c>
      <c r="J254" s="29">
        <f>VLOOKUP(G254,'insumos terrapl'!$C$3:$K$47,4,0)</f>
        <v>62</v>
      </c>
      <c r="K254" s="29" t="str">
        <f>VLOOKUP(G254,'insumos terrapl'!$C$3:$K$47,5,0)</f>
        <v>10</v>
      </c>
      <c r="L254" s="29" t="str">
        <f>VLOOKUP(G254,'insumos terrapl'!$C$3:$K$47,6,0)</f>
        <v>06</v>
      </c>
      <c r="M254" s="29" t="str">
        <f>VLOOKUP(G254,'insumos terrapl'!$C$3:$K$47,7,0)</f>
        <v>00</v>
      </c>
      <c r="N254" s="29" t="str">
        <f>VLOOKUP(G254,'insumos terrapl'!$C$3:$K$47,8,0)</f>
        <v>00</v>
      </c>
      <c r="O254" s="97" t="str">
        <f>VLOOKUP(G254,'insumos terrapl'!$C$3:$K$47,9,0)</f>
        <v>00</v>
      </c>
    </row>
    <row r="255" spans="1:15">
      <c r="A255" s="125"/>
      <c r="B255" s="127"/>
      <c r="C255" s="125"/>
      <c r="D255" s="115"/>
      <c r="E255" s="115"/>
      <c r="F255" s="11" t="s">
        <v>605</v>
      </c>
      <c r="G255" s="20" t="s">
        <v>606</v>
      </c>
      <c r="H255" s="29" t="str">
        <f>VLOOKUP(G255,'insumos terrapl'!$C$3:$K$47,2,0)</f>
        <v>2Q  62  30  02  14  00  00</v>
      </c>
      <c r="I255" s="29" t="str">
        <f>VLOOKUP(G255,'insumos terrapl'!$C$3:$K$47,3,0)</f>
        <v>2Q</v>
      </c>
      <c r="J255" s="29">
        <f>VLOOKUP(G255,'insumos terrapl'!$C$3:$K$47,4,0)</f>
        <v>62</v>
      </c>
      <c r="K255" s="29">
        <f>VLOOKUP(G255,'insumos terrapl'!$C$3:$K$47,5,0)</f>
        <v>30</v>
      </c>
      <c r="L255" s="29" t="str">
        <f>VLOOKUP(G255,'insumos terrapl'!$C$3:$K$47,6,0)</f>
        <v>02</v>
      </c>
      <c r="M255" s="29" t="str">
        <f>VLOOKUP(G255,'insumos terrapl'!$C$3:$K$47,7,0)</f>
        <v>14</v>
      </c>
      <c r="N255" s="29" t="str">
        <f>VLOOKUP(G255,'insumos terrapl'!$C$3:$K$47,8,0)</f>
        <v>00</v>
      </c>
      <c r="O255" s="97" t="str">
        <f>VLOOKUP(G255,'insumos terrapl'!$C$3:$K$47,9,0)</f>
        <v>00</v>
      </c>
    </row>
    <row r="256" spans="1:15" s="7" customFormat="1">
      <c r="A256" s="125"/>
      <c r="B256" s="127"/>
      <c r="C256" s="125"/>
      <c r="D256" s="115"/>
      <c r="E256" s="115"/>
      <c r="F256" s="11" t="s">
        <v>588</v>
      </c>
      <c r="G256" s="20" t="s">
        <v>589</v>
      </c>
      <c r="H256" s="29" t="str">
        <f>VLOOKUP(G256,'insumos terrapl'!$C$3:$K$47,2,0)</f>
        <v>2N  20  14  08  00  00  00</v>
      </c>
      <c r="I256" s="29" t="str">
        <f>VLOOKUP(G256,'insumos terrapl'!$C$3:$K$47,3,0)</f>
        <v>2N</v>
      </c>
      <c r="J256" s="29">
        <f>VLOOKUP(G256,'insumos terrapl'!$C$3:$K$47,4,0)</f>
        <v>20</v>
      </c>
      <c r="K256" s="29">
        <f>VLOOKUP(G256,'insumos terrapl'!$C$3:$K$47,5,0)</f>
        <v>14</v>
      </c>
      <c r="L256" s="29" t="str">
        <f>VLOOKUP(G256,'insumos terrapl'!$C$3:$K$47,6,0)</f>
        <v>08</v>
      </c>
      <c r="M256" s="29" t="str">
        <f>VLOOKUP(G256,'insumos terrapl'!$C$3:$K$47,7,0)</f>
        <v>00</v>
      </c>
      <c r="N256" s="29" t="str">
        <f>VLOOKUP(G256,'insumos terrapl'!$C$3:$K$47,8,0)</f>
        <v>00</v>
      </c>
      <c r="O256" s="97" t="str">
        <f>VLOOKUP(G256,'insumos terrapl'!$C$3:$K$47,9,0)</f>
        <v>00</v>
      </c>
    </row>
    <row r="257" spans="1:15" s="7" customFormat="1">
      <c r="A257" s="125"/>
      <c r="B257" s="127"/>
      <c r="C257" s="132"/>
      <c r="D257" s="116"/>
      <c r="E257" s="116"/>
      <c r="F257" s="13"/>
      <c r="G257" s="21"/>
      <c r="H257" s="31"/>
      <c r="I257" s="31"/>
      <c r="J257" s="31"/>
      <c r="K257" s="31"/>
      <c r="L257" s="31"/>
      <c r="M257" s="31"/>
      <c r="N257" s="31"/>
      <c r="O257" s="98"/>
    </row>
    <row r="258" spans="1:15" s="7" customFormat="1">
      <c r="A258" s="125"/>
      <c r="B258" s="127"/>
      <c r="C258" s="124" t="s">
        <v>91</v>
      </c>
      <c r="D258" s="114" t="str">
        <f>$A$181</f>
        <v>2.6.3</v>
      </c>
      <c r="E258" s="115" t="s">
        <v>362</v>
      </c>
      <c r="F258" s="11" t="s">
        <v>91</v>
      </c>
      <c r="G258" s="20"/>
      <c r="H258" s="29"/>
      <c r="I258" s="29"/>
      <c r="J258" s="29"/>
      <c r="K258" s="29"/>
      <c r="L258" s="29"/>
      <c r="M258" s="29"/>
      <c r="N258" s="29"/>
      <c r="O258" s="97"/>
    </row>
    <row r="259" spans="1:15" s="7" customFormat="1" ht="30">
      <c r="A259" s="125"/>
      <c r="B259" s="127"/>
      <c r="C259" s="125"/>
      <c r="D259" s="115"/>
      <c r="E259" s="115"/>
      <c r="F259" s="11" t="s">
        <v>651</v>
      </c>
      <c r="G259" s="20" t="s">
        <v>652</v>
      </c>
      <c r="H259" s="29" t="str">
        <f>VLOOKUP(G259,'insumos terrapl'!$C$3:$K$47,2,0)</f>
        <v>2Q  66  10  02  00  00  00</v>
      </c>
      <c r="I259" s="29" t="str">
        <f>VLOOKUP(G259,'insumos terrapl'!$C$3:$K$47,3,0)</f>
        <v>2Q</v>
      </c>
      <c r="J259" s="29">
        <f>VLOOKUP(G259,'insumos terrapl'!$C$3:$K$47,4,0)</f>
        <v>66</v>
      </c>
      <c r="K259" s="29" t="str">
        <f>VLOOKUP(G259,'insumos terrapl'!$C$3:$K$47,5,0)</f>
        <v>10</v>
      </c>
      <c r="L259" s="29" t="str">
        <f>VLOOKUP(G259,'insumos terrapl'!$C$3:$K$47,6,0)</f>
        <v>02</v>
      </c>
      <c r="M259" s="29" t="str">
        <f>VLOOKUP(G259,'insumos terrapl'!$C$3:$K$47,7,0)</f>
        <v>00</v>
      </c>
      <c r="N259" s="29" t="str">
        <f>VLOOKUP(G259,'insumos terrapl'!$C$3:$K$47,8,0)</f>
        <v>00</v>
      </c>
      <c r="O259" s="97" t="str">
        <f>VLOOKUP(G259,'insumos terrapl'!$C$3:$K$47,9,0)</f>
        <v>00</v>
      </c>
    </row>
    <row r="260" spans="1:15" s="7" customFormat="1" ht="30">
      <c r="A260" s="125"/>
      <c r="B260" s="127"/>
      <c r="C260" s="125"/>
      <c r="D260" s="115"/>
      <c r="E260" s="115"/>
      <c r="F260" s="11" t="s">
        <v>653</v>
      </c>
      <c r="G260" s="20" t="s">
        <v>654</v>
      </c>
      <c r="H260" s="29" t="str">
        <f>VLOOKUP(G260,'insumos terrapl'!$C$3:$K$47,2,0)</f>
        <v>2Q  62  10  06  00  00  00</v>
      </c>
      <c r="I260" s="29" t="str">
        <f>VLOOKUP(G260,'insumos terrapl'!$C$3:$K$47,3,0)</f>
        <v>2Q</v>
      </c>
      <c r="J260" s="29">
        <f>VLOOKUP(G260,'insumos terrapl'!$C$3:$K$47,4,0)</f>
        <v>62</v>
      </c>
      <c r="K260" s="29" t="str">
        <f>VLOOKUP(G260,'insumos terrapl'!$C$3:$K$47,5,0)</f>
        <v>10</v>
      </c>
      <c r="L260" s="29" t="str">
        <f>VLOOKUP(G260,'insumos terrapl'!$C$3:$K$47,6,0)</f>
        <v>06</v>
      </c>
      <c r="M260" s="29" t="str">
        <f>VLOOKUP(G260,'insumos terrapl'!$C$3:$K$47,7,0)</f>
        <v>00</v>
      </c>
      <c r="N260" s="29" t="str">
        <f>VLOOKUP(G260,'insumos terrapl'!$C$3:$K$47,8,0)</f>
        <v>00</v>
      </c>
      <c r="O260" s="97" t="str">
        <f>VLOOKUP(G260,'insumos terrapl'!$C$3:$K$47,9,0)</f>
        <v>00</v>
      </c>
    </row>
    <row r="261" spans="1:15" s="7" customFormat="1">
      <c r="A261" s="125"/>
      <c r="B261" s="127"/>
      <c r="C261" s="125"/>
      <c r="D261" s="115"/>
      <c r="E261" s="115"/>
      <c r="F261" s="11" t="s">
        <v>605</v>
      </c>
      <c r="G261" s="20" t="s">
        <v>606</v>
      </c>
      <c r="H261" s="29" t="str">
        <f>VLOOKUP(G261,'insumos terrapl'!$C$3:$K$47,2,0)</f>
        <v>2Q  62  30  02  14  00  00</v>
      </c>
      <c r="I261" s="29" t="str">
        <f>VLOOKUP(G261,'insumos terrapl'!$C$3:$K$47,3,0)</f>
        <v>2Q</v>
      </c>
      <c r="J261" s="29">
        <f>VLOOKUP(G261,'insumos terrapl'!$C$3:$K$47,4,0)</f>
        <v>62</v>
      </c>
      <c r="K261" s="29">
        <f>VLOOKUP(G261,'insumos terrapl'!$C$3:$K$47,5,0)</f>
        <v>30</v>
      </c>
      <c r="L261" s="29" t="str">
        <f>VLOOKUP(G261,'insumos terrapl'!$C$3:$K$47,6,0)</f>
        <v>02</v>
      </c>
      <c r="M261" s="29" t="str">
        <f>VLOOKUP(G261,'insumos terrapl'!$C$3:$K$47,7,0)</f>
        <v>14</v>
      </c>
      <c r="N261" s="29" t="str">
        <f>VLOOKUP(G261,'insumos terrapl'!$C$3:$K$47,8,0)</f>
        <v>00</v>
      </c>
      <c r="O261" s="97" t="str">
        <f>VLOOKUP(G261,'insumos terrapl'!$C$3:$K$47,9,0)</f>
        <v>00</v>
      </c>
    </row>
    <row r="262" spans="1:15" s="7" customFormat="1">
      <c r="A262" s="125"/>
      <c r="B262" s="127"/>
      <c r="C262" s="125"/>
      <c r="D262" s="115"/>
      <c r="E262" s="115"/>
      <c r="F262" s="11" t="s">
        <v>588</v>
      </c>
      <c r="G262" s="20" t="s">
        <v>589</v>
      </c>
      <c r="H262" s="29" t="str">
        <f>VLOOKUP(G262,'insumos terrapl'!$C$3:$K$47,2,0)</f>
        <v>2N  20  14  08  00  00  00</v>
      </c>
      <c r="I262" s="29" t="str">
        <f>VLOOKUP(G262,'insumos terrapl'!$C$3:$K$47,3,0)</f>
        <v>2N</v>
      </c>
      <c r="J262" s="29">
        <f>VLOOKUP(G262,'insumos terrapl'!$C$3:$K$47,4,0)</f>
        <v>20</v>
      </c>
      <c r="K262" s="29">
        <f>VLOOKUP(G262,'insumos terrapl'!$C$3:$K$47,5,0)</f>
        <v>14</v>
      </c>
      <c r="L262" s="29" t="str">
        <f>VLOOKUP(G262,'insumos terrapl'!$C$3:$K$47,6,0)</f>
        <v>08</v>
      </c>
      <c r="M262" s="29" t="str">
        <f>VLOOKUP(G262,'insumos terrapl'!$C$3:$K$47,7,0)</f>
        <v>00</v>
      </c>
      <c r="N262" s="29" t="str">
        <f>VLOOKUP(G262,'insumos terrapl'!$C$3:$K$47,8,0)</f>
        <v>00</v>
      </c>
      <c r="O262" s="97" t="str">
        <f>VLOOKUP(G262,'insumos terrapl'!$C$3:$K$47,9,0)</f>
        <v>00</v>
      </c>
    </row>
    <row r="263" spans="1:15" s="7" customFormat="1">
      <c r="A263" s="125"/>
      <c r="B263" s="127"/>
      <c r="C263" s="132"/>
      <c r="D263" s="116"/>
      <c r="E263" s="115"/>
      <c r="F263" s="10"/>
      <c r="G263" s="20"/>
      <c r="H263" s="29"/>
      <c r="I263" s="29"/>
      <c r="J263" s="29"/>
      <c r="K263" s="29"/>
      <c r="L263" s="29"/>
      <c r="M263" s="29"/>
      <c r="N263" s="29"/>
      <c r="O263" s="97"/>
    </row>
    <row r="264" spans="1:15" s="7" customFormat="1">
      <c r="A264" s="125"/>
      <c r="B264" s="127"/>
      <c r="C264" s="124" t="s">
        <v>92</v>
      </c>
      <c r="D264" s="114" t="str">
        <f>$A$181</f>
        <v>2.6.3</v>
      </c>
      <c r="E264" s="114" t="s">
        <v>364</v>
      </c>
      <c r="F264" s="12" t="s">
        <v>92</v>
      </c>
      <c r="G264" s="19"/>
      <c r="H264" s="28"/>
      <c r="I264" s="28"/>
      <c r="J264" s="28"/>
      <c r="K264" s="28"/>
      <c r="L264" s="28"/>
      <c r="M264" s="28"/>
      <c r="N264" s="28"/>
      <c r="O264" s="99"/>
    </row>
    <row r="265" spans="1:15" s="7" customFormat="1" ht="30">
      <c r="A265" s="125"/>
      <c r="B265" s="127"/>
      <c r="C265" s="125"/>
      <c r="D265" s="115"/>
      <c r="E265" s="115"/>
      <c r="F265" s="11" t="s">
        <v>651</v>
      </c>
      <c r="G265" s="20" t="s">
        <v>652</v>
      </c>
      <c r="H265" s="29" t="str">
        <f>VLOOKUP(G265,'insumos terrapl'!$C$3:$K$47,2,0)</f>
        <v>2Q  66  10  02  00  00  00</v>
      </c>
      <c r="I265" s="29" t="str">
        <f>VLOOKUP(G265,'insumos terrapl'!$C$3:$K$47,3,0)</f>
        <v>2Q</v>
      </c>
      <c r="J265" s="29">
        <f>VLOOKUP(G265,'insumos terrapl'!$C$3:$K$47,4,0)</f>
        <v>66</v>
      </c>
      <c r="K265" s="29" t="str">
        <f>VLOOKUP(G265,'insumos terrapl'!$C$3:$K$47,5,0)</f>
        <v>10</v>
      </c>
      <c r="L265" s="29" t="str">
        <f>VLOOKUP(G265,'insumos terrapl'!$C$3:$K$47,6,0)</f>
        <v>02</v>
      </c>
      <c r="M265" s="29" t="str">
        <f>VLOOKUP(G265,'insumos terrapl'!$C$3:$K$47,7,0)</f>
        <v>00</v>
      </c>
      <c r="N265" s="29" t="str">
        <f>VLOOKUP(G265,'insumos terrapl'!$C$3:$K$47,8,0)</f>
        <v>00</v>
      </c>
      <c r="O265" s="97" t="str">
        <f>VLOOKUP(G265,'insumos terrapl'!$C$3:$K$47,9,0)</f>
        <v>00</v>
      </c>
    </row>
    <row r="266" spans="1:15" s="7" customFormat="1" ht="30">
      <c r="A266" s="125"/>
      <c r="B266" s="127"/>
      <c r="C266" s="125"/>
      <c r="D266" s="115"/>
      <c r="E266" s="115"/>
      <c r="F266" s="11" t="s">
        <v>653</v>
      </c>
      <c r="G266" s="20" t="s">
        <v>654</v>
      </c>
      <c r="H266" s="29" t="str">
        <f>VLOOKUP(G266,'insumos terrapl'!$C$3:$K$47,2,0)</f>
        <v>2Q  62  10  06  00  00  00</v>
      </c>
      <c r="I266" s="29" t="str">
        <f>VLOOKUP(G266,'insumos terrapl'!$C$3:$K$47,3,0)</f>
        <v>2Q</v>
      </c>
      <c r="J266" s="29">
        <f>VLOOKUP(G266,'insumos terrapl'!$C$3:$K$47,4,0)</f>
        <v>62</v>
      </c>
      <c r="K266" s="29" t="str">
        <f>VLOOKUP(G266,'insumos terrapl'!$C$3:$K$47,5,0)</f>
        <v>10</v>
      </c>
      <c r="L266" s="29" t="str">
        <f>VLOOKUP(G266,'insumos terrapl'!$C$3:$K$47,6,0)</f>
        <v>06</v>
      </c>
      <c r="M266" s="29" t="str">
        <f>VLOOKUP(G266,'insumos terrapl'!$C$3:$K$47,7,0)</f>
        <v>00</v>
      </c>
      <c r="N266" s="29" t="str">
        <f>VLOOKUP(G266,'insumos terrapl'!$C$3:$K$47,8,0)</f>
        <v>00</v>
      </c>
      <c r="O266" s="97" t="str">
        <f>VLOOKUP(G266,'insumos terrapl'!$C$3:$K$47,9,0)</f>
        <v>00</v>
      </c>
    </row>
    <row r="267" spans="1:15" s="7" customFormat="1">
      <c r="A267" s="125"/>
      <c r="B267" s="127"/>
      <c r="C267" s="125"/>
      <c r="D267" s="115"/>
      <c r="E267" s="115"/>
      <c r="F267" s="11" t="s">
        <v>605</v>
      </c>
      <c r="G267" s="20" t="s">
        <v>606</v>
      </c>
      <c r="H267" s="29" t="str">
        <f>VLOOKUP(G267,'insumos terrapl'!$C$3:$K$47,2,0)</f>
        <v>2Q  62  30  02  14  00  00</v>
      </c>
      <c r="I267" s="29" t="str">
        <f>VLOOKUP(G267,'insumos terrapl'!$C$3:$K$47,3,0)</f>
        <v>2Q</v>
      </c>
      <c r="J267" s="29">
        <f>VLOOKUP(G267,'insumos terrapl'!$C$3:$K$47,4,0)</f>
        <v>62</v>
      </c>
      <c r="K267" s="29">
        <f>VLOOKUP(G267,'insumos terrapl'!$C$3:$K$47,5,0)</f>
        <v>30</v>
      </c>
      <c r="L267" s="29" t="str">
        <f>VLOOKUP(G267,'insumos terrapl'!$C$3:$K$47,6,0)</f>
        <v>02</v>
      </c>
      <c r="M267" s="29" t="str">
        <f>VLOOKUP(G267,'insumos terrapl'!$C$3:$K$47,7,0)</f>
        <v>14</v>
      </c>
      <c r="N267" s="29" t="str">
        <f>VLOOKUP(G267,'insumos terrapl'!$C$3:$K$47,8,0)</f>
        <v>00</v>
      </c>
      <c r="O267" s="97" t="str">
        <f>VLOOKUP(G267,'insumos terrapl'!$C$3:$K$47,9,0)</f>
        <v>00</v>
      </c>
    </row>
    <row r="268" spans="1:15" s="7" customFormat="1">
      <c r="A268" s="125"/>
      <c r="B268" s="127"/>
      <c r="C268" s="125"/>
      <c r="D268" s="115"/>
      <c r="E268" s="115"/>
      <c r="F268" s="11" t="s">
        <v>588</v>
      </c>
      <c r="G268" s="20" t="s">
        <v>589</v>
      </c>
      <c r="H268" s="29" t="str">
        <f>VLOOKUP(G268,'insumos terrapl'!$C$3:$K$47,2,0)</f>
        <v>2N  20  14  08  00  00  00</v>
      </c>
      <c r="I268" s="29" t="str">
        <f>VLOOKUP(G268,'insumos terrapl'!$C$3:$K$47,3,0)</f>
        <v>2N</v>
      </c>
      <c r="J268" s="29">
        <f>VLOOKUP(G268,'insumos terrapl'!$C$3:$K$47,4,0)</f>
        <v>20</v>
      </c>
      <c r="K268" s="29">
        <f>VLOOKUP(G268,'insumos terrapl'!$C$3:$K$47,5,0)</f>
        <v>14</v>
      </c>
      <c r="L268" s="29" t="str">
        <f>VLOOKUP(G268,'insumos terrapl'!$C$3:$K$47,6,0)</f>
        <v>08</v>
      </c>
      <c r="M268" s="29" t="str">
        <f>VLOOKUP(G268,'insumos terrapl'!$C$3:$K$47,7,0)</f>
        <v>00</v>
      </c>
      <c r="N268" s="29" t="str">
        <f>VLOOKUP(G268,'insumos terrapl'!$C$3:$K$47,8,0)</f>
        <v>00</v>
      </c>
      <c r="O268" s="97" t="str">
        <f>VLOOKUP(G268,'insumos terrapl'!$C$3:$K$47,9,0)</f>
        <v>00</v>
      </c>
    </row>
    <row r="269" spans="1:15" s="7" customFormat="1">
      <c r="A269" s="125"/>
      <c r="B269" s="127"/>
      <c r="C269" s="132"/>
      <c r="D269" s="116"/>
      <c r="E269" s="116"/>
      <c r="F269" s="13"/>
      <c r="G269" s="21"/>
      <c r="H269" s="31"/>
      <c r="I269" s="31"/>
      <c r="J269" s="31"/>
      <c r="K269" s="31"/>
      <c r="L269" s="31"/>
      <c r="M269" s="31"/>
      <c r="N269" s="31"/>
      <c r="O269" s="98"/>
    </row>
    <row r="270" spans="1:15" s="7" customFormat="1">
      <c r="A270" s="125"/>
      <c r="B270" s="127"/>
      <c r="C270" s="124" t="s">
        <v>93</v>
      </c>
      <c r="D270" s="114" t="str">
        <f>$A$181</f>
        <v>2.6.3</v>
      </c>
      <c r="E270" s="115" t="s">
        <v>366</v>
      </c>
      <c r="F270" s="11" t="s">
        <v>93</v>
      </c>
      <c r="G270" s="20"/>
      <c r="H270" s="29"/>
      <c r="I270" s="29"/>
      <c r="J270" s="29"/>
      <c r="K270" s="29"/>
      <c r="L270" s="29"/>
      <c r="M270" s="29"/>
      <c r="N270" s="29"/>
      <c r="O270" s="97"/>
    </row>
    <row r="271" spans="1:15" s="7" customFormat="1" ht="30">
      <c r="A271" s="125"/>
      <c r="B271" s="127"/>
      <c r="C271" s="125"/>
      <c r="D271" s="115"/>
      <c r="E271" s="115"/>
      <c r="F271" s="11" t="s">
        <v>651</v>
      </c>
      <c r="G271" s="20" t="s">
        <v>652</v>
      </c>
      <c r="H271" s="29" t="str">
        <f>VLOOKUP(G271,'insumos terrapl'!$C$3:$K$47,2,0)</f>
        <v>2Q  66  10  02  00  00  00</v>
      </c>
      <c r="I271" s="29" t="str">
        <f>VLOOKUP(G271,'insumos terrapl'!$C$3:$K$47,3,0)</f>
        <v>2Q</v>
      </c>
      <c r="J271" s="29">
        <f>VLOOKUP(G271,'insumos terrapl'!$C$3:$K$47,4,0)</f>
        <v>66</v>
      </c>
      <c r="K271" s="29" t="str">
        <f>VLOOKUP(G271,'insumos terrapl'!$C$3:$K$47,5,0)</f>
        <v>10</v>
      </c>
      <c r="L271" s="29" t="str">
        <f>VLOOKUP(G271,'insumos terrapl'!$C$3:$K$47,6,0)</f>
        <v>02</v>
      </c>
      <c r="M271" s="29" t="str">
        <f>VLOOKUP(G271,'insumos terrapl'!$C$3:$K$47,7,0)</f>
        <v>00</v>
      </c>
      <c r="N271" s="29" t="str">
        <f>VLOOKUP(G271,'insumos terrapl'!$C$3:$K$47,8,0)</f>
        <v>00</v>
      </c>
      <c r="O271" s="97" t="str">
        <f>VLOOKUP(G271,'insumos terrapl'!$C$3:$K$47,9,0)</f>
        <v>00</v>
      </c>
    </row>
    <row r="272" spans="1:15" s="7" customFormat="1" ht="30">
      <c r="A272" s="125"/>
      <c r="B272" s="127"/>
      <c r="C272" s="125"/>
      <c r="D272" s="115"/>
      <c r="E272" s="115"/>
      <c r="F272" s="11" t="s">
        <v>653</v>
      </c>
      <c r="G272" s="20" t="s">
        <v>654</v>
      </c>
      <c r="H272" s="29" t="str">
        <f>VLOOKUP(G272,'insumos terrapl'!$C$3:$K$47,2,0)</f>
        <v>2Q  62  10  06  00  00  00</v>
      </c>
      <c r="I272" s="29" t="str">
        <f>VLOOKUP(G272,'insumos terrapl'!$C$3:$K$47,3,0)</f>
        <v>2Q</v>
      </c>
      <c r="J272" s="29">
        <f>VLOOKUP(G272,'insumos terrapl'!$C$3:$K$47,4,0)</f>
        <v>62</v>
      </c>
      <c r="K272" s="29" t="str">
        <f>VLOOKUP(G272,'insumos terrapl'!$C$3:$K$47,5,0)</f>
        <v>10</v>
      </c>
      <c r="L272" s="29" t="str">
        <f>VLOOKUP(G272,'insumos terrapl'!$C$3:$K$47,6,0)</f>
        <v>06</v>
      </c>
      <c r="M272" s="29" t="str">
        <f>VLOOKUP(G272,'insumos terrapl'!$C$3:$K$47,7,0)</f>
        <v>00</v>
      </c>
      <c r="N272" s="29" t="str">
        <f>VLOOKUP(G272,'insumos terrapl'!$C$3:$K$47,8,0)</f>
        <v>00</v>
      </c>
      <c r="O272" s="97" t="str">
        <f>VLOOKUP(G272,'insumos terrapl'!$C$3:$K$47,9,0)</f>
        <v>00</v>
      </c>
    </row>
    <row r="273" spans="1:15" s="7" customFormat="1">
      <c r="A273" s="125"/>
      <c r="B273" s="127"/>
      <c r="C273" s="125"/>
      <c r="D273" s="115"/>
      <c r="E273" s="115"/>
      <c r="F273" s="11" t="s">
        <v>605</v>
      </c>
      <c r="G273" s="20" t="s">
        <v>606</v>
      </c>
      <c r="H273" s="29" t="str">
        <f>VLOOKUP(G273,'insumos terrapl'!$C$3:$K$47,2,0)</f>
        <v>2Q  62  30  02  14  00  00</v>
      </c>
      <c r="I273" s="29" t="str">
        <f>VLOOKUP(G273,'insumos terrapl'!$C$3:$K$47,3,0)</f>
        <v>2Q</v>
      </c>
      <c r="J273" s="29">
        <f>VLOOKUP(G273,'insumos terrapl'!$C$3:$K$47,4,0)</f>
        <v>62</v>
      </c>
      <c r="K273" s="29">
        <f>VLOOKUP(G273,'insumos terrapl'!$C$3:$K$47,5,0)</f>
        <v>30</v>
      </c>
      <c r="L273" s="29" t="str">
        <f>VLOOKUP(G273,'insumos terrapl'!$C$3:$K$47,6,0)</f>
        <v>02</v>
      </c>
      <c r="M273" s="29" t="str">
        <f>VLOOKUP(G273,'insumos terrapl'!$C$3:$K$47,7,0)</f>
        <v>14</v>
      </c>
      <c r="N273" s="29" t="str">
        <f>VLOOKUP(G273,'insumos terrapl'!$C$3:$K$47,8,0)</f>
        <v>00</v>
      </c>
      <c r="O273" s="97" t="str">
        <f>VLOOKUP(G273,'insumos terrapl'!$C$3:$K$47,9,0)</f>
        <v>00</v>
      </c>
    </row>
    <row r="274" spans="1:15" s="7" customFormat="1">
      <c r="A274" s="125"/>
      <c r="B274" s="127"/>
      <c r="C274" s="125"/>
      <c r="D274" s="115"/>
      <c r="E274" s="115"/>
      <c r="F274" s="11" t="s">
        <v>588</v>
      </c>
      <c r="G274" s="20" t="s">
        <v>589</v>
      </c>
      <c r="H274" s="29" t="str">
        <f>VLOOKUP(G274,'insumos terrapl'!$C$3:$K$47,2,0)</f>
        <v>2N  20  14  08  00  00  00</v>
      </c>
      <c r="I274" s="29" t="str">
        <f>VLOOKUP(G274,'insumos terrapl'!$C$3:$K$47,3,0)</f>
        <v>2N</v>
      </c>
      <c r="J274" s="29">
        <f>VLOOKUP(G274,'insumos terrapl'!$C$3:$K$47,4,0)</f>
        <v>20</v>
      </c>
      <c r="K274" s="29">
        <f>VLOOKUP(G274,'insumos terrapl'!$C$3:$K$47,5,0)</f>
        <v>14</v>
      </c>
      <c r="L274" s="29" t="str">
        <f>VLOOKUP(G274,'insumos terrapl'!$C$3:$K$47,6,0)</f>
        <v>08</v>
      </c>
      <c r="M274" s="29" t="str">
        <f>VLOOKUP(G274,'insumos terrapl'!$C$3:$K$47,7,0)</f>
        <v>00</v>
      </c>
      <c r="N274" s="29" t="str">
        <f>VLOOKUP(G274,'insumos terrapl'!$C$3:$K$47,8,0)</f>
        <v>00</v>
      </c>
      <c r="O274" s="97" t="str">
        <f>VLOOKUP(G274,'insumos terrapl'!$C$3:$K$47,9,0)</f>
        <v>00</v>
      </c>
    </row>
    <row r="275" spans="1:15" s="7" customFormat="1">
      <c r="A275" s="125"/>
      <c r="B275" s="127"/>
      <c r="C275" s="132"/>
      <c r="D275" s="116"/>
      <c r="E275" s="115"/>
      <c r="F275" s="10"/>
      <c r="G275" s="20"/>
      <c r="H275" s="29"/>
      <c r="I275" s="29"/>
      <c r="J275" s="29"/>
      <c r="K275" s="29"/>
      <c r="L275" s="29"/>
      <c r="M275" s="29"/>
      <c r="N275" s="29"/>
      <c r="O275" s="97"/>
    </row>
    <row r="276" spans="1:15" s="7" customFormat="1">
      <c r="A276" s="125"/>
      <c r="B276" s="127"/>
      <c r="C276" s="124" t="s">
        <v>94</v>
      </c>
      <c r="D276" s="114" t="str">
        <f>$A$181</f>
        <v>2.6.3</v>
      </c>
      <c r="E276" s="114" t="s">
        <v>368</v>
      </c>
      <c r="F276" s="12" t="s">
        <v>94</v>
      </c>
      <c r="G276" s="19"/>
      <c r="H276" s="28"/>
      <c r="I276" s="28"/>
      <c r="J276" s="28"/>
      <c r="K276" s="28"/>
      <c r="L276" s="28"/>
      <c r="M276" s="28"/>
      <c r="N276" s="28"/>
      <c r="O276" s="99"/>
    </row>
    <row r="277" spans="1:15" s="7" customFormat="1" ht="30">
      <c r="A277" s="125"/>
      <c r="B277" s="127"/>
      <c r="C277" s="125"/>
      <c r="D277" s="115"/>
      <c r="E277" s="115"/>
      <c r="F277" s="11" t="s">
        <v>651</v>
      </c>
      <c r="G277" s="20" t="s">
        <v>652</v>
      </c>
      <c r="H277" s="29" t="str">
        <f>VLOOKUP(G277,'insumos terrapl'!$C$3:$K$47,2,0)</f>
        <v>2Q  66  10  02  00  00  00</v>
      </c>
      <c r="I277" s="29" t="str">
        <f>VLOOKUP(G277,'insumos terrapl'!$C$3:$K$47,3,0)</f>
        <v>2Q</v>
      </c>
      <c r="J277" s="29">
        <f>VLOOKUP(G277,'insumos terrapl'!$C$3:$K$47,4,0)</f>
        <v>66</v>
      </c>
      <c r="K277" s="29" t="str">
        <f>VLOOKUP(G277,'insumos terrapl'!$C$3:$K$47,5,0)</f>
        <v>10</v>
      </c>
      <c r="L277" s="29" t="str">
        <f>VLOOKUP(G277,'insumos terrapl'!$C$3:$K$47,6,0)</f>
        <v>02</v>
      </c>
      <c r="M277" s="29" t="str">
        <f>VLOOKUP(G277,'insumos terrapl'!$C$3:$K$47,7,0)</f>
        <v>00</v>
      </c>
      <c r="N277" s="29" t="str">
        <f>VLOOKUP(G277,'insumos terrapl'!$C$3:$K$47,8,0)</f>
        <v>00</v>
      </c>
      <c r="O277" s="97" t="str">
        <f>VLOOKUP(G277,'insumos terrapl'!$C$3:$K$47,9,0)</f>
        <v>00</v>
      </c>
    </row>
    <row r="278" spans="1:15" s="7" customFormat="1" ht="30">
      <c r="A278" s="125"/>
      <c r="B278" s="127"/>
      <c r="C278" s="125"/>
      <c r="D278" s="115"/>
      <c r="E278" s="115"/>
      <c r="F278" s="11" t="s">
        <v>653</v>
      </c>
      <c r="G278" s="20" t="s">
        <v>654</v>
      </c>
      <c r="H278" s="29" t="str">
        <f>VLOOKUP(G278,'insumos terrapl'!$C$3:$K$47,2,0)</f>
        <v>2Q  62  10  06  00  00  00</v>
      </c>
      <c r="I278" s="29" t="str">
        <f>VLOOKUP(G278,'insumos terrapl'!$C$3:$K$47,3,0)</f>
        <v>2Q</v>
      </c>
      <c r="J278" s="29">
        <f>VLOOKUP(G278,'insumos terrapl'!$C$3:$K$47,4,0)</f>
        <v>62</v>
      </c>
      <c r="K278" s="29" t="str">
        <f>VLOOKUP(G278,'insumos terrapl'!$C$3:$K$47,5,0)</f>
        <v>10</v>
      </c>
      <c r="L278" s="29" t="str">
        <f>VLOOKUP(G278,'insumos terrapl'!$C$3:$K$47,6,0)</f>
        <v>06</v>
      </c>
      <c r="M278" s="29" t="str">
        <f>VLOOKUP(G278,'insumos terrapl'!$C$3:$K$47,7,0)</f>
        <v>00</v>
      </c>
      <c r="N278" s="29" t="str">
        <f>VLOOKUP(G278,'insumos terrapl'!$C$3:$K$47,8,0)</f>
        <v>00</v>
      </c>
      <c r="O278" s="97" t="str">
        <f>VLOOKUP(G278,'insumos terrapl'!$C$3:$K$47,9,0)</f>
        <v>00</v>
      </c>
    </row>
    <row r="279" spans="1:15" s="7" customFormat="1">
      <c r="A279" s="125"/>
      <c r="B279" s="127"/>
      <c r="C279" s="125"/>
      <c r="D279" s="115"/>
      <c r="E279" s="115"/>
      <c r="F279" s="11" t="s">
        <v>605</v>
      </c>
      <c r="G279" s="20" t="s">
        <v>606</v>
      </c>
      <c r="H279" s="29" t="str">
        <f>VLOOKUP(G279,'insumos terrapl'!$C$3:$K$47,2,0)</f>
        <v>2Q  62  30  02  14  00  00</v>
      </c>
      <c r="I279" s="29" t="str">
        <f>VLOOKUP(G279,'insumos terrapl'!$C$3:$K$47,3,0)</f>
        <v>2Q</v>
      </c>
      <c r="J279" s="29">
        <f>VLOOKUP(G279,'insumos terrapl'!$C$3:$K$47,4,0)</f>
        <v>62</v>
      </c>
      <c r="K279" s="29">
        <f>VLOOKUP(G279,'insumos terrapl'!$C$3:$K$47,5,0)</f>
        <v>30</v>
      </c>
      <c r="L279" s="29" t="str">
        <f>VLOOKUP(G279,'insumos terrapl'!$C$3:$K$47,6,0)</f>
        <v>02</v>
      </c>
      <c r="M279" s="29" t="str">
        <f>VLOOKUP(G279,'insumos terrapl'!$C$3:$K$47,7,0)</f>
        <v>14</v>
      </c>
      <c r="N279" s="29" t="str">
        <f>VLOOKUP(G279,'insumos terrapl'!$C$3:$K$47,8,0)</f>
        <v>00</v>
      </c>
      <c r="O279" s="97" t="str">
        <f>VLOOKUP(G279,'insumos terrapl'!$C$3:$K$47,9,0)</f>
        <v>00</v>
      </c>
    </row>
    <row r="280" spans="1:15" s="7" customFormat="1">
      <c r="A280" s="125"/>
      <c r="B280" s="127"/>
      <c r="C280" s="125"/>
      <c r="D280" s="115"/>
      <c r="E280" s="115"/>
      <c r="F280" s="11" t="s">
        <v>588</v>
      </c>
      <c r="G280" s="20" t="s">
        <v>589</v>
      </c>
      <c r="H280" s="29" t="str">
        <f>VLOOKUP(G280,'insumos terrapl'!$C$3:$K$47,2,0)</f>
        <v>2N  20  14  08  00  00  00</v>
      </c>
      <c r="I280" s="29" t="str">
        <f>VLOOKUP(G280,'insumos terrapl'!$C$3:$K$47,3,0)</f>
        <v>2N</v>
      </c>
      <c r="J280" s="29">
        <f>VLOOKUP(G280,'insumos terrapl'!$C$3:$K$47,4,0)</f>
        <v>20</v>
      </c>
      <c r="K280" s="29">
        <f>VLOOKUP(G280,'insumos terrapl'!$C$3:$K$47,5,0)</f>
        <v>14</v>
      </c>
      <c r="L280" s="29" t="str">
        <f>VLOOKUP(G280,'insumos terrapl'!$C$3:$K$47,6,0)</f>
        <v>08</v>
      </c>
      <c r="M280" s="29" t="str">
        <f>VLOOKUP(G280,'insumos terrapl'!$C$3:$K$47,7,0)</f>
        <v>00</v>
      </c>
      <c r="N280" s="29" t="str">
        <f>VLOOKUP(G280,'insumos terrapl'!$C$3:$K$47,8,0)</f>
        <v>00</v>
      </c>
      <c r="O280" s="97" t="str">
        <f>VLOOKUP(G280,'insumos terrapl'!$C$3:$K$47,9,0)</f>
        <v>00</v>
      </c>
    </row>
    <row r="281" spans="1:15" s="7" customFormat="1">
      <c r="A281" s="125"/>
      <c r="B281" s="127"/>
      <c r="C281" s="132"/>
      <c r="D281" s="116"/>
      <c r="E281" s="116"/>
      <c r="F281" s="13"/>
      <c r="G281" s="21"/>
      <c r="H281" s="31"/>
      <c r="I281" s="31"/>
      <c r="J281" s="31"/>
      <c r="K281" s="31"/>
      <c r="L281" s="31"/>
      <c r="M281" s="31"/>
      <c r="N281" s="31"/>
      <c r="O281" s="98"/>
    </row>
    <row r="282" spans="1:15" s="7" customFormat="1">
      <c r="A282" s="125"/>
      <c r="B282" s="127"/>
      <c r="C282" s="124" t="s">
        <v>95</v>
      </c>
      <c r="D282" s="114" t="str">
        <f>$A$181</f>
        <v>2.6.3</v>
      </c>
      <c r="E282" s="115" t="s">
        <v>370</v>
      </c>
      <c r="F282" s="11" t="s">
        <v>95</v>
      </c>
      <c r="G282" s="20"/>
      <c r="H282" s="29"/>
      <c r="I282" s="29"/>
      <c r="J282" s="29"/>
      <c r="K282" s="29"/>
      <c r="L282" s="29"/>
      <c r="M282" s="29"/>
      <c r="N282" s="29"/>
      <c r="O282" s="97"/>
    </row>
    <row r="283" spans="1:15" ht="30">
      <c r="A283" s="125"/>
      <c r="B283" s="127"/>
      <c r="C283" s="125"/>
      <c r="D283" s="115"/>
      <c r="E283" s="115"/>
      <c r="F283" s="11" t="s">
        <v>651</v>
      </c>
      <c r="G283" s="20" t="s">
        <v>652</v>
      </c>
      <c r="H283" s="29" t="str">
        <f>VLOOKUP(G283,'insumos terrapl'!$C$3:$K$47,2,0)</f>
        <v>2Q  66  10  02  00  00  00</v>
      </c>
      <c r="I283" s="29" t="str">
        <f>VLOOKUP(G283,'insumos terrapl'!$C$3:$K$47,3,0)</f>
        <v>2Q</v>
      </c>
      <c r="J283" s="29">
        <f>VLOOKUP(G283,'insumos terrapl'!$C$3:$K$47,4,0)</f>
        <v>66</v>
      </c>
      <c r="K283" s="29" t="str">
        <f>VLOOKUP(G283,'insumos terrapl'!$C$3:$K$47,5,0)</f>
        <v>10</v>
      </c>
      <c r="L283" s="29" t="str">
        <f>VLOOKUP(G283,'insumos terrapl'!$C$3:$K$47,6,0)</f>
        <v>02</v>
      </c>
      <c r="M283" s="29" t="str">
        <f>VLOOKUP(G283,'insumos terrapl'!$C$3:$K$47,7,0)</f>
        <v>00</v>
      </c>
      <c r="N283" s="29" t="str">
        <f>VLOOKUP(G283,'insumos terrapl'!$C$3:$K$47,8,0)</f>
        <v>00</v>
      </c>
      <c r="O283" s="97" t="str">
        <f>VLOOKUP(G283,'insumos terrapl'!$C$3:$K$47,9,0)</f>
        <v>00</v>
      </c>
    </row>
    <row r="284" spans="1:15" ht="30">
      <c r="A284" s="125"/>
      <c r="B284" s="127"/>
      <c r="C284" s="125"/>
      <c r="D284" s="115"/>
      <c r="E284" s="115"/>
      <c r="F284" s="11" t="s">
        <v>653</v>
      </c>
      <c r="G284" s="20" t="s">
        <v>654</v>
      </c>
      <c r="H284" s="29" t="str">
        <f>VLOOKUP(G284,'insumos terrapl'!$C$3:$K$47,2,0)</f>
        <v>2Q  62  10  06  00  00  00</v>
      </c>
      <c r="I284" s="29" t="str">
        <f>VLOOKUP(G284,'insumos terrapl'!$C$3:$K$47,3,0)</f>
        <v>2Q</v>
      </c>
      <c r="J284" s="29">
        <f>VLOOKUP(G284,'insumos terrapl'!$C$3:$K$47,4,0)</f>
        <v>62</v>
      </c>
      <c r="K284" s="29" t="str">
        <f>VLOOKUP(G284,'insumos terrapl'!$C$3:$K$47,5,0)</f>
        <v>10</v>
      </c>
      <c r="L284" s="29" t="str">
        <f>VLOOKUP(G284,'insumos terrapl'!$C$3:$K$47,6,0)</f>
        <v>06</v>
      </c>
      <c r="M284" s="29" t="str">
        <f>VLOOKUP(G284,'insumos terrapl'!$C$3:$K$47,7,0)</f>
        <v>00</v>
      </c>
      <c r="N284" s="29" t="str">
        <f>VLOOKUP(G284,'insumos terrapl'!$C$3:$K$47,8,0)</f>
        <v>00</v>
      </c>
      <c r="O284" s="97" t="str">
        <f>VLOOKUP(G284,'insumos terrapl'!$C$3:$K$47,9,0)</f>
        <v>00</v>
      </c>
    </row>
    <row r="285" spans="1:15">
      <c r="A285" s="125"/>
      <c r="B285" s="127"/>
      <c r="C285" s="125"/>
      <c r="D285" s="115"/>
      <c r="E285" s="115"/>
      <c r="F285" s="11" t="s">
        <v>605</v>
      </c>
      <c r="G285" s="20" t="s">
        <v>606</v>
      </c>
      <c r="H285" s="29" t="str">
        <f>VLOOKUP(G285,'insumos terrapl'!$C$3:$K$47,2,0)</f>
        <v>2Q  62  30  02  14  00  00</v>
      </c>
      <c r="I285" s="29" t="str">
        <f>VLOOKUP(G285,'insumos terrapl'!$C$3:$K$47,3,0)</f>
        <v>2Q</v>
      </c>
      <c r="J285" s="29">
        <f>VLOOKUP(G285,'insumos terrapl'!$C$3:$K$47,4,0)</f>
        <v>62</v>
      </c>
      <c r="K285" s="29">
        <f>VLOOKUP(G285,'insumos terrapl'!$C$3:$K$47,5,0)</f>
        <v>30</v>
      </c>
      <c r="L285" s="29" t="str">
        <f>VLOOKUP(G285,'insumos terrapl'!$C$3:$K$47,6,0)</f>
        <v>02</v>
      </c>
      <c r="M285" s="29" t="str">
        <f>VLOOKUP(G285,'insumos terrapl'!$C$3:$K$47,7,0)</f>
        <v>14</v>
      </c>
      <c r="N285" s="29" t="str">
        <f>VLOOKUP(G285,'insumos terrapl'!$C$3:$K$47,8,0)</f>
        <v>00</v>
      </c>
      <c r="O285" s="97" t="str">
        <f>VLOOKUP(G285,'insumos terrapl'!$C$3:$K$47,9,0)</f>
        <v>00</v>
      </c>
    </row>
    <row r="286" spans="1:15">
      <c r="A286" s="125"/>
      <c r="B286" s="127"/>
      <c r="C286" s="125"/>
      <c r="D286" s="115"/>
      <c r="E286" s="115"/>
      <c r="F286" s="11" t="s">
        <v>588</v>
      </c>
      <c r="G286" s="20" t="s">
        <v>589</v>
      </c>
      <c r="H286" s="29" t="str">
        <f>VLOOKUP(G286,'insumos terrapl'!$C$3:$K$47,2,0)</f>
        <v>2N  20  14  08  00  00  00</v>
      </c>
      <c r="I286" s="29" t="str">
        <f>VLOOKUP(G286,'insumos terrapl'!$C$3:$K$47,3,0)</f>
        <v>2N</v>
      </c>
      <c r="J286" s="29">
        <f>VLOOKUP(G286,'insumos terrapl'!$C$3:$K$47,4,0)</f>
        <v>20</v>
      </c>
      <c r="K286" s="29">
        <f>VLOOKUP(G286,'insumos terrapl'!$C$3:$K$47,5,0)</f>
        <v>14</v>
      </c>
      <c r="L286" s="29" t="str">
        <f>VLOOKUP(G286,'insumos terrapl'!$C$3:$K$47,6,0)</f>
        <v>08</v>
      </c>
      <c r="M286" s="29" t="str">
        <f>VLOOKUP(G286,'insumos terrapl'!$C$3:$K$47,7,0)</f>
        <v>00</v>
      </c>
      <c r="N286" s="29" t="str">
        <f>VLOOKUP(G286,'insumos terrapl'!$C$3:$K$47,8,0)</f>
        <v>00</v>
      </c>
      <c r="O286" s="97" t="str">
        <f>VLOOKUP(G286,'insumos terrapl'!$C$3:$K$47,9,0)</f>
        <v>00</v>
      </c>
    </row>
    <row r="287" spans="1:15">
      <c r="A287" s="125"/>
      <c r="B287" s="127"/>
      <c r="C287" s="132"/>
      <c r="D287" s="116"/>
      <c r="E287" s="115"/>
      <c r="F287" s="10"/>
      <c r="G287" s="20"/>
      <c r="H287" s="29"/>
      <c r="I287" s="29"/>
      <c r="J287" s="29"/>
      <c r="K287" s="29"/>
      <c r="L287" s="29"/>
      <c r="M287" s="29"/>
      <c r="N287" s="29"/>
      <c r="O287" s="97"/>
    </row>
    <row r="288" spans="1:15">
      <c r="A288" s="125"/>
      <c r="B288" s="127"/>
      <c r="C288" s="124" t="s">
        <v>96</v>
      </c>
      <c r="D288" s="114" t="str">
        <f>$A$181</f>
        <v>2.6.3</v>
      </c>
      <c r="E288" s="114" t="s">
        <v>371</v>
      </c>
      <c r="F288" s="12" t="s">
        <v>96</v>
      </c>
      <c r="G288" s="19"/>
      <c r="H288" s="28"/>
      <c r="I288" s="28"/>
      <c r="J288" s="28"/>
      <c r="K288" s="28"/>
      <c r="L288" s="28"/>
      <c r="M288" s="28"/>
      <c r="N288" s="28"/>
      <c r="O288" s="99"/>
    </row>
    <row r="289" spans="1:15" ht="30">
      <c r="A289" s="125"/>
      <c r="B289" s="127"/>
      <c r="C289" s="125"/>
      <c r="D289" s="115"/>
      <c r="E289" s="115"/>
      <c r="F289" s="11" t="s">
        <v>651</v>
      </c>
      <c r="G289" s="20" t="s">
        <v>652</v>
      </c>
      <c r="H289" s="29" t="str">
        <f>VLOOKUP(G289,'insumos terrapl'!$C$3:$K$47,2,0)</f>
        <v>2Q  66  10  02  00  00  00</v>
      </c>
      <c r="I289" s="29" t="str">
        <f>VLOOKUP(G289,'insumos terrapl'!$C$3:$K$47,3,0)</f>
        <v>2Q</v>
      </c>
      <c r="J289" s="29">
        <f>VLOOKUP(G289,'insumos terrapl'!$C$3:$K$47,4,0)</f>
        <v>66</v>
      </c>
      <c r="K289" s="29" t="str">
        <f>VLOOKUP(G289,'insumos terrapl'!$C$3:$K$47,5,0)</f>
        <v>10</v>
      </c>
      <c r="L289" s="29" t="str">
        <f>VLOOKUP(G289,'insumos terrapl'!$C$3:$K$47,6,0)</f>
        <v>02</v>
      </c>
      <c r="M289" s="29" t="str">
        <f>VLOOKUP(G289,'insumos terrapl'!$C$3:$K$47,7,0)</f>
        <v>00</v>
      </c>
      <c r="N289" s="29" t="str">
        <f>VLOOKUP(G289,'insumos terrapl'!$C$3:$K$47,8,0)</f>
        <v>00</v>
      </c>
      <c r="O289" s="97" t="str">
        <f>VLOOKUP(G289,'insumos terrapl'!$C$3:$K$47,9,0)</f>
        <v>00</v>
      </c>
    </row>
    <row r="290" spans="1:15" ht="30">
      <c r="A290" s="125"/>
      <c r="B290" s="127"/>
      <c r="C290" s="125"/>
      <c r="D290" s="115"/>
      <c r="E290" s="115"/>
      <c r="F290" s="11" t="s">
        <v>653</v>
      </c>
      <c r="G290" s="20" t="s">
        <v>654</v>
      </c>
      <c r="H290" s="29" t="str">
        <f>VLOOKUP(G290,'insumos terrapl'!$C$3:$K$47,2,0)</f>
        <v>2Q  62  10  06  00  00  00</v>
      </c>
      <c r="I290" s="29" t="str">
        <f>VLOOKUP(G290,'insumos terrapl'!$C$3:$K$47,3,0)</f>
        <v>2Q</v>
      </c>
      <c r="J290" s="29">
        <f>VLOOKUP(G290,'insumos terrapl'!$C$3:$K$47,4,0)</f>
        <v>62</v>
      </c>
      <c r="K290" s="29" t="str">
        <f>VLOOKUP(G290,'insumos terrapl'!$C$3:$K$47,5,0)</f>
        <v>10</v>
      </c>
      <c r="L290" s="29" t="str">
        <f>VLOOKUP(G290,'insumos terrapl'!$C$3:$K$47,6,0)</f>
        <v>06</v>
      </c>
      <c r="M290" s="29" t="str">
        <f>VLOOKUP(G290,'insumos terrapl'!$C$3:$K$47,7,0)</f>
        <v>00</v>
      </c>
      <c r="N290" s="29" t="str">
        <f>VLOOKUP(G290,'insumos terrapl'!$C$3:$K$47,8,0)</f>
        <v>00</v>
      </c>
      <c r="O290" s="97" t="str">
        <f>VLOOKUP(G290,'insumos terrapl'!$C$3:$K$47,9,0)</f>
        <v>00</v>
      </c>
    </row>
    <row r="291" spans="1:15">
      <c r="A291" s="125"/>
      <c r="B291" s="127"/>
      <c r="C291" s="125"/>
      <c r="D291" s="115"/>
      <c r="E291" s="115"/>
      <c r="F291" s="11" t="s">
        <v>605</v>
      </c>
      <c r="G291" s="20" t="s">
        <v>606</v>
      </c>
      <c r="H291" s="29" t="str">
        <f>VLOOKUP(G291,'insumos terrapl'!$C$3:$K$47,2,0)</f>
        <v>2Q  62  30  02  14  00  00</v>
      </c>
      <c r="I291" s="29" t="str">
        <f>VLOOKUP(G291,'insumos terrapl'!$C$3:$K$47,3,0)</f>
        <v>2Q</v>
      </c>
      <c r="J291" s="29">
        <f>VLOOKUP(G291,'insumos terrapl'!$C$3:$K$47,4,0)</f>
        <v>62</v>
      </c>
      <c r="K291" s="29">
        <f>VLOOKUP(G291,'insumos terrapl'!$C$3:$K$47,5,0)</f>
        <v>30</v>
      </c>
      <c r="L291" s="29" t="str">
        <f>VLOOKUP(G291,'insumos terrapl'!$C$3:$K$47,6,0)</f>
        <v>02</v>
      </c>
      <c r="M291" s="29" t="str">
        <f>VLOOKUP(G291,'insumos terrapl'!$C$3:$K$47,7,0)</f>
        <v>14</v>
      </c>
      <c r="N291" s="29" t="str">
        <f>VLOOKUP(G291,'insumos terrapl'!$C$3:$K$47,8,0)</f>
        <v>00</v>
      </c>
      <c r="O291" s="97" t="str">
        <f>VLOOKUP(G291,'insumos terrapl'!$C$3:$K$47,9,0)</f>
        <v>00</v>
      </c>
    </row>
    <row r="292" spans="1:15">
      <c r="A292" s="125"/>
      <c r="B292" s="127"/>
      <c r="C292" s="125"/>
      <c r="D292" s="115"/>
      <c r="E292" s="115"/>
      <c r="F292" s="11" t="s">
        <v>588</v>
      </c>
      <c r="G292" s="20" t="s">
        <v>589</v>
      </c>
      <c r="H292" s="29" t="str">
        <f>VLOOKUP(G292,'insumos terrapl'!$C$3:$K$47,2,0)</f>
        <v>2N  20  14  08  00  00  00</v>
      </c>
      <c r="I292" s="29" t="str">
        <f>VLOOKUP(G292,'insumos terrapl'!$C$3:$K$47,3,0)</f>
        <v>2N</v>
      </c>
      <c r="J292" s="29">
        <f>VLOOKUP(G292,'insumos terrapl'!$C$3:$K$47,4,0)</f>
        <v>20</v>
      </c>
      <c r="K292" s="29">
        <f>VLOOKUP(G292,'insumos terrapl'!$C$3:$K$47,5,0)</f>
        <v>14</v>
      </c>
      <c r="L292" s="29" t="str">
        <f>VLOOKUP(G292,'insumos terrapl'!$C$3:$K$47,6,0)</f>
        <v>08</v>
      </c>
      <c r="M292" s="29" t="str">
        <f>VLOOKUP(G292,'insumos terrapl'!$C$3:$K$47,7,0)</f>
        <v>00</v>
      </c>
      <c r="N292" s="29" t="str">
        <f>VLOOKUP(G292,'insumos terrapl'!$C$3:$K$47,8,0)</f>
        <v>00</v>
      </c>
      <c r="O292" s="97" t="str">
        <f>VLOOKUP(G292,'insumos terrapl'!$C$3:$K$47,9,0)</f>
        <v>00</v>
      </c>
    </row>
    <row r="293" spans="1:15">
      <c r="A293" s="125"/>
      <c r="B293" s="127"/>
      <c r="C293" s="132"/>
      <c r="D293" s="116"/>
      <c r="E293" s="116"/>
      <c r="F293" s="13"/>
      <c r="G293" s="21"/>
      <c r="H293" s="31"/>
      <c r="I293" s="31"/>
      <c r="J293" s="31"/>
      <c r="K293" s="31"/>
      <c r="L293" s="31"/>
      <c r="M293" s="31"/>
      <c r="N293" s="31"/>
      <c r="O293" s="98"/>
    </row>
    <row r="294" spans="1:15">
      <c r="A294" s="125"/>
      <c r="B294" s="127"/>
      <c r="C294" s="124" t="s">
        <v>97</v>
      </c>
      <c r="D294" s="114" t="str">
        <f>$A$181</f>
        <v>2.6.3</v>
      </c>
      <c r="E294" s="115" t="s">
        <v>373</v>
      </c>
      <c r="F294" s="11" t="s">
        <v>97</v>
      </c>
      <c r="G294" s="20"/>
      <c r="H294" s="29"/>
      <c r="I294" s="29"/>
      <c r="J294" s="29"/>
      <c r="K294" s="29"/>
      <c r="L294" s="29"/>
      <c r="M294" s="29"/>
      <c r="N294" s="29"/>
      <c r="O294" s="97"/>
    </row>
    <row r="295" spans="1:15" ht="30">
      <c r="A295" s="125"/>
      <c r="B295" s="127"/>
      <c r="C295" s="125"/>
      <c r="D295" s="115"/>
      <c r="E295" s="115"/>
      <c r="F295" s="11" t="s">
        <v>651</v>
      </c>
      <c r="G295" s="20" t="s">
        <v>652</v>
      </c>
      <c r="H295" s="29" t="str">
        <f>VLOOKUP(G295,'insumos terrapl'!$C$3:$K$47,2,0)</f>
        <v>2Q  66  10  02  00  00  00</v>
      </c>
      <c r="I295" s="29" t="str">
        <f>VLOOKUP(G295,'insumos terrapl'!$C$3:$K$47,3,0)</f>
        <v>2Q</v>
      </c>
      <c r="J295" s="29">
        <f>VLOOKUP(G295,'insumos terrapl'!$C$3:$K$47,4,0)</f>
        <v>66</v>
      </c>
      <c r="K295" s="29" t="str">
        <f>VLOOKUP(G295,'insumos terrapl'!$C$3:$K$47,5,0)</f>
        <v>10</v>
      </c>
      <c r="L295" s="29" t="str">
        <f>VLOOKUP(G295,'insumos terrapl'!$C$3:$K$47,6,0)</f>
        <v>02</v>
      </c>
      <c r="M295" s="29" t="str">
        <f>VLOOKUP(G295,'insumos terrapl'!$C$3:$K$47,7,0)</f>
        <v>00</v>
      </c>
      <c r="N295" s="29" t="str">
        <f>VLOOKUP(G295,'insumos terrapl'!$C$3:$K$47,8,0)</f>
        <v>00</v>
      </c>
      <c r="O295" s="97" t="str">
        <f>VLOOKUP(G295,'insumos terrapl'!$C$3:$K$47,9,0)</f>
        <v>00</v>
      </c>
    </row>
    <row r="296" spans="1:15" ht="30">
      <c r="A296" s="125"/>
      <c r="B296" s="127"/>
      <c r="C296" s="125"/>
      <c r="D296" s="115"/>
      <c r="E296" s="115"/>
      <c r="F296" s="11" t="s">
        <v>653</v>
      </c>
      <c r="G296" s="20" t="s">
        <v>654</v>
      </c>
      <c r="H296" s="29" t="str">
        <f>VLOOKUP(G296,'insumos terrapl'!$C$3:$K$47,2,0)</f>
        <v>2Q  62  10  06  00  00  00</v>
      </c>
      <c r="I296" s="29" t="str">
        <f>VLOOKUP(G296,'insumos terrapl'!$C$3:$K$47,3,0)</f>
        <v>2Q</v>
      </c>
      <c r="J296" s="29">
        <f>VLOOKUP(G296,'insumos terrapl'!$C$3:$K$47,4,0)</f>
        <v>62</v>
      </c>
      <c r="K296" s="29" t="str">
        <f>VLOOKUP(G296,'insumos terrapl'!$C$3:$K$47,5,0)</f>
        <v>10</v>
      </c>
      <c r="L296" s="29" t="str">
        <f>VLOOKUP(G296,'insumos terrapl'!$C$3:$K$47,6,0)</f>
        <v>06</v>
      </c>
      <c r="M296" s="29" t="str">
        <f>VLOOKUP(G296,'insumos terrapl'!$C$3:$K$47,7,0)</f>
        <v>00</v>
      </c>
      <c r="N296" s="29" t="str">
        <f>VLOOKUP(G296,'insumos terrapl'!$C$3:$K$47,8,0)</f>
        <v>00</v>
      </c>
      <c r="O296" s="97" t="str">
        <f>VLOOKUP(G296,'insumos terrapl'!$C$3:$K$47,9,0)</f>
        <v>00</v>
      </c>
    </row>
    <row r="297" spans="1:15">
      <c r="A297" s="125"/>
      <c r="B297" s="127"/>
      <c r="C297" s="125"/>
      <c r="D297" s="115"/>
      <c r="E297" s="115"/>
      <c r="F297" s="11" t="s">
        <v>605</v>
      </c>
      <c r="G297" s="20" t="s">
        <v>606</v>
      </c>
      <c r="H297" s="29" t="str">
        <f>VLOOKUP(G297,'insumos terrapl'!$C$3:$K$47,2,0)</f>
        <v>2Q  62  30  02  14  00  00</v>
      </c>
      <c r="I297" s="29" t="str">
        <f>VLOOKUP(G297,'insumos terrapl'!$C$3:$K$47,3,0)</f>
        <v>2Q</v>
      </c>
      <c r="J297" s="29">
        <f>VLOOKUP(G297,'insumos terrapl'!$C$3:$K$47,4,0)</f>
        <v>62</v>
      </c>
      <c r="K297" s="29">
        <f>VLOOKUP(G297,'insumos terrapl'!$C$3:$K$47,5,0)</f>
        <v>30</v>
      </c>
      <c r="L297" s="29" t="str">
        <f>VLOOKUP(G297,'insumos terrapl'!$C$3:$K$47,6,0)</f>
        <v>02</v>
      </c>
      <c r="M297" s="29" t="str">
        <f>VLOOKUP(G297,'insumos terrapl'!$C$3:$K$47,7,0)</f>
        <v>14</v>
      </c>
      <c r="N297" s="29" t="str">
        <f>VLOOKUP(G297,'insumos terrapl'!$C$3:$K$47,8,0)</f>
        <v>00</v>
      </c>
      <c r="O297" s="97" t="str">
        <f>VLOOKUP(G297,'insumos terrapl'!$C$3:$K$47,9,0)</f>
        <v>00</v>
      </c>
    </row>
    <row r="298" spans="1:15">
      <c r="A298" s="125"/>
      <c r="B298" s="127"/>
      <c r="C298" s="125"/>
      <c r="D298" s="115"/>
      <c r="E298" s="115"/>
      <c r="F298" s="11" t="s">
        <v>588</v>
      </c>
      <c r="G298" s="20" t="s">
        <v>589</v>
      </c>
      <c r="H298" s="29" t="str">
        <f>VLOOKUP(G298,'insumos terrapl'!$C$3:$K$47,2,0)</f>
        <v>2N  20  14  08  00  00  00</v>
      </c>
      <c r="I298" s="29" t="str">
        <f>VLOOKUP(G298,'insumos terrapl'!$C$3:$K$47,3,0)</f>
        <v>2N</v>
      </c>
      <c r="J298" s="29">
        <f>VLOOKUP(G298,'insumos terrapl'!$C$3:$K$47,4,0)</f>
        <v>20</v>
      </c>
      <c r="K298" s="29">
        <f>VLOOKUP(G298,'insumos terrapl'!$C$3:$K$47,5,0)</f>
        <v>14</v>
      </c>
      <c r="L298" s="29" t="str">
        <f>VLOOKUP(G298,'insumos terrapl'!$C$3:$K$47,6,0)</f>
        <v>08</v>
      </c>
      <c r="M298" s="29" t="str">
        <f>VLOOKUP(G298,'insumos terrapl'!$C$3:$K$47,7,0)</f>
        <v>00</v>
      </c>
      <c r="N298" s="29" t="str">
        <f>VLOOKUP(G298,'insumos terrapl'!$C$3:$K$47,8,0)</f>
        <v>00</v>
      </c>
      <c r="O298" s="97" t="str">
        <f>VLOOKUP(G298,'insumos terrapl'!$C$3:$K$47,9,0)</f>
        <v>00</v>
      </c>
    </row>
    <row r="299" spans="1:15">
      <c r="A299" s="125"/>
      <c r="B299" s="127"/>
      <c r="C299" s="132"/>
      <c r="D299" s="116"/>
      <c r="E299" s="115"/>
      <c r="F299" s="10"/>
      <c r="G299" s="20"/>
      <c r="H299" s="29"/>
      <c r="I299" s="29"/>
      <c r="J299" s="29"/>
      <c r="K299" s="29"/>
      <c r="L299" s="29"/>
      <c r="M299" s="29"/>
      <c r="N299" s="29"/>
      <c r="O299" s="97"/>
    </row>
    <row r="300" spans="1:15">
      <c r="A300" s="125"/>
      <c r="B300" s="127"/>
      <c r="C300" s="124" t="s">
        <v>98</v>
      </c>
      <c r="D300" s="114" t="str">
        <f>$A$181</f>
        <v>2.6.3</v>
      </c>
      <c r="E300" s="114" t="s">
        <v>375</v>
      </c>
      <c r="F300" s="12" t="s">
        <v>98</v>
      </c>
      <c r="G300" s="19"/>
      <c r="H300" s="28"/>
      <c r="I300" s="28"/>
      <c r="J300" s="28"/>
      <c r="K300" s="28"/>
      <c r="L300" s="28"/>
      <c r="M300" s="28"/>
      <c r="N300" s="28"/>
      <c r="O300" s="99"/>
    </row>
    <row r="301" spans="1:15" ht="30">
      <c r="A301" s="125"/>
      <c r="B301" s="127"/>
      <c r="C301" s="125"/>
      <c r="D301" s="115"/>
      <c r="E301" s="115"/>
      <c r="F301" s="11" t="s">
        <v>651</v>
      </c>
      <c r="G301" s="20" t="s">
        <v>652</v>
      </c>
      <c r="H301" s="29" t="str">
        <f>VLOOKUP(G301,'insumos terrapl'!$C$3:$K$47,2,0)</f>
        <v>2Q  66  10  02  00  00  00</v>
      </c>
      <c r="I301" s="29" t="str">
        <f>VLOOKUP(G301,'insumos terrapl'!$C$3:$K$47,3,0)</f>
        <v>2Q</v>
      </c>
      <c r="J301" s="29">
        <f>VLOOKUP(G301,'insumos terrapl'!$C$3:$K$47,4,0)</f>
        <v>66</v>
      </c>
      <c r="K301" s="29" t="str">
        <f>VLOOKUP(G301,'insumos terrapl'!$C$3:$K$47,5,0)</f>
        <v>10</v>
      </c>
      <c r="L301" s="29" t="str">
        <f>VLOOKUP(G301,'insumos terrapl'!$C$3:$K$47,6,0)</f>
        <v>02</v>
      </c>
      <c r="M301" s="29" t="str">
        <f>VLOOKUP(G301,'insumos terrapl'!$C$3:$K$47,7,0)</f>
        <v>00</v>
      </c>
      <c r="N301" s="29" t="str">
        <f>VLOOKUP(G301,'insumos terrapl'!$C$3:$K$47,8,0)</f>
        <v>00</v>
      </c>
      <c r="O301" s="97" t="str">
        <f>VLOOKUP(G301,'insumos terrapl'!$C$3:$K$47,9,0)</f>
        <v>00</v>
      </c>
    </row>
    <row r="302" spans="1:15" ht="30">
      <c r="A302" s="125"/>
      <c r="B302" s="127"/>
      <c r="C302" s="125"/>
      <c r="D302" s="115"/>
      <c r="E302" s="115"/>
      <c r="F302" s="11" t="s">
        <v>653</v>
      </c>
      <c r="G302" s="20" t="s">
        <v>654</v>
      </c>
      <c r="H302" s="29" t="str">
        <f>VLOOKUP(G302,'insumos terrapl'!$C$3:$K$47,2,0)</f>
        <v>2Q  62  10  06  00  00  00</v>
      </c>
      <c r="I302" s="29" t="str">
        <f>VLOOKUP(G302,'insumos terrapl'!$C$3:$K$47,3,0)</f>
        <v>2Q</v>
      </c>
      <c r="J302" s="29">
        <f>VLOOKUP(G302,'insumos terrapl'!$C$3:$K$47,4,0)</f>
        <v>62</v>
      </c>
      <c r="K302" s="29" t="str">
        <f>VLOOKUP(G302,'insumos terrapl'!$C$3:$K$47,5,0)</f>
        <v>10</v>
      </c>
      <c r="L302" s="29" t="str">
        <f>VLOOKUP(G302,'insumos terrapl'!$C$3:$K$47,6,0)</f>
        <v>06</v>
      </c>
      <c r="M302" s="29" t="str">
        <f>VLOOKUP(G302,'insumos terrapl'!$C$3:$K$47,7,0)</f>
        <v>00</v>
      </c>
      <c r="N302" s="29" t="str">
        <f>VLOOKUP(G302,'insumos terrapl'!$C$3:$K$47,8,0)</f>
        <v>00</v>
      </c>
      <c r="O302" s="97" t="str">
        <f>VLOOKUP(G302,'insumos terrapl'!$C$3:$K$47,9,0)</f>
        <v>00</v>
      </c>
    </row>
    <row r="303" spans="1:15">
      <c r="A303" s="125"/>
      <c r="B303" s="127"/>
      <c r="C303" s="125"/>
      <c r="D303" s="115"/>
      <c r="E303" s="115"/>
      <c r="F303" s="11" t="s">
        <v>605</v>
      </c>
      <c r="G303" s="20" t="s">
        <v>606</v>
      </c>
      <c r="H303" s="29" t="str">
        <f>VLOOKUP(G303,'insumos terrapl'!$C$3:$K$47,2,0)</f>
        <v>2Q  62  30  02  14  00  00</v>
      </c>
      <c r="I303" s="29" t="str">
        <f>VLOOKUP(G303,'insumos terrapl'!$C$3:$K$47,3,0)</f>
        <v>2Q</v>
      </c>
      <c r="J303" s="29">
        <f>VLOOKUP(G303,'insumos terrapl'!$C$3:$K$47,4,0)</f>
        <v>62</v>
      </c>
      <c r="K303" s="29">
        <f>VLOOKUP(G303,'insumos terrapl'!$C$3:$K$47,5,0)</f>
        <v>30</v>
      </c>
      <c r="L303" s="29" t="str">
        <f>VLOOKUP(G303,'insumos terrapl'!$C$3:$K$47,6,0)</f>
        <v>02</v>
      </c>
      <c r="M303" s="29" t="str">
        <f>VLOOKUP(G303,'insumos terrapl'!$C$3:$K$47,7,0)</f>
        <v>14</v>
      </c>
      <c r="N303" s="29" t="str">
        <f>VLOOKUP(G303,'insumos terrapl'!$C$3:$K$47,8,0)</f>
        <v>00</v>
      </c>
      <c r="O303" s="97" t="str">
        <f>VLOOKUP(G303,'insumos terrapl'!$C$3:$K$47,9,0)</f>
        <v>00</v>
      </c>
    </row>
    <row r="304" spans="1:15">
      <c r="A304" s="125"/>
      <c r="B304" s="127"/>
      <c r="C304" s="125"/>
      <c r="D304" s="115"/>
      <c r="E304" s="115"/>
      <c r="F304" s="11" t="s">
        <v>588</v>
      </c>
      <c r="G304" s="20" t="s">
        <v>589</v>
      </c>
      <c r="H304" s="29" t="str">
        <f>VLOOKUP(G304,'insumos terrapl'!$C$3:$K$47,2,0)</f>
        <v>2N  20  14  08  00  00  00</v>
      </c>
      <c r="I304" s="29" t="str">
        <f>VLOOKUP(G304,'insumos terrapl'!$C$3:$K$47,3,0)</f>
        <v>2N</v>
      </c>
      <c r="J304" s="29">
        <f>VLOOKUP(G304,'insumos terrapl'!$C$3:$K$47,4,0)</f>
        <v>20</v>
      </c>
      <c r="K304" s="29">
        <f>VLOOKUP(G304,'insumos terrapl'!$C$3:$K$47,5,0)</f>
        <v>14</v>
      </c>
      <c r="L304" s="29" t="str">
        <f>VLOOKUP(G304,'insumos terrapl'!$C$3:$K$47,6,0)</f>
        <v>08</v>
      </c>
      <c r="M304" s="29" t="str">
        <f>VLOOKUP(G304,'insumos terrapl'!$C$3:$K$47,7,0)</f>
        <v>00</v>
      </c>
      <c r="N304" s="29" t="str">
        <f>VLOOKUP(G304,'insumos terrapl'!$C$3:$K$47,8,0)</f>
        <v>00</v>
      </c>
      <c r="O304" s="97" t="str">
        <f>VLOOKUP(G304,'insumos terrapl'!$C$3:$K$47,9,0)</f>
        <v>00</v>
      </c>
    </row>
    <row r="305" spans="1:15">
      <c r="A305" s="125"/>
      <c r="B305" s="127"/>
      <c r="C305" s="132"/>
      <c r="D305" s="116"/>
      <c r="E305" s="116"/>
      <c r="F305" s="13"/>
      <c r="G305" s="21"/>
      <c r="H305" s="31"/>
      <c r="I305" s="31"/>
      <c r="J305" s="31"/>
      <c r="K305" s="31"/>
      <c r="L305" s="31"/>
      <c r="M305" s="31"/>
      <c r="N305" s="31"/>
      <c r="O305" s="98"/>
    </row>
    <row r="306" spans="1:15">
      <c r="A306" s="125"/>
      <c r="B306" s="127"/>
      <c r="C306" s="124" t="s">
        <v>99</v>
      </c>
      <c r="D306" s="114" t="str">
        <f>$A$181</f>
        <v>2.6.3</v>
      </c>
      <c r="E306" s="115" t="s">
        <v>377</v>
      </c>
      <c r="F306" s="11" t="s">
        <v>99</v>
      </c>
      <c r="G306" s="20"/>
      <c r="H306" s="29"/>
      <c r="I306" s="29"/>
      <c r="J306" s="29"/>
      <c r="K306" s="29"/>
      <c r="L306" s="29"/>
      <c r="M306" s="29"/>
      <c r="N306" s="29"/>
      <c r="O306" s="97"/>
    </row>
    <row r="307" spans="1:15" ht="30">
      <c r="A307" s="125"/>
      <c r="B307" s="127"/>
      <c r="C307" s="125"/>
      <c r="D307" s="115"/>
      <c r="E307" s="115"/>
      <c r="F307" s="11" t="s">
        <v>651</v>
      </c>
      <c r="G307" s="20" t="s">
        <v>652</v>
      </c>
      <c r="H307" s="29" t="str">
        <f>VLOOKUP(G307,'insumos terrapl'!$C$3:$K$47,2,0)</f>
        <v>2Q  66  10  02  00  00  00</v>
      </c>
      <c r="I307" s="29" t="str">
        <f>VLOOKUP(G307,'insumos terrapl'!$C$3:$K$47,3,0)</f>
        <v>2Q</v>
      </c>
      <c r="J307" s="29">
        <f>VLOOKUP(G307,'insumos terrapl'!$C$3:$K$47,4,0)</f>
        <v>66</v>
      </c>
      <c r="K307" s="29" t="str">
        <f>VLOOKUP(G307,'insumos terrapl'!$C$3:$K$47,5,0)</f>
        <v>10</v>
      </c>
      <c r="L307" s="29" t="str">
        <f>VLOOKUP(G307,'insumos terrapl'!$C$3:$K$47,6,0)</f>
        <v>02</v>
      </c>
      <c r="M307" s="29" t="str">
        <f>VLOOKUP(G307,'insumos terrapl'!$C$3:$K$47,7,0)</f>
        <v>00</v>
      </c>
      <c r="N307" s="29" t="str">
        <f>VLOOKUP(G307,'insumos terrapl'!$C$3:$K$47,8,0)</f>
        <v>00</v>
      </c>
      <c r="O307" s="97" t="str">
        <f>VLOOKUP(G307,'insumos terrapl'!$C$3:$K$47,9,0)</f>
        <v>00</v>
      </c>
    </row>
    <row r="308" spans="1:15" ht="30">
      <c r="A308" s="125"/>
      <c r="B308" s="127"/>
      <c r="C308" s="125"/>
      <c r="D308" s="115"/>
      <c r="E308" s="115"/>
      <c r="F308" s="11" t="s">
        <v>653</v>
      </c>
      <c r="G308" s="20" t="s">
        <v>654</v>
      </c>
      <c r="H308" s="29" t="str">
        <f>VLOOKUP(G308,'insumos terrapl'!$C$3:$K$47,2,0)</f>
        <v>2Q  62  10  06  00  00  00</v>
      </c>
      <c r="I308" s="29" t="str">
        <f>VLOOKUP(G308,'insumos terrapl'!$C$3:$K$47,3,0)</f>
        <v>2Q</v>
      </c>
      <c r="J308" s="29">
        <f>VLOOKUP(G308,'insumos terrapl'!$C$3:$K$47,4,0)</f>
        <v>62</v>
      </c>
      <c r="K308" s="29" t="str">
        <f>VLOOKUP(G308,'insumos terrapl'!$C$3:$K$47,5,0)</f>
        <v>10</v>
      </c>
      <c r="L308" s="29" t="str">
        <f>VLOOKUP(G308,'insumos terrapl'!$C$3:$K$47,6,0)</f>
        <v>06</v>
      </c>
      <c r="M308" s="29" t="str">
        <f>VLOOKUP(G308,'insumos terrapl'!$C$3:$K$47,7,0)</f>
        <v>00</v>
      </c>
      <c r="N308" s="29" t="str">
        <f>VLOOKUP(G308,'insumos terrapl'!$C$3:$K$47,8,0)</f>
        <v>00</v>
      </c>
      <c r="O308" s="97" t="str">
        <f>VLOOKUP(G308,'insumos terrapl'!$C$3:$K$47,9,0)</f>
        <v>00</v>
      </c>
    </row>
    <row r="309" spans="1:15">
      <c r="A309" s="125"/>
      <c r="B309" s="127"/>
      <c r="C309" s="125"/>
      <c r="D309" s="115"/>
      <c r="E309" s="115"/>
      <c r="F309" s="11" t="s">
        <v>605</v>
      </c>
      <c r="G309" s="20" t="s">
        <v>606</v>
      </c>
      <c r="H309" s="29" t="str">
        <f>VLOOKUP(G309,'insumos terrapl'!$C$3:$K$47,2,0)</f>
        <v>2Q  62  30  02  14  00  00</v>
      </c>
      <c r="I309" s="29" t="str">
        <f>VLOOKUP(G309,'insumos terrapl'!$C$3:$K$47,3,0)</f>
        <v>2Q</v>
      </c>
      <c r="J309" s="29">
        <f>VLOOKUP(G309,'insumos terrapl'!$C$3:$K$47,4,0)</f>
        <v>62</v>
      </c>
      <c r="K309" s="29">
        <f>VLOOKUP(G309,'insumos terrapl'!$C$3:$K$47,5,0)</f>
        <v>30</v>
      </c>
      <c r="L309" s="29" t="str">
        <f>VLOOKUP(G309,'insumos terrapl'!$C$3:$K$47,6,0)</f>
        <v>02</v>
      </c>
      <c r="M309" s="29" t="str">
        <f>VLOOKUP(G309,'insumos terrapl'!$C$3:$K$47,7,0)</f>
        <v>14</v>
      </c>
      <c r="N309" s="29" t="str">
        <f>VLOOKUP(G309,'insumos terrapl'!$C$3:$K$47,8,0)</f>
        <v>00</v>
      </c>
      <c r="O309" s="97" t="str">
        <f>VLOOKUP(G309,'insumos terrapl'!$C$3:$K$47,9,0)</f>
        <v>00</v>
      </c>
    </row>
    <row r="310" spans="1:15">
      <c r="A310" s="125"/>
      <c r="B310" s="127"/>
      <c r="C310" s="125"/>
      <c r="D310" s="115"/>
      <c r="E310" s="115"/>
      <c r="F310" s="11" t="s">
        <v>588</v>
      </c>
      <c r="G310" s="20" t="s">
        <v>589</v>
      </c>
      <c r="H310" s="29" t="str">
        <f>VLOOKUP(G310,'insumos terrapl'!$C$3:$K$47,2,0)</f>
        <v>2N  20  14  08  00  00  00</v>
      </c>
      <c r="I310" s="29" t="str">
        <f>VLOOKUP(G310,'insumos terrapl'!$C$3:$K$47,3,0)</f>
        <v>2N</v>
      </c>
      <c r="J310" s="29">
        <f>VLOOKUP(G310,'insumos terrapl'!$C$3:$K$47,4,0)</f>
        <v>20</v>
      </c>
      <c r="K310" s="29">
        <f>VLOOKUP(G310,'insumos terrapl'!$C$3:$K$47,5,0)</f>
        <v>14</v>
      </c>
      <c r="L310" s="29" t="str">
        <f>VLOOKUP(G310,'insumos terrapl'!$C$3:$K$47,6,0)</f>
        <v>08</v>
      </c>
      <c r="M310" s="29" t="str">
        <f>VLOOKUP(G310,'insumos terrapl'!$C$3:$K$47,7,0)</f>
        <v>00</v>
      </c>
      <c r="N310" s="29" t="str">
        <f>VLOOKUP(G310,'insumos terrapl'!$C$3:$K$47,8,0)</f>
        <v>00</v>
      </c>
      <c r="O310" s="97" t="str">
        <f>VLOOKUP(G310,'insumos terrapl'!$C$3:$K$47,9,0)</f>
        <v>00</v>
      </c>
    </row>
    <row r="311" spans="1:15">
      <c r="A311" s="125"/>
      <c r="B311" s="127"/>
      <c r="C311" s="132"/>
      <c r="D311" s="116"/>
      <c r="E311" s="115"/>
      <c r="F311" s="10"/>
      <c r="G311" s="20"/>
      <c r="H311" s="29"/>
      <c r="I311" s="29"/>
      <c r="J311" s="29"/>
      <c r="K311" s="29"/>
      <c r="L311" s="29"/>
      <c r="M311" s="29"/>
      <c r="N311" s="29"/>
      <c r="O311" s="97"/>
    </row>
    <row r="312" spans="1:15">
      <c r="A312" s="125"/>
      <c r="B312" s="127"/>
      <c r="C312" s="124" t="s">
        <v>100</v>
      </c>
      <c r="D312" s="114" t="str">
        <f>$A$181</f>
        <v>2.6.3</v>
      </c>
      <c r="E312" s="114" t="s">
        <v>379</v>
      </c>
      <c r="F312" s="12" t="s">
        <v>100</v>
      </c>
      <c r="G312" s="19"/>
      <c r="H312" s="28"/>
      <c r="I312" s="28"/>
      <c r="J312" s="28"/>
      <c r="K312" s="28"/>
      <c r="L312" s="28"/>
      <c r="M312" s="28"/>
      <c r="N312" s="28"/>
      <c r="O312" s="99"/>
    </row>
    <row r="313" spans="1:15" ht="30">
      <c r="A313" s="125"/>
      <c r="B313" s="127"/>
      <c r="C313" s="125"/>
      <c r="D313" s="115"/>
      <c r="E313" s="115"/>
      <c r="F313" s="11" t="s">
        <v>651</v>
      </c>
      <c r="G313" s="20" t="s">
        <v>652</v>
      </c>
      <c r="H313" s="29" t="str">
        <f>VLOOKUP(G313,'insumos terrapl'!$C$3:$K$47,2,0)</f>
        <v>2Q  66  10  02  00  00  00</v>
      </c>
      <c r="I313" s="29" t="str">
        <f>VLOOKUP(G313,'insumos terrapl'!$C$3:$K$47,3,0)</f>
        <v>2Q</v>
      </c>
      <c r="J313" s="29">
        <f>VLOOKUP(G313,'insumos terrapl'!$C$3:$K$47,4,0)</f>
        <v>66</v>
      </c>
      <c r="K313" s="29" t="str">
        <f>VLOOKUP(G313,'insumos terrapl'!$C$3:$K$47,5,0)</f>
        <v>10</v>
      </c>
      <c r="L313" s="29" t="str">
        <f>VLOOKUP(G313,'insumos terrapl'!$C$3:$K$47,6,0)</f>
        <v>02</v>
      </c>
      <c r="M313" s="29" t="str">
        <f>VLOOKUP(G313,'insumos terrapl'!$C$3:$K$47,7,0)</f>
        <v>00</v>
      </c>
      <c r="N313" s="29" t="str">
        <f>VLOOKUP(G313,'insumos terrapl'!$C$3:$K$47,8,0)</f>
        <v>00</v>
      </c>
      <c r="O313" s="97" t="str">
        <f>VLOOKUP(G313,'insumos terrapl'!$C$3:$K$47,9,0)</f>
        <v>00</v>
      </c>
    </row>
    <row r="314" spans="1:15" ht="30">
      <c r="A314" s="125"/>
      <c r="B314" s="127"/>
      <c r="C314" s="125"/>
      <c r="D314" s="115"/>
      <c r="E314" s="115"/>
      <c r="F314" s="11" t="s">
        <v>653</v>
      </c>
      <c r="G314" s="20" t="s">
        <v>654</v>
      </c>
      <c r="H314" s="29" t="str">
        <f>VLOOKUP(G314,'insumos terrapl'!$C$3:$K$47,2,0)</f>
        <v>2Q  62  10  06  00  00  00</v>
      </c>
      <c r="I314" s="29" t="str">
        <f>VLOOKUP(G314,'insumos terrapl'!$C$3:$K$47,3,0)</f>
        <v>2Q</v>
      </c>
      <c r="J314" s="29">
        <f>VLOOKUP(G314,'insumos terrapl'!$C$3:$K$47,4,0)</f>
        <v>62</v>
      </c>
      <c r="K314" s="29" t="str">
        <f>VLOOKUP(G314,'insumos terrapl'!$C$3:$K$47,5,0)</f>
        <v>10</v>
      </c>
      <c r="L314" s="29" t="str">
        <f>VLOOKUP(G314,'insumos terrapl'!$C$3:$K$47,6,0)</f>
        <v>06</v>
      </c>
      <c r="M314" s="29" t="str">
        <f>VLOOKUP(G314,'insumos terrapl'!$C$3:$K$47,7,0)</f>
        <v>00</v>
      </c>
      <c r="N314" s="29" t="str">
        <f>VLOOKUP(G314,'insumos terrapl'!$C$3:$K$47,8,0)</f>
        <v>00</v>
      </c>
      <c r="O314" s="97" t="str">
        <f>VLOOKUP(G314,'insumos terrapl'!$C$3:$K$47,9,0)</f>
        <v>00</v>
      </c>
    </row>
    <row r="315" spans="1:15">
      <c r="A315" s="125"/>
      <c r="B315" s="127"/>
      <c r="C315" s="125"/>
      <c r="D315" s="115"/>
      <c r="E315" s="115"/>
      <c r="F315" s="11" t="s">
        <v>605</v>
      </c>
      <c r="G315" s="20" t="s">
        <v>606</v>
      </c>
      <c r="H315" s="29" t="str">
        <f>VLOOKUP(G315,'insumos terrapl'!$C$3:$K$47,2,0)</f>
        <v>2Q  62  30  02  14  00  00</v>
      </c>
      <c r="I315" s="29" t="str">
        <f>VLOOKUP(G315,'insumos terrapl'!$C$3:$K$47,3,0)</f>
        <v>2Q</v>
      </c>
      <c r="J315" s="29">
        <f>VLOOKUP(G315,'insumos terrapl'!$C$3:$K$47,4,0)</f>
        <v>62</v>
      </c>
      <c r="K315" s="29">
        <f>VLOOKUP(G315,'insumos terrapl'!$C$3:$K$47,5,0)</f>
        <v>30</v>
      </c>
      <c r="L315" s="29" t="str">
        <f>VLOOKUP(G315,'insumos terrapl'!$C$3:$K$47,6,0)</f>
        <v>02</v>
      </c>
      <c r="M315" s="29" t="str">
        <f>VLOOKUP(G315,'insumos terrapl'!$C$3:$K$47,7,0)</f>
        <v>14</v>
      </c>
      <c r="N315" s="29" t="str">
        <f>VLOOKUP(G315,'insumos terrapl'!$C$3:$K$47,8,0)</f>
        <v>00</v>
      </c>
      <c r="O315" s="97" t="str">
        <f>VLOOKUP(G315,'insumos terrapl'!$C$3:$K$47,9,0)</f>
        <v>00</v>
      </c>
    </row>
    <row r="316" spans="1:15">
      <c r="A316" s="125"/>
      <c r="B316" s="127"/>
      <c r="C316" s="125"/>
      <c r="D316" s="115"/>
      <c r="E316" s="115"/>
      <c r="F316" s="11" t="s">
        <v>588</v>
      </c>
      <c r="G316" s="20" t="s">
        <v>589</v>
      </c>
      <c r="H316" s="29" t="str">
        <f>VLOOKUP(G316,'insumos terrapl'!$C$3:$K$47,2,0)</f>
        <v>2N  20  14  08  00  00  00</v>
      </c>
      <c r="I316" s="29" t="str">
        <f>VLOOKUP(G316,'insumos terrapl'!$C$3:$K$47,3,0)</f>
        <v>2N</v>
      </c>
      <c r="J316" s="29">
        <f>VLOOKUP(G316,'insumos terrapl'!$C$3:$K$47,4,0)</f>
        <v>20</v>
      </c>
      <c r="K316" s="29">
        <f>VLOOKUP(G316,'insumos terrapl'!$C$3:$K$47,5,0)</f>
        <v>14</v>
      </c>
      <c r="L316" s="29" t="str">
        <f>VLOOKUP(G316,'insumos terrapl'!$C$3:$K$47,6,0)</f>
        <v>08</v>
      </c>
      <c r="M316" s="29" t="str">
        <f>VLOOKUP(G316,'insumos terrapl'!$C$3:$K$47,7,0)</f>
        <v>00</v>
      </c>
      <c r="N316" s="29" t="str">
        <f>VLOOKUP(G316,'insumos terrapl'!$C$3:$K$47,8,0)</f>
        <v>00</v>
      </c>
      <c r="O316" s="97" t="str">
        <f>VLOOKUP(G316,'insumos terrapl'!$C$3:$K$47,9,0)</f>
        <v>00</v>
      </c>
    </row>
    <row r="317" spans="1:15">
      <c r="A317" s="125"/>
      <c r="B317" s="127"/>
      <c r="C317" s="132"/>
      <c r="D317" s="116"/>
      <c r="E317" s="116"/>
      <c r="F317" s="13"/>
      <c r="G317" s="21"/>
      <c r="H317" s="31"/>
      <c r="I317" s="31"/>
      <c r="J317" s="31"/>
      <c r="K317" s="31"/>
      <c r="L317" s="31"/>
      <c r="M317" s="31"/>
      <c r="N317" s="31"/>
      <c r="O317" s="98"/>
    </row>
    <row r="318" spans="1:15">
      <c r="A318" s="125"/>
      <c r="B318" s="127"/>
      <c r="C318" s="124" t="s">
        <v>101</v>
      </c>
      <c r="D318" s="114" t="str">
        <f>$A$181</f>
        <v>2.6.3</v>
      </c>
      <c r="E318" s="115" t="s">
        <v>381</v>
      </c>
      <c r="F318" s="11" t="s">
        <v>101</v>
      </c>
      <c r="G318" s="20"/>
      <c r="H318" s="29"/>
      <c r="I318" s="29"/>
      <c r="J318" s="29"/>
      <c r="K318" s="29"/>
      <c r="L318" s="29"/>
      <c r="M318" s="29"/>
      <c r="N318" s="29"/>
      <c r="O318" s="97"/>
    </row>
    <row r="319" spans="1:15" ht="30">
      <c r="A319" s="125"/>
      <c r="B319" s="127"/>
      <c r="C319" s="125"/>
      <c r="D319" s="115"/>
      <c r="E319" s="115"/>
      <c r="F319" s="11" t="s">
        <v>651</v>
      </c>
      <c r="G319" s="20" t="s">
        <v>652</v>
      </c>
      <c r="H319" s="29" t="str">
        <f>VLOOKUP(G319,'insumos terrapl'!$C$3:$K$47,2,0)</f>
        <v>2Q  66  10  02  00  00  00</v>
      </c>
      <c r="I319" s="29" t="str">
        <f>VLOOKUP(G319,'insumos terrapl'!$C$3:$K$47,3,0)</f>
        <v>2Q</v>
      </c>
      <c r="J319" s="29">
        <f>VLOOKUP(G319,'insumos terrapl'!$C$3:$K$47,4,0)</f>
        <v>66</v>
      </c>
      <c r="K319" s="29" t="str">
        <f>VLOOKUP(G319,'insumos terrapl'!$C$3:$K$47,5,0)</f>
        <v>10</v>
      </c>
      <c r="L319" s="29" t="str">
        <f>VLOOKUP(G319,'insumos terrapl'!$C$3:$K$47,6,0)</f>
        <v>02</v>
      </c>
      <c r="M319" s="29" t="str">
        <f>VLOOKUP(G319,'insumos terrapl'!$C$3:$K$47,7,0)</f>
        <v>00</v>
      </c>
      <c r="N319" s="29" t="str">
        <f>VLOOKUP(G319,'insumos terrapl'!$C$3:$K$47,8,0)</f>
        <v>00</v>
      </c>
      <c r="O319" s="97" t="str">
        <f>VLOOKUP(G319,'insumos terrapl'!$C$3:$K$47,9,0)</f>
        <v>00</v>
      </c>
    </row>
    <row r="320" spans="1:15" ht="30">
      <c r="A320" s="125"/>
      <c r="B320" s="127"/>
      <c r="C320" s="125"/>
      <c r="D320" s="115"/>
      <c r="E320" s="115"/>
      <c r="F320" s="11" t="s">
        <v>653</v>
      </c>
      <c r="G320" s="20" t="s">
        <v>654</v>
      </c>
      <c r="H320" s="29" t="str">
        <f>VLOOKUP(G320,'insumos terrapl'!$C$3:$K$47,2,0)</f>
        <v>2Q  62  10  06  00  00  00</v>
      </c>
      <c r="I320" s="29" t="str">
        <f>VLOOKUP(G320,'insumos terrapl'!$C$3:$K$47,3,0)</f>
        <v>2Q</v>
      </c>
      <c r="J320" s="29">
        <f>VLOOKUP(G320,'insumos terrapl'!$C$3:$K$47,4,0)</f>
        <v>62</v>
      </c>
      <c r="K320" s="29" t="str">
        <f>VLOOKUP(G320,'insumos terrapl'!$C$3:$K$47,5,0)</f>
        <v>10</v>
      </c>
      <c r="L320" s="29" t="str">
        <f>VLOOKUP(G320,'insumos terrapl'!$C$3:$K$47,6,0)</f>
        <v>06</v>
      </c>
      <c r="M320" s="29" t="str">
        <f>VLOOKUP(G320,'insumos terrapl'!$C$3:$K$47,7,0)</f>
        <v>00</v>
      </c>
      <c r="N320" s="29" t="str">
        <f>VLOOKUP(G320,'insumos terrapl'!$C$3:$K$47,8,0)</f>
        <v>00</v>
      </c>
      <c r="O320" s="97" t="str">
        <f>VLOOKUP(G320,'insumos terrapl'!$C$3:$K$47,9,0)</f>
        <v>00</v>
      </c>
    </row>
    <row r="321" spans="1:15">
      <c r="A321" s="125"/>
      <c r="B321" s="127"/>
      <c r="C321" s="125"/>
      <c r="D321" s="115"/>
      <c r="E321" s="115"/>
      <c r="F321" s="11" t="s">
        <v>605</v>
      </c>
      <c r="G321" s="20" t="s">
        <v>606</v>
      </c>
      <c r="H321" s="29" t="str">
        <f>VLOOKUP(G321,'insumos terrapl'!$C$3:$K$47,2,0)</f>
        <v>2Q  62  30  02  14  00  00</v>
      </c>
      <c r="I321" s="29" t="str">
        <f>VLOOKUP(G321,'insumos terrapl'!$C$3:$K$47,3,0)</f>
        <v>2Q</v>
      </c>
      <c r="J321" s="29">
        <f>VLOOKUP(G321,'insumos terrapl'!$C$3:$K$47,4,0)</f>
        <v>62</v>
      </c>
      <c r="K321" s="29">
        <f>VLOOKUP(G321,'insumos terrapl'!$C$3:$K$47,5,0)</f>
        <v>30</v>
      </c>
      <c r="L321" s="29" t="str">
        <f>VLOOKUP(G321,'insumos terrapl'!$C$3:$K$47,6,0)</f>
        <v>02</v>
      </c>
      <c r="M321" s="29" t="str">
        <f>VLOOKUP(G321,'insumos terrapl'!$C$3:$K$47,7,0)</f>
        <v>14</v>
      </c>
      <c r="N321" s="29" t="str">
        <f>VLOOKUP(G321,'insumos terrapl'!$C$3:$K$47,8,0)</f>
        <v>00</v>
      </c>
      <c r="O321" s="97" t="str">
        <f>VLOOKUP(G321,'insumos terrapl'!$C$3:$K$47,9,0)</f>
        <v>00</v>
      </c>
    </row>
    <row r="322" spans="1:15">
      <c r="A322" s="125"/>
      <c r="B322" s="127"/>
      <c r="C322" s="125"/>
      <c r="D322" s="115"/>
      <c r="E322" s="115"/>
      <c r="F322" s="11" t="s">
        <v>588</v>
      </c>
      <c r="G322" s="20" t="s">
        <v>589</v>
      </c>
      <c r="H322" s="29" t="str">
        <f>VLOOKUP(G322,'insumos terrapl'!$C$3:$K$47,2,0)</f>
        <v>2N  20  14  08  00  00  00</v>
      </c>
      <c r="I322" s="29" t="str">
        <f>VLOOKUP(G322,'insumos terrapl'!$C$3:$K$47,3,0)</f>
        <v>2N</v>
      </c>
      <c r="J322" s="29">
        <f>VLOOKUP(G322,'insumos terrapl'!$C$3:$K$47,4,0)</f>
        <v>20</v>
      </c>
      <c r="K322" s="29">
        <f>VLOOKUP(G322,'insumos terrapl'!$C$3:$K$47,5,0)</f>
        <v>14</v>
      </c>
      <c r="L322" s="29" t="str">
        <f>VLOOKUP(G322,'insumos terrapl'!$C$3:$K$47,6,0)</f>
        <v>08</v>
      </c>
      <c r="M322" s="29" t="str">
        <f>VLOOKUP(G322,'insumos terrapl'!$C$3:$K$47,7,0)</f>
        <v>00</v>
      </c>
      <c r="N322" s="29" t="str">
        <f>VLOOKUP(G322,'insumos terrapl'!$C$3:$K$47,8,0)</f>
        <v>00</v>
      </c>
      <c r="O322" s="97" t="str">
        <f>VLOOKUP(G322,'insumos terrapl'!$C$3:$K$47,9,0)</f>
        <v>00</v>
      </c>
    </row>
    <row r="323" spans="1:15">
      <c r="A323" s="125"/>
      <c r="B323" s="127"/>
      <c r="C323" s="132"/>
      <c r="D323" s="116"/>
      <c r="E323" s="115"/>
      <c r="F323" s="10"/>
      <c r="G323" s="20"/>
      <c r="H323" s="29"/>
      <c r="I323" s="29"/>
      <c r="J323" s="29"/>
      <c r="K323" s="29"/>
      <c r="L323" s="29"/>
      <c r="M323" s="29"/>
      <c r="N323" s="29"/>
      <c r="O323" s="97"/>
    </row>
    <row r="324" spans="1:15">
      <c r="A324" s="125"/>
      <c r="B324" s="127"/>
      <c r="C324" s="124" t="s">
        <v>102</v>
      </c>
      <c r="D324" s="114" t="str">
        <f>$A$181</f>
        <v>2.6.3</v>
      </c>
      <c r="E324" s="114" t="s">
        <v>383</v>
      </c>
      <c r="F324" s="12" t="s">
        <v>102</v>
      </c>
      <c r="G324" s="19"/>
      <c r="H324" s="28"/>
      <c r="I324" s="28"/>
      <c r="J324" s="28"/>
      <c r="K324" s="28"/>
      <c r="L324" s="28"/>
      <c r="M324" s="28"/>
      <c r="N324" s="28"/>
      <c r="O324" s="99"/>
    </row>
    <row r="325" spans="1:15" ht="30">
      <c r="A325" s="125"/>
      <c r="B325" s="127"/>
      <c r="C325" s="125"/>
      <c r="D325" s="115"/>
      <c r="E325" s="115"/>
      <c r="F325" s="11" t="s">
        <v>651</v>
      </c>
      <c r="G325" s="20" t="s">
        <v>652</v>
      </c>
      <c r="H325" s="29" t="str">
        <f>VLOOKUP(G325,'insumos terrapl'!$C$3:$K$47,2,0)</f>
        <v>2Q  66  10  02  00  00  00</v>
      </c>
      <c r="I325" s="29" t="str">
        <f>VLOOKUP(G325,'insumos terrapl'!$C$3:$K$47,3,0)</f>
        <v>2Q</v>
      </c>
      <c r="J325" s="29">
        <f>VLOOKUP(G325,'insumos terrapl'!$C$3:$K$47,4,0)</f>
        <v>66</v>
      </c>
      <c r="K325" s="29" t="str">
        <f>VLOOKUP(G325,'insumos terrapl'!$C$3:$K$47,5,0)</f>
        <v>10</v>
      </c>
      <c r="L325" s="29" t="str">
        <f>VLOOKUP(G325,'insumos terrapl'!$C$3:$K$47,6,0)</f>
        <v>02</v>
      </c>
      <c r="M325" s="29" t="str">
        <f>VLOOKUP(G325,'insumos terrapl'!$C$3:$K$47,7,0)</f>
        <v>00</v>
      </c>
      <c r="N325" s="29" t="str">
        <f>VLOOKUP(G325,'insumos terrapl'!$C$3:$K$47,8,0)</f>
        <v>00</v>
      </c>
      <c r="O325" s="97" t="str">
        <f>VLOOKUP(G325,'insumos terrapl'!$C$3:$K$47,9,0)</f>
        <v>00</v>
      </c>
    </row>
    <row r="326" spans="1:15" ht="30">
      <c r="A326" s="125"/>
      <c r="B326" s="127"/>
      <c r="C326" s="125"/>
      <c r="D326" s="115"/>
      <c r="E326" s="115"/>
      <c r="F326" s="11" t="s">
        <v>653</v>
      </c>
      <c r="G326" s="20" t="s">
        <v>654</v>
      </c>
      <c r="H326" s="29" t="str">
        <f>VLOOKUP(G326,'insumos terrapl'!$C$3:$K$47,2,0)</f>
        <v>2Q  62  10  06  00  00  00</v>
      </c>
      <c r="I326" s="29" t="str">
        <f>VLOOKUP(G326,'insumos terrapl'!$C$3:$K$47,3,0)</f>
        <v>2Q</v>
      </c>
      <c r="J326" s="29">
        <f>VLOOKUP(G326,'insumos terrapl'!$C$3:$K$47,4,0)</f>
        <v>62</v>
      </c>
      <c r="K326" s="29" t="str">
        <f>VLOOKUP(G326,'insumos terrapl'!$C$3:$K$47,5,0)</f>
        <v>10</v>
      </c>
      <c r="L326" s="29" t="str">
        <f>VLOOKUP(G326,'insumos terrapl'!$C$3:$K$47,6,0)</f>
        <v>06</v>
      </c>
      <c r="M326" s="29" t="str">
        <f>VLOOKUP(G326,'insumos terrapl'!$C$3:$K$47,7,0)</f>
        <v>00</v>
      </c>
      <c r="N326" s="29" t="str">
        <f>VLOOKUP(G326,'insumos terrapl'!$C$3:$K$47,8,0)</f>
        <v>00</v>
      </c>
      <c r="O326" s="97" t="str">
        <f>VLOOKUP(G326,'insumos terrapl'!$C$3:$K$47,9,0)</f>
        <v>00</v>
      </c>
    </row>
    <row r="327" spans="1:15">
      <c r="A327" s="125"/>
      <c r="B327" s="127"/>
      <c r="C327" s="125"/>
      <c r="D327" s="115"/>
      <c r="E327" s="115"/>
      <c r="F327" s="11" t="s">
        <v>605</v>
      </c>
      <c r="G327" s="20" t="s">
        <v>606</v>
      </c>
      <c r="H327" s="29" t="str">
        <f>VLOOKUP(G327,'insumos terrapl'!$C$3:$K$47,2,0)</f>
        <v>2Q  62  30  02  14  00  00</v>
      </c>
      <c r="I327" s="29" t="str">
        <f>VLOOKUP(G327,'insumos terrapl'!$C$3:$K$47,3,0)</f>
        <v>2Q</v>
      </c>
      <c r="J327" s="29">
        <f>VLOOKUP(G327,'insumos terrapl'!$C$3:$K$47,4,0)</f>
        <v>62</v>
      </c>
      <c r="K327" s="29">
        <f>VLOOKUP(G327,'insumos terrapl'!$C$3:$K$47,5,0)</f>
        <v>30</v>
      </c>
      <c r="L327" s="29" t="str">
        <f>VLOOKUP(G327,'insumos terrapl'!$C$3:$K$47,6,0)</f>
        <v>02</v>
      </c>
      <c r="M327" s="29" t="str">
        <f>VLOOKUP(G327,'insumos terrapl'!$C$3:$K$47,7,0)</f>
        <v>14</v>
      </c>
      <c r="N327" s="29" t="str">
        <f>VLOOKUP(G327,'insumos terrapl'!$C$3:$K$47,8,0)</f>
        <v>00</v>
      </c>
      <c r="O327" s="97" t="str">
        <f>VLOOKUP(G327,'insumos terrapl'!$C$3:$K$47,9,0)</f>
        <v>00</v>
      </c>
    </row>
    <row r="328" spans="1:15">
      <c r="A328" s="125"/>
      <c r="B328" s="127"/>
      <c r="C328" s="125"/>
      <c r="D328" s="115"/>
      <c r="E328" s="115"/>
      <c r="F328" s="11" t="s">
        <v>588</v>
      </c>
      <c r="G328" s="20" t="s">
        <v>589</v>
      </c>
      <c r="H328" s="29" t="str">
        <f>VLOOKUP(G328,'insumos terrapl'!$C$3:$K$47,2,0)</f>
        <v>2N  20  14  08  00  00  00</v>
      </c>
      <c r="I328" s="29" t="str">
        <f>VLOOKUP(G328,'insumos terrapl'!$C$3:$K$47,3,0)</f>
        <v>2N</v>
      </c>
      <c r="J328" s="29">
        <f>VLOOKUP(G328,'insumos terrapl'!$C$3:$K$47,4,0)</f>
        <v>20</v>
      </c>
      <c r="K328" s="29">
        <f>VLOOKUP(G328,'insumos terrapl'!$C$3:$K$47,5,0)</f>
        <v>14</v>
      </c>
      <c r="L328" s="29" t="str">
        <f>VLOOKUP(G328,'insumos terrapl'!$C$3:$K$47,6,0)</f>
        <v>08</v>
      </c>
      <c r="M328" s="29" t="str">
        <f>VLOOKUP(G328,'insumos terrapl'!$C$3:$K$47,7,0)</f>
        <v>00</v>
      </c>
      <c r="N328" s="29" t="str">
        <f>VLOOKUP(G328,'insumos terrapl'!$C$3:$K$47,8,0)</f>
        <v>00</v>
      </c>
      <c r="O328" s="97" t="str">
        <f>VLOOKUP(G328,'insumos terrapl'!$C$3:$K$47,9,0)</f>
        <v>00</v>
      </c>
    </row>
    <row r="329" spans="1:15">
      <c r="A329" s="125"/>
      <c r="B329" s="127"/>
      <c r="C329" s="132"/>
      <c r="D329" s="116"/>
      <c r="E329" s="116"/>
      <c r="F329" s="13"/>
      <c r="G329" s="21"/>
      <c r="H329" s="31"/>
      <c r="I329" s="31"/>
      <c r="J329" s="31"/>
      <c r="K329" s="31"/>
      <c r="L329" s="31"/>
      <c r="M329" s="31"/>
      <c r="N329" s="31"/>
      <c r="O329" s="98"/>
    </row>
    <row r="330" spans="1:15">
      <c r="A330" s="125"/>
      <c r="B330" s="127"/>
      <c r="C330" s="124" t="s">
        <v>103</v>
      </c>
      <c r="D330" s="114" t="str">
        <f>$A$181</f>
        <v>2.6.3</v>
      </c>
      <c r="E330" s="115" t="s">
        <v>385</v>
      </c>
      <c r="F330" s="11" t="s">
        <v>103</v>
      </c>
      <c r="G330" s="20"/>
      <c r="H330" s="29"/>
      <c r="I330" s="29"/>
      <c r="J330" s="29"/>
      <c r="K330" s="29"/>
      <c r="L330" s="29"/>
      <c r="M330" s="29"/>
      <c r="N330" s="29"/>
      <c r="O330" s="97"/>
    </row>
    <row r="331" spans="1:15" ht="30">
      <c r="A331" s="125"/>
      <c r="B331" s="127"/>
      <c r="C331" s="125"/>
      <c r="D331" s="115"/>
      <c r="E331" s="115"/>
      <c r="F331" s="11" t="s">
        <v>651</v>
      </c>
      <c r="G331" s="20" t="s">
        <v>652</v>
      </c>
      <c r="H331" s="29" t="str">
        <f>VLOOKUP(G331,'insumos terrapl'!$C$3:$K$47,2,0)</f>
        <v>2Q  66  10  02  00  00  00</v>
      </c>
      <c r="I331" s="29" t="str">
        <f>VLOOKUP(G331,'insumos terrapl'!$C$3:$K$47,3,0)</f>
        <v>2Q</v>
      </c>
      <c r="J331" s="29">
        <f>VLOOKUP(G331,'insumos terrapl'!$C$3:$K$47,4,0)</f>
        <v>66</v>
      </c>
      <c r="K331" s="29" t="str">
        <f>VLOOKUP(G331,'insumos terrapl'!$C$3:$K$47,5,0)</f>
        <v>10</v>
      </c>
      <c r="L331" s="29" t="str">
        <f>VLOOKUP(G331,'insumos terrapl'!$C$3:$K$47,6,0)</f>
        <v>02</v>
      </c>
      <c r="M331" s="29" t="str">
        <f>VLOOKUP(G331,'insumos terrapl'!$C$3:$K$47,7,0)</f>
        <v>00</v>
      </c>
      <c r="N331" s="29" t="str">
        <f>VLOOKUP(G331,'insumos terrapl'!$C$3:$K$47,8,0)</f>
        <v>00</v>
      </c>
      <c r="O331" s="97" t="str">
        <f>VLOOKUP(G331,'insumos terrapl'!$C$3:$K$47,9,0)</f>
        <v>00</v>
      </c>
    </row>
    <row r="332" spans="1:15" ht="30">
      <c r="A332" s="125"/>
      <c r="B332" s="127"/>
      <c r="C332" s="125"/>
      <c r="D332" s="115"/>
      <c r="E332" s="115"/>
      <c r="F332" s="11" t="s">
        <v>653</v>
      </c>
      <c r="G332" s="20" t="s">
        <v>654</v>
      </c>
      <c r="H332" s="29" t="str">
        <f>VLOOKUP(G332,'insumos terrapl'!$C$3:$K$47,2,0)</f>
        <v>2Q  62  10  06  00  00  00</v>
      </c>
      <c r="I332" s="29" t="str">
        <f>VLOOKUP(G332,'insumos terrapl'!$C$3:$K$47,3,0)</f>
        <v>2Q</v>
      </c>
      <c r="J332" s="29">
        <f>VLOOKUP(G332,'insumos terrapl'!$C$3:$K$47,4,0)</f>
        <v>62</v>
      </c>
      <c r="K332" s="29" t="str">
        <f>VLOOKUP(G332,'insumos terrapl'!$C$3:$K$47,5,0)</f>
        <v>10</v>
      </c>
      <c r="L332" s="29" t="str">
        <f>VLOOKUP(G332,'insumos terrapl'!$C$3:$K$47,6,0)</f>
        <v>06</v>
      </c>
      <c r="M332" s="29" t="str">
        <f>VLOOKUP(G332,'insumos terrapl'!$C$3:$K$47,7,0)</f>
        <v>00</v>
      </c>
      <c r="N332" s="29" t="str">
        <f>VLOOKUP(G332,'insumos terrapl'!$C$3:$K$47,8,0)</f>
        <v>00</v>
      </c>
      <c r="O332" s="97" t="str">
        <f>VLOOKUP(G332,'insumos terrapl'!$C$3:$K$47,9,0)</f>
        <v>00</v>
      </c>
    </row>
    <row r="333" spans="1:15">
      <c r="A333" s="125"/>
      <c r="B333" s="127"/>
      <c r="C333" s="125"/>
      <c r="D333" s="115"/>
      <c r="E333" s="115"/>
      <c r="F333" s="11" t="s">
        <v>605</v>
      </c>
      <c r="G333" s="20" t="s">
        <v>606</v>
      </c>
      <c r="H333" s="29" t="str">
        <f>VLOOKUP(G333,'insumos terrapl'!$C$3:$K$47,2,0)</f>
        <v>2Q  62  30  02  14  00  00</v>
      </c>
      <c r="I333" s="29" t="str">
        <f>VLOOKUP(G333,'insumos terrapl'!$C$3:$K$47,3,0)</f>
        <v>2Q</v>
      </c>
      <c r="J333" s="29">
        <f>VLOOKUP(G333,'insumos terrapl'!$C$3:$K$47,4,0)</f>
        <v>62</v>
      </c>
      <c r="K333" s="29">
        <f>VLOOKUP(G333,'insumos terrapl'!$C$3:$K$47,5,0)</f>
        <v>30</v>
      </c>
      <c r="L333" s="29" t="str">
        <f>VLOOKUP(G333,'insumos terrapl'!$C$3:$K$47,6,0)</f>
        <v>02</v>
      </c>
      <c r="M333" s="29" t="str">
        <f>VLOOKUP(G333,'insumos terrapl'!$C$3:$K$47,7,0)</f>
        <v>14</v>
      </c>
      <c r="N333" s="29" t="str">
        <f>VLOOKUP(G333,'insumos terrapl'!$C$3:$K$47,8,0)</f>
        <v>00</v>
      </c>
      <c r="O333" s="97" t="str">
        <f>VLOOKUP(G333,'insumos terrapl'!$C$3:$K$47,9,0)</f>
        <v>00</v>
      </c>
    </row>
    <row r="334" spans="1:15">
      <c r="A334" s="125"/>
      <c r="B334" s="127"/>
      <c r="C334" s="125"/>
      <c r="D334" s="115"/>
      <c r="E334" s="115"/>
      <c r="F334" s="11" t="s">
        <v>588</v>
      </c>
      <c r="G334" s="20" t="s">
        <v>589</v>
      </c>
      <c r="H334" s="29" t="str">
        <f>VLOOKUP(G334,'insumos terrapl'!$C$3:$K$47,2,0)</f>
        <v>2N  20  14  08  00  00  00</v>
      </c>
      <c r="I334" s="29" t="str">
        <f>VLOOKUP(G334,'insumos terrapl'!$C$3:$K$47,3,0)</f>
        <v>2N</v>
      </c>
      <c r="J334" s="29">
        <f>VLOOKUP(G334,'insumos terrapl'!$C$3:$K$47,4,0)</f>
        <v>20</v>
      </c>
      <c r="K334" s="29">
        <f>VLOOKUP(G334,'insumos terrapl'!$C$3:$K$47,5,0)</f>
        <v>14</v>
      </c>
      <c r="L334" s="29" t="str">
        <f>VLOOKUP(G334,'insumos terrapl'!$C$3:$K$47,6,0)</f>
        <v>08</v>
      </c>
      <c r="M334" s="29" t="str">
        <f>VLOOKUP(G334,'insumos terrapl'!$C$3:$K$47,7,0)</f>
        <v>00</v>
      </c>
      <c r="N334" s="29" t="str">
        <f>VLOOKUP(G334,'insumos terrapl'!$C$3:$K$47,8,0)</f>
        <v>00</v>
      </c>
      <c r="O334" s="97" t="str">
        <f>VLOOKUP(G334,'insumos terrapl'!$C$3:$K$47,9,0)</f>
        <v>00</v>
      </c>
    </row>
    <row r="335" spans="1:15">
      <c r="A335" s="125"/>
      <c r="B335" s="127"/>
      <c r="C335" s="132"/>
      <c r="D335" s="116"/>
      <c r="E335" s="115"/>
      <c r="F335" s="10"/>
      <c r="G335" s="20"/>
      <c r="H335" s="29"/>
      <c r="I335" s="29"/>
      <c r="J335" s="29"/>
      <c r="K335" s="29"/>
      <c r="L335" s="29"/>
      <c r="M335" s="29"/>
      <c r="N335" s="29"/>
      <c r="O335" s="97"/>
    </row>
    <row r="336" spans="1:15">
      <c r="A336" s="125"/>
      <c r="B336" s="127"/>
      <c r="C336" s="124" t="s">
        <v>104</v>
      </c>
      <c r="D336" s="114" t="str">
        <f>$A$181</f>
        <v>2.6.3</v>
      </c>
      <c r="E336" s="114" t="s">
        <v>387</v>
      </c>
      <c r="F336" s="12" t="s">
        <v>104</v>
      </c>
      <c r="G336" s="19"/>
      <c r="H336" s="28"/>
      <c r="I336" s="28"/>
      <c r="J336" s="28"/>
      <c r="K336" s="28"/>
      <c r="L336" s="28"/>
      <c r="M336" s="28"/>
      <c r="N336" s="28"/>
      <c r="O336" s="99"/>
    </row>
    <row r="337" spans="1:15" ht="30">
      <c r="A337" s="125"/>
      <c r="B337" s="127"/>
      <c r="C337" s="125"/>
      <c r="D337" s="115"/>
      <c r="E337" s="115"/>
      <c r="F337" s="11" t="s">
        <v>651</v>
      </c>
      <c r="G337" s="20" t="s">
        <v>652</v>
      </c>
      <c r="H337" s="29" t="str">
        <f>VLOOKUP(G337,'insumos terrapl'!$C$3:$K$47,2,0)</f>
        <v>2Q  66  10  02  00  00  00</v>
      </c>
      <c r="I337" s="29" t="str">
        <f>VLOOKUP(G337,'insumos terrapl'!$C$3:$K$47,3,0)</f>
        <v>2Q</v>
      </c>
      <c r="J337" s="29">
        <f>VLOOKUP(G337,'insumos terrapl'!$C$3:$K$47,4,0)</f>
        <v>66</v>
      </c>
      <c r="K337" s="29" t="str">
        <f>VLOOKUP(G337,'insumos terrapl'!$C$3:$K$47,5,0)</f>
        <v>10</v>
      </c>
      <c r="L337" s="29" t="str">
        <f>VLOOKUP(G337,'insumos terrapl'!$C$3:$K$47,6,0)</f>
        <v>02</v>
      </c>
      <c r="M337" s="29" t="str">
        <f>VLOOKUP(G337,'insumos terrapl'!$C$3:$K$47,7,0)</f>
        <v>00</v>
      </c>
      <c r="N337" s="29" t="str">
        <f>VLOOKUP(G337,'insumos terrapl'!$C$3:$K$47,8,0)</f>
        <v>00</v>
      </c>
      <c r="O337" s="97" t="str">
        <f>VLOOKUP(G337,'insumos terrapl'!$C$3:$K$47,9,0)</f>
        <v>00</v>
      </c>
    </row>
    <row r="338" spans="1:15" ht="30">
      <c r="A338" s="125"/>
      <c r="B338" s="127"/>
      <c r="C338" s="125"/>
      <c r="D338" s="115"/>
      <c r="E338" s="115"/>
      <c r="F338" s="11" t="s">
        <v>653</v>
      </c>
      <c r="G338" s="20" t="s">
        <v>654</v>
      </c>
      <c r="H338" s="29" t="str">
        <f>VLOOKUP(G338,'insumos terrapl'!$C$3:$K$47,2,0)</f>
        <v>2Q  62  10  06  00  00  00</v>
      </c>
      <c r="I338" s="29" t="str">
        <f>VLOOKUP(G338,'insumos terrapl'!$C$3:$K$47,3,0)</f>
        <v>2Q</v>
      </c>
      <c r="J338" s="29">
        <f>VLOOKUP(G338,'insumos terrapl'!$C$3:$K$47,4,0)</f>
        <v>62</v>
      </c>
      <c r="K338" s="29" t="str">
        <f>VLOOKUP(G338,'insumos terrapl'!$C$3:$K$47,5,0)</f>
        <v>10</v>
      </c>
      <c r="L338" s="29" t="str">
        <f>VLOOKUP(G338,'insumos terrapl'!$C$3:$K$47,6,0)</f>
        <v>06</v>
      </c>
      <c r="M338" s="29" t="str">
        <f>VLOOKUP(G338,'insumos terrapl'!$C$3:$K$47,7,0)</f>
        <v>00</v>
      </c>
      <c r="N338" s="29" t="str">
        <f>VLOOKUP(G338,'insumos terrapl'!$C$3:$K$47,8,0)</f>
        <v>00</v>
      </c>
      <c r="O338" s="97" t="str">
        <f>VLOOKUP(G338,'insumos terrapl'!$C$3:$K$47,9,0)</f>
        <v>00</v>
      </c>
    </row>
    <row r="339" spans="1:15">
      <c r="A339" s="125"/>
      <c r="B339" s="127"/>
      <c r="C339" s="125"/>
      <c r="D339" s="115"/>
      <c r="E339" s="115"/>
      <c r="F339" s="11" t="s">
        <v>605</v>
      </c>
      <c r="G339" s="20" t="s">
        <v>606</v>
      </c>
      <c r="H339" s="29" t="str">
        <f>VLOOKUP(G339,'insumos terrapl'!$C$3:$K$47,2,0)</f>
        <v>2Q  62  30  02  14  00  00</v>
      </c>
      <c r="I339" s="29" t="str">
        <f>VLOOKUP(G339,'insumos terrapl'!$C$3:$K$47,3,0)</f>
        <v>2Q</v>
      </c>
      <c r="J339" s="29">
        <f>VLOOKUP(G339,'insumos terrapl'!$C$3:$K$47,4,0)</f>
        <v>62</v>
      </c>
      <c r="K339" s="29">
        <f>VLOOKUP(G339,'insumos terrapl'!$C$3:$K$47,5,0)</f>
        <v>30</v>
      </c>
      <c r="L339" s="29" t="str">
        <f>VLOOKUP(G339,'insumos terrapl'!$C$3:$K$47,6,0)</f>
        <v>02</v>
      </c>
      <c r="M339" s="29" t="str">
        <f>VLOOKUP(G339,'insumos terrapl'!$C$3:$K$47,7,0)</f>
        <v>14</v>
      </c>
      <c r="N339" s="29" t="str">
        <f>VLOOKUP(G339,'insumos terrapl'!$C$3:$K$47,8,0)</f>
        <v>00</v>
      </c>
      <c r="O339" s="97" t="str">
        <f>VLOOKUP(G339,'insumos terrapl'!$C$3:$K$47,9,0)</f>
        <v>00</v>
      </c>
    </row>
    <row r="340" spans="1:15">
      <c r="A340" s="125"/>
      <c r="B340" s="127"/>
      <c r="C340" s="125"/>
      <c r="D340" s="115"/>
      <c r="E340" s="115"/>
      <c r="F340" s="11" t="s">
        <v>588</v>
      </c>
      <c r="G340" s="20" t="s">
        <v>589</v>
      </c>
      <c r="H340" s="29" t="str">
        <f>VLOOKUP(G340,'insumos terrapl'!$C$3:$K$47,2,0)</f>
        <v>2N  20  14  08  00  00  00</v>
      </c>
      <c r="I340" s="29" t="str">
        <f>VLOOKUP(G340,'insumos terrapl'!$C$3:$K$47,3,0)</f>
        <v>2N</v>
      </c>
      <c r="J340" s="29">
        <f>VLOOKUP(G340,'insumos terrapl'!$C$3:$K$47,4,0)</f>
        <v>20</v>
      </c>
      <c r="K340" s="29">
        <f>VLOOKUP(G340,'insumos terrapl'!$C$3:$K$47,5,0)</f>
        <v>14</v>
      </c>
      <c r="L340" s="29" t="str">
        <f>VLOOKUP(G340,'insumos terrapl'!$C$3:$K$47,6,0)</f>
        <v>08</v>
      </c>
      <c r="M340" s="29" t="str">
        <f>VLOOKUP(G340,'insumos terrapl'!$C$3:$K$47,7,0)</f>
        <v>00</v>
      </c>
      <c r="N340" s="29" t="str">
        <f>VLOOKUP(G340,'insumos terrapl'!$C$3:$K$47,8,0)</f>
        <v>00</v>
      </c>
      <c r="O340" s="97" t="str">
        <f>VLOOKUP(G340,'insumos terrapl'!$C$3:$K$47,9,0)</f>
        <v>00</v>
      </c>
    </row>
    <row r="341" spans="1:15">
      <c r="A341" s="125"/>
      <c r="B341" s="127"/>
      <c r="C341" s="132"/>
      <c r="D341" s="116"/>
      <c r="E341" s="116"/>
      <c r="F341" s="13"/>
      <c r="G341" s="21"/>
      <c r="H341" s="31"/>
      <c r="I341" s="31"/>
      <c r="J341" s="31"/>
      <c r="K341" s="31"/>
      <c r="L341" s="31"/>
      <c r="M341" s="31"/>
      <c r="N341" s="31"/>
      <c r="O341" s="98"/>
    </row>
    <row r="342" spans="1:15">
      <c r="A342" s="125"/>
      <c r="B342" s="127"/>
      <c r="C342" s="124" t="s">
        <v>105</v>
      </c>
      <c r="D342" s="114" t="str">
        <f>$A$181</f>
        <v>2.6.3</v>
      </c>
      <c r="E342" s="115" t="s">
        <v>389</v>
      </c>
      <c r="F342" s="11" t="s">
        <v>105</v>
      </c>
      <c r="G342" s="20"/>
      <c r="H342" s="29"/>
      <c r="I342" s="29"/>
      <c r="J342" s="29"/>
      <c r="K342" s="29"/>
      <c r="L342" s="29"/>
      <c r="M342" s="29"/>
      <c r="N342" s="29"/>
      <c r="O342" s="97"/>
    </row>
    <row r="343" spans="1:15" ht="30">
      <c r="A343" s="125"/>
      <c r="B343" s="127"/>
      <c r="C343" s="125"/>
      <c r="D343" s="115"/>
      <c r="E343" s="115"/>
      <c r="F343" s="11" t="s">
        <v>651</v>
      </c>
      <c r="G343" s="20" t="s">
        <v>652</v>
      </c>
      <c r="H343" s="29" t="str">
        <f>VLOOKUP(G343,'insumos terrapl'!$C$3:$K$47,2,0)</f>
        <v>2Q  66  10  02  00  00  00</v>
      </c>
      <c r="I343" s="29" t="str">
        <f>VLOOKUP(G343,'insumos terrapl'!$C$3:$K$47,3,0)</f>
        <v>2Q</v>
      </c>
      <c r="J343" s="29">
        <f>VLOOKUP(G343,'insumos terrapl'!$C$3:$K$47,4,0)</f>
        <v>66</v>
      </c>
      <c r="K343" s="29" t="str">
        <f>VLOOKUP(G343,'insumos terrapl'!$C$3:$K$47,5,0)</f>
        <v>10</v>
      </c>
      <c r="L343" s="29" t="str">
        <f>VLOOKUP(G343,'insumos terrapl'!$C$3:$K$47,6,0)</f>
        <v>02</v>
      </c>
      <c r="M343" s="29" t="str">
        <f>VLOOKUP(G343,'insumos terrapl'!$C$3:$K$47,7,0)</f>
        <v>00</v>
      </c>
      <c r="N343" s="29" t="str">
        <f>VLOOKUP(G343,'insumos terrapl'!$C$3:$K$47,8,0)</f>
        <v>00</v>
      </c>
      <c r="O343" s="97" t="str">
        <f>VLOOKUP(G343,'insumos terrapl'!$C$3:$K$47,9,0)</f>
        <v>00</v>
      </c>
    </row>
    <row r="344" spans="1:15" ht="30">
      <c r="A344" s="125"/>
      <c r="B344" s="127"/>
      <c r="C344" s="125"/>
      <c r="D344" s="115"/>
      <c r="E344" s="115"/>
      <c r="F344" s="11" t="s">
        <v>653</v>
      </c>
      <c r="G344" s="20" t="s">
        <v>654</v>
      </c>
      <c r="H344" s="29" t="str">
        <f>VLOOKUP(G344,'insumos terrapl'!$C$3:$K$47,2,0)</f>
        <v>2Q  62  10  06  00  00  00</v>
      </c>
      <c r="I344" s="29" t="str">
        <f>VLOOKUP(G344,'insumos terrapl'!$C$3:$K$47,3,0)</f>
        <v>2Q</v>
      </c>
      <c r="J344" s="29">
        <f>VLOOKUP(G344,'insumos terrapl'!$C$3:$K$47,4,0)</f>
        <v>62</v>
      </c>
      <c r="K344" s="29" t="str">
        <f>VLOOKUP(G344,'insumos terrapl'!$C$3:$K$47,5,0)</f>
        <v>10</v>
      </c>
      <c r="L344" s="29" t="str">
        <f>VLOOKUP(G344,'insumos terrapl'!$C$3:$K$47,6,0)</f>
        <v>06</v>
      </c>
      <c r="M344" s="29" t="str">
        <f>VLOOKUP(G344,'insumos terrapl'!$C$3:$K$47,7,0)</f>
        <v>00</v>
      </c>
      <c r="N344" s="29" t="str">
        <f>VLOOKUP(G344,'insumos terrapl'!$C$3:$K$47,8,0)</f>
        <v>00</v>
      </c>
      <c r="O344" s="97" t="str">
        <f>VLOOKUP(G344,'insumos terrapl'!$C$3:$K$47,9,0)</f>
        <v>00</v>
      </c>
    </row>
    <row r="345" spans="1:15">
      <c r="A345" s="125"/>
      <c r="B345" s="127"/>
      <c r="C345" s="125"/>
      <c r="D345" s="115"/>
      <c r="E345" s="115"/>
      <c r="F345" s="11" t="s">
        <v>605</v>
      </c>
      <c r="G345" s="20" t="s">
        <v>606</v>
      </c>
      <c r="H345" s="29" t="str">
        <f>VLOOKUP(G345,'insumos terrapl'!$C$3:$K$47,2,0)</f>
        <v>2Q  62  30  02  14  00  00</v>
      </c>
      <c r="I345" s="29" t="str">
        <f>VLOOKUP(G345,'insumos terrapl'!$C$3:$K$47,3,0)</f>
        <v>2Q</v>
      </c>
      <c r="J345" s="29">
        <f>VLOOKUP(G345,'insumos terrapl'!$C$3:$K$47,4,0)</f>
        <v>62</v>
      </c>
      <c r="K345" s="29">
        <f>VLOOKUP(G345,'insumos terrapl'!$C$3:$K$47,5,0)</f>
        <v>30</v>
      </c>
      <c r="L345" s="29" t="str">
        <f>VLOOKUP(G345,'insumos terrapl'!$C$3:$K$47,6,0)</f>
        <v>02</v>
      </c>
      <c r="M345" s="29" t="str">
        <f>VLOOKUP(G345,'insumos terrapl'!$C$3:$K$47,7,0)</f>
        <v>14</v>
      </c>
      <c r="N345" s="29" t="str">
        <f>VLOOKUP(G345,'insumos terrapl'!$C$3:$K$47,8,0)</f>
        <v>00</v>
      </c>
      <c r="O345" s="97" t="str">
        <f>VLOOKUP(G345,'insumos terrapl'!$C$3:$K$47,9,0)</f>
        <v>00</v>
      </c>
    </row>
    <row r="346" spans="1:15">
      <c r="A346" s="125"/>
      <c r="B346" s="127"/>
      <c r="C346" s="125"/>
      <c r="D346" s="115"/>
      <c r="E346" s="115"/>
      <c r="F346" s="11" t="s">
        <v>588</v>
      </c>
      <c r="G346" s="20" t="s">
        <v>589</v>
      </c>
      <c r="H346" s="29" t="str">
        <f>VLOOKUP(G346,'insumos terrapl'!$C$3:$K$47,2,0)</f>
        <v>2N  20  14  08  00  00  00</v>
      </c>
      <c r="I346" s="29" t="str">
        <f>VLOOKUP(G346,'insumos terrapl'!$C$3:$K$47,3,0)</f>
        <v>2N</v>
      </c>
      <c r="J346" s="29">
        <f>VLOOKUP(G346,'insumos terrapl'!$C$3:$K$47,4,0)</f>
        <v>20</v>
      </c>
      <c r="K346" s="29">
        <f>VLOOKUP(G346,'insumos terrapl'!$C$3:$K$47,5,0)</f>
        <v>14</v>
      </c>
      <c r="L346" s="29" t="str">
        <f>VLOOKUP(G346,'insumos terrapl'!$C$3:$K$47,6,0)</f>
        <v>08</v>
      </c>
      <c r="M346" s="29" t="str">
        <f>VLOOKUP(G346,'insumos terrapl'!$C$3:$K$47,7,0)</f>
        <v>00</v>
      </c>
      <c r="N346" s="29" t="str">
        <f>VLOOKUP(G346,'insumos terrapl'!$C$3:$K$47,8,0)</f>
        <v>00</v>
      </c>
      <c r="O346" s="97" t="str">
        <f>VLOOKUP(G346,'insumos terrapl'!$C$3:$K$47,9,0)</f>
        <v>00</v>
      </c>
    </row>
    <row r="347" spans="1:15">
      <c r="A347" s="125"/>
      <c r="B347" s="127"/>
      <c r="C347" s="132"/>
      <c r="D347" s="116"/>
      <c r="E347" s="115"/>
      <c r="F347" s="10"/>
      <c r="G347" s="20"/>
      <c r="H347" s="29"/>
      <c r="I347" s="29"/>
      <c r="J347" s="29"/>
      <c r="K347" s="29"/>
      <c r="L347" s="29"/>
      <c r="M347" s="29"/>
      <c r="N347" s="29"/>
      <c r="O347" s="97"/>
    </row>
    <row r="348" spans="1:15">
      <c r="A348" s="125"/>
      <c r="B348" s="127"/>
      <c r="C348" s="124" t="s">
        <v>106</v>
      </c>
      <c r="D348" s="114" t="str">
        <f>$A$181</f>
        <v>2.6.3</v>
      </c>
      <c r="E348" s="114" t="s">
        <v>391</v>
      </c>
      <c r="F348" s="12" t="s">
        <v>106</v>
      </c>
      <c r="G348" s="19"/>
      <c r="H348" s="28"/>
      <c r="I348" s="28"/>
      <c r="J348" s="28"/>
      <c r="K348" s="28"/>
      <c r="L348" s="28"/>
      <c r="M348" s="28"/>
      <c r="N348" s="28"/>
      <c r="O348" s="99"/>
    </row>
    <row r="349" spans="1:15" ht="30">
      <c r="A349" s="125"/>
      <c r="B349" s="127"/>
      <c r="C349" s="125"/>
      <c r="D349" s="115"/>
      <c r="E349" s="115"/>
      <c r="F349" s="11" t="s">
        <v>651</v>
      </c>
      <c r="G349" s="20" t="s">
        <v>652</v>
      </c>
      <c r="H349" s="29" t="str">
        <f>VLOOKUP(G349,'insumos terrapl'!$C$3:$K$47,2,0)</f>
        <v>2Q  66  10  02  00  00  00</v>
      </c>
      <c r="I349" s="29" t="str">
        <f>VLOOKUP(G349,'insumos terrapl'!$C$3:$K$47,3,0)</f>
        <v>2Q</v>
      </c>
      <c r="J349" s="29">
        <f>VLOOKUP(G349,'insumos terrapl'!$C$3:$K$47,4,0)</f>
        <v>66</v>
      </c>
      <c r="K349" s="29" t="str">
        <f>VLOOKUP(G349,'insumos terrapl'!$C$3:$K$47,5,0)</f>
        <v>10</v>
      </c>
      <c r="L349" s="29" t="str">
        <f>VLOOKUP(G349,'insumos terrapl'!$C$3:$K$47,6,0)</f>
        <v>02</v>
      </c>
      <c r="M349" s="29" t="str">
        <f>VLOOKUP(G349,'insumos terrapl'!$C$3:$K$47,7,0)</f>
        <v>00</v>
      </c>
      <c r="N349" s="29" t="str">
        <f>VLOOKUP(G349,'insumos terrapl'!$C$3:$K$47,8,0)</f>
        <v>00</v>
      </c>
      <c r="O349" s="97" t="str">
        <f>VLOOKUP(G349,'insumos terrapl'!$C$3:$K$47,9,0)</f>
        <v>00</v>
      </c>
    </row>
    <row r="350" spans="1:15" ht="30">
      <c r="A350" s="125"/>
      <c r="B350" s="127"/>
      <c r="C350" s="125"/>
      <c r="D350" s="115"/>
      <c r="E350" s="115"/>
      <c r="F350" s="11" t="s">
        <v>653</v>
      </c>
      <c r="G350" s="20" t="s">
        <v>654</v>
      </c>
      <c r="H350" s="29" t="str">
        <f>VLOOKUP(G350,'insumos terrapl'!$C$3:$K$47,2,0)</f>
        <v>2Q  62  10  06  00  00  00</v>
      </c>
      <c r="I350" s="29" t="str">
        <f>VLOOKUP(G350,'insumos terrapl'!$C$3:$K$47,3,0)</f>
        <v>2Q</v>
      </c>
      <c r="J350" s="29">
        <f>VLOOKUP(G350,'insumos terrapl'!$C$3:$K$47,4,0)</f>
        <v>62</v>
      </c>
      <c r="K350" s="29" t="str">
        <f>VLOOKUP(G350,'insumos terrapl'!$C$3:$K$47,5,0)</f>
        <v>10</v>
      </c>
      <c r="L350" s="29" t="str">
        <f>VLOOKUP(G350,'insumos terrapl'!$C$3:$K$47,6,0)</f>
        <v>06</v>
      </c>
      <c r="M350" s="29" t="str">
        <f>VLOOKUP(G350,'insumos terrapl'!$C$3:$K$47,7,0)</f>
        <v>00</v>
      </c>
      <c r="N350" s="29" t="str">
        <f>VLOOKUP(G350,'insumos terrapl'!$C$3:$K$47,8,0)</f>
        <v>00</v>
      </c>
      <c r="O350" s="97" t="str">
        <f>VLOOKUP(G350,'insumos terrapl'!$C$3:$K$47,9,0)</f>
        <v>00</v>
      </c>
    </row>
    <row r="351" spans="1:15">
      <c r="A351" s="125"/>
      <c r="B351" s="127"/>
      <c r="C351" s="125"/>
      <c r="D351" s="115"/>
      <c r="E351" s="115"/>
      <c r="F351" s="11" t="s">
        <v>605</v>
      </c>
      <c r="G351" s="20" t="s">
        <v>606</v>
      </c>
      <c r="H351" s="29" t="str">
        <f>VLOOKUP(G351,'insumos terrapl'!$C$3:$K$47,2,0)</f>
        <v>2Q  62  30  02  14  00  00</v>
      </c>
      <c r="I351" s="29" t="str">
        <f>VLOOKUP(G351,'insumos terrapl'!$C$3:$K$47,3,0)</f>
        <v>2Q</v>
      </c>
      <c r="J351" s="29">
        <f>VLOOKUP(G351,'insumos terrapl'!$C$3:$K$47,4,0)</f>
        <v>62</v>
      </c>
      <c r="K351" s="29">
        <f>VLOOKUP(G351,'insumos terrapl'!$C$3:$K$47,5,0)</f>
        <v>30</v>
      </c>
      <c r="L351" s="29" t="str">
        <f>VLOOKUP(G351,'insumos terrapl'!$C$3:$K$47,6,0)</f>
        <v>02</v>
      </c>
      <c r="M351" s="29" t="str">
        <f>VLOOKUP(G351,'insumos terrapl'!$C$3:$K$47,7,0)</f>
        <v>14</v>
      </c>
      <c r="N351" s="29" t="str">
        <f>VLOOKUP(G351,'insumos terrapl'!$C$3:$K$47,8,0)</f>
        <v>00</v>
      </c>
      <c r="O351" s="97" t="str">
        <f>VLOOKUP(G351,'insumos terrapl'!$C$3:$K$47,9,0)</f>
        <v>00</v>
      </c>
    </row>
    <row r="352" spans="1:15">
      <c r="A352" s="125"/>
      <c r="B352" s="127"/>
      <c r="C352" s="125"/>
      <c r="D352" s="115"/>
      <c r="E352" s="115"/>
      <c r="F352" s="11" t="s">
        <v>588</v>
      </c>
      <c r="G352" s="20" t="s">
        <v>589</v>
      </c>
      <c r="H352" s="29" t="str">
        <f>VLOOKUP(G352,'insumos terrapl'!$C$3:$K$47,2,0)</f>
        <v>2N  20  14  08  00  00  00</v>
      </c>
      <c r="I352" s="29" t="str">
        <f>VLOOKUP(G352,'insumos terrapl'!$C$3:$K$47,3,0)</f>
        <v>2N</v>
      </c>
      <c r="J352" s="29">
        <f>VLOOKUP(G352,'insumos terrapl'!$C$3:$K$47,4,0)</f>
        <v>20</v>
      </c>
      <c r="K352" s="29">
        <f>VLOOKUP(G352,'insumos terrapl'!$C$3:$K$47,5,0)</f>
        <v>14</v>
      </c>
      <c r="L352" s="29" t="str">
        <f>VLOOKUP(G352,'insumos terrapl'!$C$3:$K$47,6,0)</f>
        <v>08</v>
      </c>
      <c r="M352" s="29" t="str">
        <f>VLOOKUP(G352,'insumos terrapl'!$C$3:$K$47,7,0)</f>
        <v>00</v>
      </c>
      <c r="N352" s="29" t="str">
        <f>VLOOKUP(G352,'insumos terrapl'!$C$3:$K$47,8,0)</f>
        <v>00</v>
      </c>
      <c r="O352" s="97" t="str">
        <f>VLOOKUP(G352,'insumos terrapl'!$C$3:$K$47,9,0)</f>
        <v>00</v>
      </c>
    </row>
    <row r="353" spans="1:15">
      <c r="A353" s="125"/>
      <c r="B353" s="127"/>
      <c r="C353" s="132"/>
      <c r="D353" s="116"/>
      <c r="E353" s="116"/>
      <c r="F353" s="13"/>
      <c r="G353" s="21"/>
      <c r="H353" s="31"/>
      <c r="I353" s="31"/>
      <c r="J353" s="31"/>
      <c r="K353" s="31"/>
      <c r="L353" s="31"/>
      <c r="M353" s="31"/>
      <c r="N353" s="31"/>
      <c r="O353" s="98"/>
    </row>
    <row r="354" spans="1:15">
      <c r="A354" s="125"/>
      <c r="B354" s="127"/>
      <c r="C354" s="124" t="s">
        <v>107</v>
      </c>
      <c r="D354" s="114" t="str">
        <f>$A$181</f>
        <v>2.6.3</v>
      </c>
      <c r="E354" s="115" t="s">
        <v>393</v>
      </c>
      <c r="F354" s="11" t="s">
        <v>107</v>
      </c>
      <c r="G354" s="20"/>
      <c r="H354" s="29"/>
      <c r="I354" s="29"/>
      <c r="J354" s="29"/>
      <c r="K354" s="29"/>
      <c r="L354" s="29"/>
      <c r="M354" s="29"/>
      <c r="N354" s="29"/>
      <c r="O354" s="97"/>
    </row>
    <row r="355" spans="1:15" ht="30">
      <c r="A355" s="125"/>
      <c r="B355" s="127"/>
      <c r="C355" s="125"/>
      <c r="D355" s="115"/>
      <c r="E355" s="115"/>
      <c r="F355" s="11" t="s">
        <v>651</v>
      </c>
      <c r="G355" s="20" t="s">
        <v>652</v>
      </c>
      <c r="H355" s="29" t="str">
        <f>VLOOKUP(G355,'insumos terrapl'!$C$3:$K$47,2,0)</f>
        <v>2Q  66  10  02  00  00  00</v>
      </c>
      <c r="I355" s="29" t="str">
        <f>VLOOKUP(G355,'insumos terrapl'!$C$3:$K$47,3,0)</f>
        <v>2Q</v>
      </c>
      <c r="J355" s="29">
        <f>VLOOKUP(G355,'insumos terrapl'!$C$3:$K$47,4,0)</f>
        <v>66</v>
      </c>
      <c r="K355" s="29" t="str">
        <f>VLOOKUP(G355,'insumos terrapl'!$C$3:$K$47,5,0)</f>
        <v>10</v>
      </c>
      <c r="L355" s="29" t="str">
        <f>VLOOKUP(G355,'insumos terrapl'!$C$3:$K$47,6,0)</f>
        <v>02</v>
      </c>
      <c r="M355" s="29" t="str">
        <f>VLOOKUP(G355,'insumos terrapl'!$C$3:$K$47,7,0)</f>
        <v>00</v>
      </c>
      <c r="N355" s="29" t="str">
        <f>VLOOKUP(G355,'insumos terrapl'!$C$3:$K$47,8,0)</f>
        <v>00</v>
      </c>
      <c r="O355" s="97" t="str">
        <f>VLOOKUP(G355,'insumos terrapl'!$C$3:$K$47,9,0)</f>
        <v>00</v>
      </c>
    </row>
    <row r="356" spans="1:15" ht="30">
      <c r="A356" s="125"/>
      <c r="B356" s="127"/>
      <c r="C356" s="125"/>
      <c r="D356" s="115"/>
      <c r="E356" s="115"/>
      <c r="F356" s="11" t="s">
        <v>653</v>
      </c>
      <c r="G356" s="20" t="s">
        <v>654</v>
      </c>
      <c r="H356" s="29" t="str">
        <f>VLOOKUP(G356,'insumos terrapl'!$C$3:$K$47,2,0)</f>
        <v>2Q  62  10  06  00  00  00</v>
      </c>
      <c r="I356" s="29" t="str">
        <f>VLOOKUP(G356,'insumos terrapl'!$C$3:$K$47,3,0)</f>
        <v>2Q</v>
      </c>
      <c r="J356" s="29">
        <f>VLOOKUP(G356,'insumos terrapl'!$C$3:$K$47,4,0)</f>
        <v>62</v>
      </c>
      <c r="K356" s="29" t="str">
        <f>VLOOKUP(G356,'insumos terrapl'!$C$3:$K$47,5,0)</f>
        <v>10</v>
      </c>
      <c r="L356" s="29" t="str">
        <f>VLOOKUP(G356,'insumos terrapl'!$C$3:$K$47,6,0)</f>
        <v>06</v>
      </c>
      <c r="M356" s="29" t="str">
        <f>VLOOKUP(G356,'insumos terrapl'!$C$3:$K$47,7,0)</f>
        <v>00</v>
      </c>
      <c r="N356" s="29" t="str">
        <f>VLOOKUP(G356,'insumos terrapl'!$C$3:$K$47,8,0)</f>
        <v>00</v>
      </c>
      <c r="O356" s="97" t="str">
        <f>VLOOKUP(G356,'insumos terrapl'!$C$3:$K$47,9,0)</f>
        <v>00</v>
      </c>
    </row>
    <row r="357" spans="1:15">
      <c r="A357" s="125"/>
      <c r="B357" s="127"/>
      <c r="C357" s="125"/>
      <c r="D357" s="115"/>
      <c r="E357" s="115"/>
      <c r="F357" s="11" t="s">
        <v>605</v>
      </c>
      <c r="G357" s="20" t="s">
        <v>606</v>
      </c>
      <c r="H357" s="29" t="str">
        <f>VLOOKUP(G357,'insumos terrapl'!$C$3:$K$47,2,0)</f>
        <v>2Q  62  30  02  14  00  00</v>
      </c>
      <c r="I357" s="29" t="str">
        <f>VLOOKUP(G357,'insumos terrapl'!$C$3:$K$47,3,0)</f>
        <v>2Q</v>
      </c>
      <c r="J357" s="29">
        <f>VLOOKUP(G357,'insumos terrapl'!$C$3:$K$47,4,0)</f>
        <v>62</v>
      </c>
      <c r="K357" s="29">
        <f>VLOOKUP(G357,'insumos terrapl'!$C$3:$K$47,5,0)</f>
        <v>30</v>
      </c>
      <c r="L357" s="29" t="str">
        <f>VLOOKUP(G357,'insumos terrapl'!$C$3:$K$47,6,0)</f>
        <v>02</v>
      </c>
      <c r="M357" s="29" t="str">
        <f>VLOOKUP(G357,'insumos terrapl'!$C$3:$K$47,7,0)</f>
        <v>14</v>
      </c>
      <c r="N357" s="29" t="str">
        <f>VLOOKUP(G357,'insumos terrapl'!$C$3:$K$47,8,0)</f>
        <v>00</v>
      </c>
      <c r="O357" s="97" t="str">
        <f>VLOOKUP(G357,'insumos terrapl'!$C$3:$K$47,9,0)</f>
        <v>00</v>
      </c>
    </row>
    <row r="358" spans="1:15">
      <c r="A358" s="125"/>
      <c r="B358" s="127"/>
      <c r="C358" s="125"/>
      <c r="D358" s="115"/>
      <c r="E358" s="115"/>
      <c r="F358" s="11" t="s">
        <v>588</v>
      </c>
      <c r="G358" s="20" t="s">
        <v>589</v>
      </c>
      <c r="H358" s="29" t="str">
        <f>VLOOKUP(G358,'insumos terrapl'!$C$3:$K$47,2,0)</f>
        <v>2N  20  14  08  00  00  00</v>
      </c>
      <c r="I358" s="29" t="str">
        <f>VLOOKUP(G358,'insumos terrapl'!$C$3:$K$47,3,0)</f>
        <v>2N</v>
      </c>
      <c r="J358" s="29">
        <f>VLOOKUP(G358,'insumos terrapl'!$C$3:$K$47,4,0)</f>
        <v>20</v>
      </c>
      <c r="K358" s="29">
        <f>VLOOKUP(G358,'insumos terrapl'!$C$3:$K$47,5,0)</f>
        <v>14</v>
      </c>
      <c r="L358" s="29" t="str">
        <f>VLOOKUP(G358,'insumos terrapl'!$C$3:$K$47,6,0)</f>
        <v>08</v>
      </c>
      <c r="M358" s="29" t="str">
        <f>VLOOKUP(G358,'insumos terrapl'!$C$3:$K$47,7,0)</f>
        <v>00</v>
      </c>
      <c r="N358" s="29" t="str">
        <f>VLOOKUP(G358,'insumos terrapl'!$C$3:$K$47,8,0)</f>
        <v>00</v>
      </c>
      <c r="O358" s="97" t="str">
        <f>VLOOKUP(G358,'insumos terrapl'!$C$3:$K$47,9,0)</f>
        <v>00</v>
      </c>
    </row>
    <row r="359" spans="1:15">
      <c r="A359" s="125"/>
      <c r="B359" s="127"/>
      <c r="C359" s="132"/>
      <c r="D359" s="116"/>
      <c r="E359" s="115"/>
      <c r="F359" s="10"/>
      <c r="G359" s="20"/>
      <c r="H359" s="29"/>
      <c r="I359" s="29"/>
      <c r="J359" s="29"/>
      <c r="K359" s="29"/>
      <c r="L359" s="29"/>
      <c r="M359" s="29"/>
      <c r="N359" s="29"/>
      <c r="O359" s="97"/>
    </row>
    <row r="360" spans="1:15">
      <c r="A360" s="125"/>
      <c r="B360" s="127"/>
      <c r="C360" s="124" t="s">
        <v>108</v>
      </c>
      <c r="D360" s="114" t="str">
        <f>$A$181</f>
        <v>2.6.3</v>
      </c>
      <c r="E360" s="114" t="s">
        <v>395</v>
      </c>
      <c r="F360" s="12" t="s">
        <v>108</v>
      </c>
      <c r="G360" s="19"/>
      <c r="H360" s="28"/>
      <c r="I360" s="28"/>
      <c r="J360" s="28"/>
      <c r="K360" s="28"/>
      <c r="L360" s="28"/>
      <c r="M360" s="28"/>
      <c r="N360" s="28"/>
      <c r="O360" s="99"/>
    </row>
    <row r="361" spans="1:15" ht="30">
      <c r="A361" s="125"/>
      <c r="B361" s="127"/>
      <c r="C361" s="125"/>
      <c r="D361" s="115"/>
      <c r="E361" s="115"/>
      <c r="F361" s="11" t="s">
        <v>651</v>
      </c>
      <c r="G361" s="20" t="s">
        <v>652</v>
      </c>
      <c r="H361" s="29" t="str">
        <f>VLOOKUP(G361,'insumos terrapl'!$C$3:$K$47,2,0)</f>
        <v>2Q  66  10  02  00  00  00</v>
      </c>
      <c r="I361" s="29" t="str">
        <f>VLOOKUP(G361,'insumos terrapl'!$C$3:$K$47,3,0)</f>
        <v>2Q</v>
      </c>
      <c r="J361" s="29">
        <f>VLOOKUP(G361,'insumos terrapl'!$C$3:$K$47,4,0)</f>
        <v>66</v>
      </c>
      <c r="K361" s="29" t="str">
        <f>VLOOKUP(G361,'insumos terrapl'!$C$3:$K$47,5,0)</f>
        <v>10</v>
      </c>
      <c r="L361" s="29" t="str">
        <f>VLOOKUP(G361,'insumos terrapl'!$C$3:$K$47,6,0)</f>
        <v>02</v>
      </c>
      <c r="M361" s="29" t="str">
        <f>VLOOKUP(G361,'insumos terrapl'!$C$3:$K$47,7,0)</f>
        <v>00</v>
      </c>
      <c r="N361" s="29" t="str">
        <f>VLOOKUP(G361,'insumos terrapl'!$C$3:$K$47,8,0)</f>
        <v>00</v>
      </c>
      <c r="O361" s="97" t="str">
        <f>VLOOKUP(G361,'insumos terrapl'!$C$3:$K$47,9,0)</f>
        <v>00</v>
      </c>
    </row>
    <row r="362" spans="1:15" ht="30">
      <c r="A362" s="125"/>
      <c r="B362" s="127"/>
      <c r="C362" s="125"/>
      <c r="D362" s="115"/>
      <c r="E362" s="115"/>
      <c r="F362" s="11" t="s">
        <v>653</v>
      </c>
      <c r="G362" s="20" t="s">
        <v>654</v>
      </c>
      <c r="H362" s="29" t="str">
        <f>VLOOKUP(G362,'insumos terrapl'!$C$3:$K$47,2,0)</f>
        <v>2Q  62  10  06  00  00  00</v>
      </c>
      <c r="I362" s="29" t="str">
        <f>VLOOKUP(G362,'insumos terrapl'!$C$3:$K$47,3,0)</f>
        <v>2Q</v>
      </c>
      <c r="J362" s="29">
        <f>VLOOKUP(G362,'insumos terrapl'!$C$3:$K$47,4,0)</f>
        <v>62</v>
      </c>
      <c r="K362" s="29" t="str">
        <f>VLOOKUP(G362,'insumos terrapl'!$C$3:$K$47,5,0)</f>
        <v>10</v>
      </c>
      <c r="L362" s="29" t="str">
        <f>VLOOKUP(G362,'insumos terrapl'!$C$3:$K$47,6,0)</f>
        <v>06</v>
      </c>
      <c r="M362" s="29" t="str">
        <f>VLOOKUP(G362,'insumos terrapl'!$C$3:$K$47,7,0)</f>
        <v>00</v>
      </c>
      <c r="N362" s="29" t="str">
        <f>VLOOKUP(G362,'insumos terrapl'!$C$3:$K$47,8,0)</f>
        <v>00</v>
      </c>
      <c r="O362" s="97" t="str">
        <f>VLOOKUP(G362,'insumos terrapl'!$C$3:$K$47,9,0)</f>
        <v>00</v>
      </c>
    </row>
    <row r="363" spans="1:15">
      <c r="A363" s="125"/>
      <c r="B363" s="127"/>
      <c r="C363" s="125"/>
      <c r="D363" s="115"/>
      <c r="E363" s="115"/>
      <c r="F363" s="11" t="s">
        <v>605</v>
      </c>
      <c r="G363" s="20" t="s">
        <v>606</v>
      </c>
      <c r="H363" s="29" t="str">
        <f>VLOOKUP(G363,'insumos terrapl'!$C$3:$K$47,2,0)</f>
        <v>2Q  62  30  02  14  00  00</v>
      </c>
      <c r="I363" s="29" t="str">
        <f>VLOOKUP(G363,'insumos terrapl'!$C$3:$K$47,3,0)</f>
        <v>2Q</v>
      </c>
      <c r="J363" s="29">
        <f>VLOOKUP(G363,'insumos terrapl'!$C$3:$K$47,4,0)</f>
        <v>62</v>
      </c>
      <c r="K363" s="29">
        <f>VLOOKUP(G363,'insumos terrapl'!$C$3:$K$47,5,0)</f>
        <v>30</v>
      </c>
      <c r="L363" s="29" t="str">
        <f>VLOOKUP(G363,'insumos terrapl'!$C$3:$K$47,6,0)</f>
        <v>02</v>
      </c>
      <c r="M363" s="29" t="str">
        <f>VLOOKUP(G363,'insumos terrapl'!$C$3:$K$47,7,0)</f>
        <v>14</v>
      </c>
      <c r="N363" s="29" t="str">
        <f>VLOOKUP(G363,'insumos terrapl'!$C$3:$K$47,8,0)</f>
        <v>00</v>
      </c>
      <c r="O363" s="97" t="str">
        <f>VLOOKUP(G363,'insumos terrapl'!$C$3:$K$47,9,0)</f>
        <v>00</v>
      </c>
    </row>
    <row r="364" spans="1:15">
      <c r="A364" s="125"/>
      <c r="B364" s="127"/>
      <c r="C364" s="125"/>
      <c r="D364" s="115"/>
      <c r="E364" s="115"/>
      <c r="F364" s="11" t="s">
        <v>588</v>
      </c>
      <c r="G364" s="20" t="s">
        <v>589</v>
      </c>
      <c r="H364" s="29" t="str">
        <f>VLOOKUP(G364,'insumos terrapl'!$C$3:$K$47,2,0)</f>
        <v>2N  20  14  08  00  00  00</v>
      </c>
      <c r="I364" s="29" t="str">
        <f>VLOOKUP(G364,'insumos terrapl'!$C$3:$K$47,3,0)</f>
        <v>2N</v>
      </c>
      <c r="J364" s="29">
        <f>VLOOKUP(G364,'insumos terrapl'!$C$3:$K$47,4,0)</f>
        <v>20</v>
      </c>
      <c r="K364" s="29">
        <f>VLOOKUP(G364,'insumos terrapl'!$C$3:$K$47,5,0)</f>
        <v>14</v>
      </c>
      <c r="L364" s="29" t="str">
        <f>VLOOKUP(G364,'insumos terrapl'!$C$3:$K$47,6,0)</f>
        <v>08</v>
      </c>
      <c r="M364" s="29" t="str">
        <f>VLOOKUP(G364,'insumos terrapl'!$C$3:$K$47,7,0)</f>
        <v>00</v>
      </c>
      <c r="N364" s="29" t="str">
        <f>VLOOKUP(G364,'insumos terrapl'!$C$3:$K$47,8,0)</f>
        <v>00</v>
      </c>
      <c r="O364" s="97" t="str">
        <f>VLOOKUP(G364,'insumos terrapl'!$C$3:$K$47,9,0)</f>
        <v>00</v>
      </c>
    </row>
    <row r="365" spans="1:15">
      <c r="A365" s="125"/>
      <c r="B365" s="127"/>
      <c r="C365" s="132"/>
      <c r="D365" s="116"/>
      <c r="E365" s="116"/>
      <c r="F365" s="13"/>
      <c r="G365" s="21"/>
      <c r="H365" s="31"/>
      <c r="I365" s="31"/>
      <c r="J365" s="31"/>
      <c r="K365" s="31"/>
      <c r="L365" s="31"/>
      <c r="M365" s="31"/>
      <c r="N365" s="31"/>
      <c r="O365" s="98"/>
    </row>
    <row r="366" spans="1:15">
      <c r="A366" s="125"/>
      <c r="B366" s="127"/>
      <c r="C366" s="124" t="s">
        <v>109</v>
      </c>
      <c r="D366" s="114" t="str">
        <f>$A$181</f>
        <v>2.6.3</v>
      </c>
      <c r="E366" s="115" t="s">
        <v>397</v>
      </c>
      <c r="F366" s="11" t="s">
        <v>109</v>
      </c>
      <c r="G366" s="20"/>
      <c r="H366" s="29"/>
      <c r="I366" s="29"/>
      <c r="J366" s="29"/>
      <c r="K366" s="29"/>
      <c r="L366" s="29"/>
      <c r="M366" s="29"/>
      <c r="N366" s="29"/>
      <c r="O366" s="97"/>
    </row>
    <row r="367" spans="1:15" ht="30">
      <c r="A367" s="125"/>
      <c r="B367" s="127"/>
      <c r="C367" s="125"/>
      <c r="D367" s="115"/>
      <c r="E367" s="115"/>
      <c r="F367" s="11" t="s">
        <v>651</v>
      </c>
      <c r="G367" s="20" t="s">
        <v>652</v>
      </c>
      <c r="H367" s="29" t="str">
        <f>VLOOKUP(G367,'insumos terrapl'!$C$3:$K$47,2,0)</f>
        <v>2Q  66  10  02  00  00  00</v>
      </c>
      <c r="I367" s="29" t="str">
        <f>VLOOKUP(G367,'insumos terrapl'!$C$3:$K$47,3,0)</f>
        <v>2Q</v>
      </c>
      <c r="J367" s="29">
        <f>VLOOKUP(G367,'insumos terrapl'!$C$3:$K$47,4,0)</f>
        <v>66</v>
      </c>
      <c r="K367" s="29" t="str">
        <f>VLOOKUP(G367,'insumos terrapl'!$C$3:$K$47,5,0)</f>
        <v>10</v>
      </c>
      <c r="L367" s="29" t="str">
        <f>VLOOKUP(G367,'insumos terrapl'!$C$3:$K$47,6,0)</f>
        <v>02</v>
      </c>
      <c r="M367" s="29" t="str">
        <f>VLOOKUP(G367,'insumos terrapl'!$C$3:$K$47,7,0)</f>
        <v>00</v>
      </c>
      <c r="N367" s="29" t="str">
        <f>VLOOKUP(G367,'insumos terrapl'!$C$3:$K$47,8,0)</f>
        <v>00</v>
      </c>
      <c r="O367" s="97" t="str">
        <f>VLOOKUP(G367,'insumos terrapl'!$C$3:$K$47,9,0)</f>
        <v>00</v>
      </c>
    </row>
    <row r="368" spans="1:15" ht="30">
      <c r="A368" s="125"/>
      <c r="B368" s="127"/>
      <c r="C368" s="125"/>
      <c r="D368" s="115"/>
      <c r="E368" s="115"/>
      <c r="F368" s="11" t="s">
        <v>653</v>
      </c>
      <c r="G368" s="20" t="s">
        <v>654</v>
      </c>
      <c r="H368" s="29" t="str">
        <f>VLOOKUP(G368,'insumos terrapl'!$C$3:$K$47,2,0)</f>
        <v>2Q  62  10  06  00  00  00</v>
      </c>
      <c r="I368" s="29" t="str">
        <f>VLOOKUP(G368,'insumos terrapl'!$C$3:$K$47,3,0)</f>
        <v>2Q</v>
      </c>
      <c r="J368" s="29">
        <f>VLOOKUP(G368,'insumos terrapl'!$C$3:$K$47,4,0)</f>
        <v>62</v>
      </c>
      <c r="K368" s="29" t="str">
        <f>VLOOKUP(G368,'insumos terrapl'!$C$3:$K$47,5,0)</f>
        <v>10</v>
      </c>
      <c r="L368" s="29" t="str">
        <f>VLOOKUP(G368,'insumos terrapl'!$C$3:$K$47,6,0)</f>
        <v>06</v>
      </c>
      <c r="M368" s="29" t="str">
        <f>VLOOKUP(G368,'insumos terrapl'!$C$3:$K$47,7,0)</f>
        <v>00</v>
      </c>
      <c r="N368" s="29" t="str">
        <f>VLOOKUP(G368,'insumos terrapl'!$C$3:$K$47,8,0)</f>
        <v>00</v>
      </c>
      <c r="O368" s="97" t="str">
        <f>VLOOKUP(G368,'insumos terrapl'!$C$3:$K$47,9,0)</f>
        <v>00</v>
      </c>
    </row>
    <row r="369" spans="1:15">
      <c r="A369" s="125"/>
      <c r="B369" s="127"/>
      <c r="C369" s="125"/>
      <c r="D369" s="115"/>
      <c r="E369" s="115"/>
      <c r="F369" s="11" t="s">
        <v>605</v>
      </c>
      <c r="G369" s="20" t="s">
        <v>606</v>
      </c>
      <c r="H369" s="29" t="str">
        <f>VLOOKUP(G369,'insumos terrapl'!$C$3:$K$47,2,0)</f>
        <v>2Q  62  30  02  14  00  00</v>
      </c>
      <c r="I369" s="29" t="str">
        <f>VLOOKUP(G369,'insumos terrapl'!$C$3:$K$47,3,0)</f>
        <v>2Q</v>
      </c>
      <c r="J369" s="29">
        <f>VLOOKUP(G369,'insumos terrapl'!$C$3:$K$47,4,0)</f>
        <v>62</v>
      </c>
      <c r="K369" s="29">
        <f>VLOOKUP(G369,'insumos terrapl'!$C$3:$K$47,5,0)</f>
        <v>30</v>
      </c>
      <c r="L369" s="29" t="str">
        <f>VLOOKUP(G369,'insumos terrapl'!$C$3:$K$47,6,0)</f>
        <v>02</v>
      </c>
      <c r="M369" s="29" t="str">
        <f>VLOOKUP(G369,'insumos terrapl'!$C$3:$K$47,7,0)</f>
        <v>14</v>
      </c>
      <c r="N369" s="29" t="str">
        <f>VLOOKUP(G369,'insumos terrapl'!$C$3:$K$47,8,0)</f>
        <v>00</v>
      </c>
      <c r="O369" s="97" t="str">
        <f>VLOOKUP(G369,'insumos terrapl'!$C$3:$K$47,9,0)</f>
        <v>00</v>
      </c>
    </row>
    <row r="370" spans="1:15">
      <c r="A370" s="125"/>
      <c r="B370" s="127"/>
      <c r="C370" s="125"/>
      <c r="D370" s="115"/>
      <c r="E370" s="115"/>
      <c r="F370" s="11" t="s">
        <v>588</v>
      </c>
      <c r="G370" s="20" t="s">
        <v>589</v>
      </c>
      <c r="H370" s="29" t="str">
        <f>VLOOKUP(G370,'insumos terrapl'!$C$3:$K$47,2,0)</f>
        <v>2N  20  14  08  00  00  00</v>
      </c>
      <c r="I370" s="29" t="str">
        <f>VLOOKUP(G370,'insumos terrapl'!$C$3:$K$47,3,0)</f>
        <v>2N</v>
      </c>
      <c r="J370" s="29">
        <f>VLOOKUP(G370,'insumos terrapl'!$C$3:$K$47,4,0)</f>
        <v>20</v>
      </c>
      <c r="K370" s="29">
        <f>VLOOKUP(G370,'insumos terrapl'!$C$3:$K$47,5,0)</f>
        <v>14</v>
      </c>
      <c r="L370" s="29" t="str">
        <f>VLOOKUP(G370,'insumos terrapl'!$C$3:$K$47,6,0)</f>
        <v>08</v>
      </c>
      <c r="M370" s="29" t="str">
        <f>VLOOKUP(G370,'insumos terrapl'!$C$3:$K$47,7,0)</f>
        <v>00</v>
      </c>
      <c r="N370" s="29" t="str">
        <f>VLOOKUP(G370,'insumos terrapl'!$C$3:$K$47,8,0)</f>
        <v>00</v>
      </c>
      <c r="O370" s="97" t="str">
        <f>VLOOKUP(G370,'insumos terrapl'!$C$3:$K$47,9,0)</f>
        <v>00</v>
      </c>
    </row>
    <row r="371" spans="1:15">
      <c r="A371" s="125"/>
      <c r="B371" s="127"/>
      <c r="C371" s="132"/>
      <c r="D371" s="116"/>
      <c r="E371" s="115"/>
      <c r="F371" s="10"/>
      <c r="G371" s="20"/>
      <c r="H371" s="29"/>
      <c r="I371" s="29"/>
      <c r="J371" s="29"/>
      <c r="K371" s="29"/>
      <c r="L371" s="29"/>
      <c r="M371" s="29"/>
      <c r="N371" s="29"/>
      <c r="O371" s="97"/>
    </row>
    <row r="372" spans="1:15">
      <c r="A372" s="125"/>
      <c r="B372" s="127"/>
      <c r="C372" s="124" t="s">
        <v>110</v>
      </c>
      <c r="D372" s="114" t="str">
        <f>$A$181</f>
        <v>2.6.3</v>
      </c>
      <c r="E372" s="114" t="s">
        <v>399</v>
      </c>
      <c r="F372" s="12" t="s">
        <v>110</v>
      </c>
      <c r="G372" s="19"/>
      <c r="H372" s="28"/>
      <c r="I372" s="28"/>
      <c r="J372" s="28"/>
      <c r="K372" s="28"/>
      <c r="L372" s="28"/>
      <c r="M372" s="28"/>
      <c r="N372" s="28"/>
      <c r="O372" s="99"/>
    </row>
    <row r="373" spans="1:15" ht="30">
      <c r="A373" s="125"/>
      <c r="B373" s="127"/>
      <c r="C373" s="125"/>
      <c r="D373" s="115"/>
      <c r="E373" s="115"/>
      <c r="F373" s="11" t="s">
        <v>651</v>
      </c>
      <c r="G373" s="20" t="s">
        <v>652</v>
      </c>
      <c r="H373" s="29" t="str">
        <f>VLOOKUP(G373,'insumos terrapl'!$C$3:$K$47,2,0)</f>
        <v>2Q  66  10  02  00  00  00</v>
      </c>
      <c r="I373" s="29" t="str">
        <f>VLOOKUP(G373,'insumos terrapl'!$C$3:$K$47,3,0)</f>
        <v>2Q</v>
      </c>
      <c r="J373" s="29">
        <f>VLOOKUP(G373,'insumos terrapl'!$C$3:$K$47,4,0)</f>
        <v>66</v>
      </c>
      <c r="K373" s="29" t="str">
        <f>VLOOKUP(G373,'insumos terrapl'!$C$3:$K$47,5,0)</f>
        <v>10</v>
      </c>
      <c r="L373" s="29" t="str">
        <f>VLOOKUP(G373,'insumos terrapl'!$C$3:$K$47,6,0)</f>
        <v>02</v>
      </c>
      <c r="M373" s="29" t="str">
        <f>VLOOKUP(G373,'insumos terrapl'!$C$3:$K$47,7,0)</f>
        <v>00</v>
      </c>
      <c r="N373" s="29" t="str">
        <f>VLOOKUP(G373,'insumos terrapl'!$C$3:$K$47,8,0)</f>
        <v>00</v>
      </c>
      <c r="O373" s="97" t="str">
        <f>VLOOKUP(G373,'insumos terrapl'!$C$3:$K$47,9,0)</f>
        <v>00</v>
      </c>
    </row>
    <row r="374" spans="1:15" ht="30">
      <c r="A374" s="125"/>
      <c r="B374" s="127"/>
      <c r="C374" s="125"/>
      <c r="D374" s="115"/>
      <c r="E374" s="115"/>
      <c r="F374" s="11" t="s">
        <v>653</v>
      </c>
      <c r="G374" s="20" t="s">
        <v>654</v>
      </c>
      <c r="H374" s="29" t="str">
        <f>VLOOKUP(G374,'insumos terrapl'!$C$3:$K$47,2,0)</f>
        <v>2Q  62  10  06  00  00  00</v>
      </c>
      <c r="I374" s="29" t="str">
        <f>VLOOKUP(G374,'insumos terrapl'!$C$3:$K$47,3,0)</f>
        <v>2Q</v>
      </c>
      <c r="J374" s="29">
        <f>VLOOKUP(G374,'insumos terrapl'!$C$3:$K$47,4,0)</f>
        <v>62</v>
      </c>
      <c r="K374" s="29" t="str">
        <f>VLOOKUP(G374,'insumos terrapl'!$C$3:$K$47,5,0)</f>
        <v>10</v>
      </c>
      <c r="L374" s="29" t="str">
        <f>VLOOKUP(G374,'insumos terrapl'!$C$3:$K$47,6,0)</f>
        <v>06</v>
      </c>
      <c r="M374" s="29" t="str">
        <f>VLOOKUP(G374,'insumos terrapl'!$C$3:$K$47,7,0)</f>
        <v>00</v>
      </c>
      <c r="N374" s="29" t="str">
        <f>VLOOKUP(G374,'insumos terrapl'!$C$3:$K$47,8,0)</f>
        <v>00</v>
      </c>
      <c r="O374" s="97" t="str">
        <f>VLOOKUP(G374,'insumos terrapl'!$C$3:$K$47,9,0)</f>
        <v>00</v>
      </c>
    </row>
    <row r="375" spans="1:15">
      <c r="A375" s="125"/>
      <c r="B375" s="127"/>
      <c r="C375" s="125"/>
      <c r="D375" s="115"/>
      <c r="E375" s="115"/>
      <c r="F375" s="11" t="s">
        <v>605</v>
      </c>
      <c r="G375" s="20" t="s">
        <v>606</v>
      </c>
      <c r="H375" s="29" t="str">
        <f>VLOOKUP(G375,'insumos terrapl'!$C$3:$K$47,2,0)</f>
        <v>2Q  62  30  02  14  00  00</v>
      </c>
      <c r="I375" s="29" t="str">
        <f>VLOOKUP(G375,'insumos terrapl'!$C$3:$K$47,3,0)</f>
        <v>2Q</v>
      </c>
      <c r="J375" s="29">
        <f>VLOOKUP(G375,'insumos terrapl'!$C$3:$K$47,4,0)</f>
        <v>62</v>
      </c>
      <c r="K375" s="29">
        <f>VLOOKUP(G375,'insumos terrapl'!$C$3:$K$47,5,0)</f>
        <v>30</v>
      </c>
      <c r="L375" s="29" t="str">
        <f>VLOOKUP(G375,'insumos terrapl'!$C$3:$K$47,6,0)</f>
        <v>02</v>
      </c>
      <c r="M375" s="29" t="str">
        <f>VLOOKUP(G375,'insumos terrapl'!$C$3:$K$47,7,0)</f>
        <v>14</v>
      </c>
      <c r="N375" s="29" t="str">
        <f>VLOOKUP(G375,'insumos terrapl'!$C$3:$K$47,8,0)</f>
        <v>00</v>
      </c>
      <c r="O375" s="97" t="str">
        <f>VLOOKUP(G375,'insumos terrapl'!$C$3:$K$47,9,0)</f>
        <v>00</v>
      </c>
    </row>
    <row r="376" spans="1:15">
      <c r="A376" s="125"/>
      <c r="B376" s="127"/>
      <c r="C376" s="125"/>
      <c r="D376" s="115"/>
      <c r="E376" s="115"/>
      <c r="F376" s="11" t="s">
        <v>588</v>
      </c>
      <c r="G376" s="20" t="s">
        <v>589</v>
      </c>
      <c r="H376" s="29" t="str">
        <f>VLOOKUP(G376,'insumos terrapl'!$C$3:$K$47,2,0)</f>
        <v>2N  20  14  08  00  00  00</v>
      </c>
      <c r="I376" s="29" t="str">
        <f>VLOOKUP(G376,'insumos terrapl'!$C$3:$K$47,3,0)</f>
        <v>2N</v>
      </c>
      <c r="J376" s="29">
        <f>VLOOKUP(G376,'insumos terrapl'!$C$3:$K$47,4,0)</f>
        <v>20</v>
      </c>
      <c r="K376" s="29">
        <f>VLOOKUP(G376,'insumos terrapl'!$C$3:$K$47,5,0)</f>
        <v>14</v>
      </c>
      <c r="L376" s="29" t="str">
        <f>VLOOKUP(G376,'insumos terrapl'!$C$3:$K$47,6,0)</f>
        <v>08</v>
      </c>
      <c r="M376" s="29" t="str">
        <f>VLOOKUP(G376,'insumos terrapl'!$C$3:$K$47,7,0)</f>
        <v>00</v>
      </c>
      <c r="N376" s="29" t="str">
        <f>VLOOKUP(G376,'insumos terrapl'!$C$3:$K$47,8,0)</f>
        <v>00</v>
      </c>
      <c r="O376" s="97" t="str">
        <f>VLOOKUP(G376,'insumos terrapl'!$C$3:$K$47,9,0)</f>
        <v>00</v>
      </c>
    </row>
    <row r="377" spans="1:15">
      <c r="A377" s="125"/>
      <c r="B377" s="127"/>
      <c r="C377" s="132"/>
      <c r="D377" s="116"/>
      <c r="E377" s="116"/>
      <c r="F377" s="13"/>
      <c r="G377" s="21"/>
      <c r="H377" s="31"/>
      <c r="I377" s="31"/>
      <c r="J377" s="31"/>
      <c r="K377" s="31"/>
      <c r="L377" s="31"/>
      <c r="M377" s="31"/>
      <c r="N377" s="31"/>
      <c r="O377" s="98"/>
    </row>
    <row r="378" spans="1:15">
      <c r="A378" s="125"/>
      <c r="B378" s="127"/>
      <c r="C378" s="124" t="s">
        <v>111</v>
      </c>
      <c r="D378" s="114" t="str">
        <f>$A$181</f>
        <v>2.6.3</v>
      </c>
      <c r="E378" s="115" t="s">
        <v>401</v>
      </c>
      <c r="F378" s="11" t="s">
        <v>111</v>
      </c>
      <c r="G378" s="20"/>
      <c r="H378" s="29"/>
      <c r="I378" s="29"/>
      <c r="J378" s="29"/>
      <c r="K378" s="29"/>
      <c r="L378" s="29"/>
      <c r="M378" s="29"/>
      <c r="N378" s="29"/>
      <c r="O378" s="97"/>
    </row>
    <row r="379" spans="1:15" ht="30">
      <c r="A379" s="125"/>
      <c r="B379" s="127"/>
      <c r="C379" s="125"/>
      <c r="D379" s="115"/>
      <c r="E379" s="115"/>
      <c r="F379" s="11" t="s">
        <v>651</v>
      </c>
      <c r="G379" s="20" t="s">
        <v>652</v>
      </c>
      <c r="H379" s="29" t="str">
        <f>VLOOKUP(G379,'insumos terrapl'!$C$3:$K$47,2,0)</f>
        <v>2Q  66  10  02  00  00  00</v>
      </c>
      <c r="I379" s="29" t="str">
        <f>VLOOKUP(G379,'insumos terrapl'!$C$3:$K$47,3,0)</f>
        <v>2Q</v>
      </c>
      <c r="J379" s="29">
        <f>VLOOKUP(G379,'insumos terrapl'!$C$3:$K$47,4,0)</f>
        <v>66</v>
      </c>
      <c r="K379" s="29" t="str">
        <f>VLOOKUP(G379,'insumos terrapl'!$C$3:$K$47,5,0)</f>
        <v>10</v>
      </c>
      <c r="L379" s="29" t="str">
        <f>VLOOKUP(G379,'insumos terrapl'!$C$3:$K$47,6,0)</f>
        <v>02</v>
      </c>
      <c r="M379" s="29" t="str">
        <f>VLOOKUP(G379,'insumos terrapl'!$C$3:$K$47,7,0)</f>
        <v>00</v>
      </c>
      <c r="N379" s="29" t="str">
        <f>VLOOKUP(G379,'insumos terrapl'!$C$3:$K$47,8,0)</f>
        <v>00</v>
      </c>
      <c r="O379" s="97" t="str">
        <f>VLOOKUP(G379,'insumos terrapl'!$C$3:$K$47,9,0)</f>
        <v>00</v>
      </c>
    </row>
    <row r="380" spans="1:15" ht="30">
      <c r="A380" s="125"/>
      <c r="B380" s="127"/>
      <c r="C380" s="125"/>
      <c r="D380" s="115"/>
      <c r="E380" s="115"/>
      <c r="F380" s="11" t="s">
        <v>653</v>
      </c>
      <c r="G380" s="20" t="s">
        <v>654</v>
      </c>
      <c r="H380" s="29" t="str">
        <f>VLOOKUP(G380,'insumos terrapl'!$C$3:$K$47,2,0)</f>
        <v>2Q  62  10  06  00  00  00</v>
      </c>
      <c r="I380" s="29" t="str">
        <f>VLOOKUP(G380,'insumos terrapl'!$C$3:$K$47,3,0)</f>
        <v>2Q</v>
      </c>
      <c r="J380" s="29">
        <f>VLOOKUP(G380,'insumos terrapl'!$C$3:$K$47,4,0)</f>
        <v>62</v>
      </c>
      <c r="K380" s="29" t="str">
        <f>VLOOKUP(G380,'insumos terrapl'!$C$3:$K$47,5,0)</f>
        <v>10</v>
      </c>
      <c r="L380" s="29" t="str">
        <f>VLOOKUP(G380,'insumos terrapl'!$C$3:$K$47,6,0)</f>
        <v>06</v>
      </c>
      <c r="M380" s="29" t="str">
        <f>VLOOKUP(G380,'insumos terrapl'!$C$3:$K$47,7,0)</f>
        <v>00</v>
      </c>
      <c r="N380" s="29" t="str">
        <f>VLOOKUP(G380,'insumos terrapl'!$C$3:$K$47,8,0)</f>
        <v>00</v>
      </c>
      <c r="O380" s="97" t="str">
        <f>VLOOKUP(G380,'insumos terrapl'!$C$3:$K$47,9,0)</f>
        <v>00</v>
      </c>
    </row>
    <row r="381" spans="1:15">
      <c r="A381" s="125"/>
      <c r="B381" s="127"/>
      <c r="C381" s="125"/>
      <c r="D381" s="115"/>
      <c r="E381" s="115"/>
      <c r="F381" s="11" t="s">
        <v>605</v>
      </c>
      <c r="G381" s="20" t="s">
        <v>606</v>
      </c>
      <c r="H381" s="29" t="str">
        <f>VLOOKUP(G381,'insumos terrapl'!$C$3:$K$47,2,0)</f>
        <v>2Q  62  30  02  14  00  00</v>
      </c>
      <c r="I381" s="29" t="str">
        <f>VLOOKUP(G381,'insumos terrapl'!$C$3:$K$47,3,0)</f>
        <v>2Q</v>
      </c>
      <c r="J381" s="29">
        <f>VLOOKUP(G381,'insumos terrapl'!$C$3:$K$47,4,0)</f>
        <v>62</v>
      </c>
      <c r="K381" s="29">
        <f>VLOOKUP(G381,'insumos terrapl'!$C$3:$K$47,5,0)</f>
        <v>30</v>
      </c>
      <c r="L381" s="29" t="str">
        <f>VLOOKUP(G381,'insumos terrapl'!$C$3:$K$47,6,0)</f>
        <v>02</v>
      </c>
      <c r="M381" s="29" t="str">
        <f>VLOOKUP(G381,'insumos terrapl'!$C$3:$K$47,7,0)</f>
        <v>14</v>
      </c>
      <c r="N381" s="29" t="str">
        <f>VLOOKUP(G381,'insumos terrapl'!$C$3:$K$47,8,0)</f>
        <v>00</v>
      </c>
      <c r="O381" s="97" t="str">
        <f>VLOOKUP(G381,'insumos terrapl'!$C$3:$K$47,9,0)</f>
        <v>00</v>
      </c>
    </row>
    <row r="382" spans="1:15">
      <c r="A382" s="125"/>
      <c r="B382" s="127"/>
      <c r="C382" s="125"/>
      <c r="D382" s="115"/>
      <c r="E382" s="115"/>
      <c r="F382" s="11" t="s">
        <v>588</v>
      </c>
      <c r="G382" s="20" t="s">
        <v>589</v>
      </c>
      <c r="H382" s="29" t="str">
        <f>VLOOKUP(G382,'insumos terrapl'!$C$3:$K$47,2,0)</f>
        <v>2N  20  14  08  00  00  00</v>
      </c>
      <c r="I382" s="29" t="str">
        <f>VLOOKUP(G382,'insumos terrapl'!$C$3:$K$47,3,0)</f>
        <v>2N</v>
      </c>
      <c r="J382" s="29">
        <f>VLOOKUP(G382,'insumos terrapl'!$C$3:$K$47,4,0)</f>
        <v>20</v>
      </c>
      <c r="K382" s="29">
        <f>VLOOKUP(G382,'insumos terrapl'!$C$3:$K$47,5,0)</f>
        <v>14</v>
      </c>
      <c r="L382" s="29" t="str">
        <f>VLOOKUP(G382,'insumos terrapl'!$C$3:$K$47,6,0)</f>
        <v>08</v>
      </c>
      <c r="M382" s="29" t="str">
        <f>VLOOKUP(G382,'insumos terrapl'!$C$3:$K$47,7,0)</f>
        <v>00</v>
      </c>
      <c r="N382" s="29" t="str">
        <f>VLOOKUP(G382,'insumos terrapl'!$C$3:$K$47,8,0)</f>
        <v>00</v>
      </c>
      <c r="O382" s="97" t="str">
        <f>VLOOKUP(G382,'insumos terrapl'!$C$3:$K$47,9,0)</f>
        <v>00</v>
      </c>
    </row>
    <row r="383" spans="1:15">
      <c r="A383" s="125"/>
      <c r="B383" s="127"/>
      <c r="C383" s="132"/>
      <c r="D383" s="116"/>
      <c r="E383" s="115"/>
      <c r="F383" s="10"/>
      <c r="G383" s="20"/>
      <c r="H383" s="29"/>
      <c r="I383" s="29"/>
      <c r="J383" s="29"/>
      <c r="K383" s="29"/>
      <c r="L383" s="29"/>
      <c r="M383" s="29"/>
      <c r="N383" s="29"/>
      <c r="O383" s="97"/>
    </row>
    <row r="384" spans="1:15">
      <c r="A384" s="125"/>
      <c r="B384" s="127"/>
      <c r="C384" s="124" t="s">
        <v>112</v>
      </c>
      <c r="D384" s="114" t="str">
        <f>$A$181</f>
        <v>2.6.3</v>
      </c>
      <c r="E384" s="114" t="s">
        <v>403</v>
      </c>
      <c r="F384" s="12" t="s">
        <v>112</v>
      </c>
      <c r="G384" s="19"/>
      <c r="H384" s="28"/>
      <c r="I384" s="28"/>
      <c r="J384" s="28"/>
      <c r="K384" s="28"/>
      <c r="L384" s="28"/>
      <c r="M384" s="28"/>
      <c r="N384" s="28"/>
      <c r="O384" s="99"/>
    </row>
    <row r="385" spans="1:15" ht="30">
      <c r="A385" s="125"/>
      <c r="B385" s="127"/>
      <c r="C385" s="125"/>
      <c r="D385" s="115"/>
      <c r="E385" s="115"/>
      <c r="F385" s="11" t="s">
        <v>651</v>
      </c>
      <c r="G385" s="20" t="s">
        <v>652</v>
      </c>
      <c r="H385" s="29" t="str">
        <f>VLOOKUP(G385,'insumos terrapl'!$C$3:$K$47,2,0)</f>
        <v>2Q  66  10  02  00  00  00</v>
      </c>
      <c r="I385" s="29" t="str">
        <f>VLOOKUP(G385,'insumos terrapl'!$C$3:$K$47,3,0)</f>
        <v>2Q</v>
      </c>
      <c r="J385" s="29">
        <f>VLOOKUP(G385,'insumos terrapl'!$C$3:$K$47,4,0)</f>
        <v>66</v>
      </c>
      <c r="K385" s="29" t="str">
        <f>VLOOKUP(G385,'insumos terrapl'!$C$3:$K$47,5,0)</f>
        <v>10</v>
      </c>
      <c r="L385" s="29" t="str">
        <f>VLOOKUP(G385,'insumos terrapl'!$C$3:$K$47,6,0)</f>
        <v>02</v>
      </c>
      <c r="M385" s="29" t="str">
        <f>VLOOKUP(G385,'insumos terrapl'!$C$3:$K$47,7,0)</f>
        <v>00</v>
      </c>
      <c r="N385" s="29" t="str">
        <f>VLOOKUP(G385,'insumos terrapl'!$C$3:$K$47,8,0)</f>
        <v>00</v>
      </c>
      <c r="O385" s="97" t="str">
        <f>VLOOKUP(G385,'insumos terrapl'!$C$3:$K$47,9,0)</f>
        <v>00</v>
      </c>
    </row>
    <row r="386" spans="1:15" ht="30">
      <c r="A386" s="125"/>
      <c r="B386" s="127"/>
      <c r="C386" s="125"/>
      <c r="D386" s="115"/>
      <c r="E386" s="115"/>
      <c r="F386" s="11" t="s">
        <v>653</v>
      </c>
      <c r="G386" s="20" t="s">
        <v>654</v>
      </c>
      <c r="H386" s="29" t="str">
        <f>VLOOKUP(G386,'insumos terrapl'!$C$3:$K$47,2,0)</f>
        <v>2Q  62  10  06  00  00  00</v>
      </c>
      <c r="I386" s="29" t="str">
        <f>VLOOKUP(G386,'insumos terrapl'!$C$3:$K$47,3,0)</f>
        <v>2Q</v>
      </c>
      <c r="J386" s="29">
        <f>VLOOKUP(G386,'insumos terrapl'!$C$3:$K$47,4,0)</f>
        <v>62</v>
      </c>
      <c r="K386" s="29" t="str">
        <f>VLOOKUP(G386,'insumos terrapl'!$C$3:$K$47,5,0)</f>
        <v>10</v>
      </c>
      <c r="L386" s="29" t="str">
        <f>VLOOKUP(G386,'insumos terrapl'!$C$3:$K$47,6,0)</f>
        <v>06</v>
      </c>
      <c r="M386" s="29" t="str">
        <f>VLOOKUP(G386,'insumos terrapl'!$C$3:$K$47,7,0)</f>
        <v>00</v>
      </c>
      <c r="N386" s="29" t="str">
        <f>VLOOKUP(G386,'insumos terrapl'!$C$3:$K$47,8,0)</f>
        <v>00</v>
      </c>
      <c r="O386" s="97" t="str">
        <f>VLOOKUP(G386,'insumos terrapl'!$C$3:$K$47,9,0)</f>
        <v>00</v>
      </c>
    </row>
    <row r="387" spans="1:15">
      <c r="A387" s="125"/>
      <c r="B387" s="127"/>
      <c r="C387" s="125"/>
      <c r="D387" s="115"/>
      <c r="E387" s="115"/>
      <c r="F387" s="11" t="s">
        <v>605</v>
      </c>
      <c r="G387" s="20" t="s">
        <v>606</v>
      </c>
      <c r="H387" s="29" t="str">
        <f>VLOOKUP(G387,'insumos terrapl'!$C$3:$K$47,2,0)</f>
        <v>2Q  62  30  02  14  00  00</v>
      </c>
      <c r="I387" s="29" t="str">
        <f>VLOOKUP(G387,'insumos terrapl'!$C$3:$K$47,3,0)</f>
        <v>2Q</v>
      </c>
      <c r="J387" s="29">
        <f>VLOOKUP(G387,'insumos terrapl'!$C$3:$K$47,4,0)</f>
        <v>62</v>
      </c>
      <c r="K387" s="29">
        <f>VLOOKUP(G387,'insumos terrapl'!$C$3:$K$47,5,0)</f>
        <v>30</v>
      </c>
      <c r="L387" s="29" t="str">
        <f>VLOOKUP(G387,'insumos terrapl'!$C$3:$K$47,6,0)</f>
        <v>02</v>
      </c>
      <c r="M387" s="29" t="str">
        <f>VLOOKUP(G387,'insumos terrapl'!$C$3:$K$47,7,0)</f>
        <v>14</v>
      </c>
      <c r="N387" s="29" t="str">
        <f>VLOOKUP(G387,'insumos terrapl'!$C$3:$K$47,8,0)</f>
        <v>00</v>
      </c>
      <c r="O387" s="97" t="str">
        <f>VLOOKUP(G387,'insumos terrapl'!$C$3:$K$47,9,0)</f>
        <v>00</v>
      </c>
    </row>
    <row r="388" spans="1:15">
      <c r="A388" s="125"/>
      <c r="B388" s="127"/>
      <c r="C388" s="125"/>
      <c r="D388" s="115"/>
      <c r="E388" s="115"/>
      <c r="F388" s="11" t="s">
        <v>588</v>
      </c>
      <c r="G388" s="20" t="s">
        <v>589</v>
      </c>
      <c r="H388" s="29" t="str">
        <f>VLOOKUP(G388,'insumos terrapl'!$C$3:$K$47,2,0)</f>
        <v>2N  20  14  08  00  00  00</v>
      </c>
      <c r="I388" s="29" t="str">
        <f>VLOOKUP(G388,'insumos terrapl'!$C$3:$K$47,3,0)</f>
        <v>2N</v>
      </c>
      <c r="J388" s="29">
        <f>VLOOKUP(G388,'insumos terrapl'!$C$3:$K$47,4,0)</f>
        <v>20</v>
      </c>
      <c r="K388" s="29">
        <f>VLOOKUP(G388,'insumos terrapl'!$C$3:$K$47,5,0)</f>
        <v>14</v>
      </c>
      <c r="L388" s="29" t="str">
        <f>VLOOKUP(G388,'insumos terrapl'!$C$3:$K$47,6,0)</f>
        <v>08</v>
      </c>
      <c r="M388" s="29" t="str">
        <f>VLOOKUP(G388,'insumos terrapl'!$C$3:$K$47,7,0)</f>
        <v>00</v>
      </c>
      <c r="N388" s="29" t="str">
        <f>VLOOKUP(G388,'insumos terrapl'!$C$3:$K$47,8,0)</f>
        <v>00</v>
      </c>
      <c r="O388" s="97" t="str">
        <f>VLOOKUP(G388,'insumos terrapl'!$C$3:$K$47,9,0)</f>
        <v>00</v>
      </c>
    </row>
    <row r="389" spans="1:15">
      <c r="A389" s="125"/>
      <c r="B389" s="127"/>
      <c r="C389" s="132"/>
      <c r="D389" s="116"/>
      <c r="E389" s="116"/>
      <c r="F389" s="13"/>
      <c r="G389" s="21"/>
      <c r="H389" s="31"/>
      <c r="I389" s="31"/>
      <c r="J389" s="31"/>
      <c r="K389" s="31"/>
      <c r="L389" s="31"/>
      <c r="M389" s="31"/>
      <c r="N389" s="31"/>
      <c r="O389" s="98"/>
    </row>
    <row r="390" spans="1:15">
      <c r="A390" s="125"/>
      <c r="B390" s="127"/>
      <c r="C390" s="124" t="s">
        <v>113</v>
      </c>
      <c r="D390" s="114" t="str">
        <f>$A$181</f>
        <v>2.6.3</v>
      </c>
      <c r="E390" s="115" t="s">
        <v>405</v>
      </c>
      <c r="F390" s="11" t="s">
        <v>113</v>
      </c>
      <c r="G390" s="20"/>
      <c r="H390" s="29"/>
      <c r="I390" s="29"/>
      <c r="J390" s="29"/>
      <c r="K390" s="29"/>
      <c r="L390" s="29"/>
      <c r="M390" s="29"/>
      <c r="N390" s="29"/>
      <c r="O390" s="97"/>
    </row>
    <row r="391" spans="1:15" ht="30">
      <c r="A391" s="125"/>
      <c r="B391" s="127"/>
      <c r="C391" s="125"/>
      <c r="D391" s="115"/>
      <c r="E391" s="115"/>
      <c r="F391" s="11" t="s">
        <v>651</v>
      </c>
      <c r="G391" s="20" t="s">
        <v>652</v>
      </c>
      <c r="H391" s="29" t="str">
        <f>VLOOKUP(G391,'insumos terrapl'!$C$3:$K$47,2,0)</f>
        <v>2Q  66  10  02  00  00  00</v>
      </c>
      <c r="I391" s="29" t="str">
        <f>VLOOKUP(G391,'insumos terrapl'!$C$3:$K$47,3,0)</f>
        <v>2Q</v>
      </c>
      <c r="J391" s="29">
        <f>VLOOKUP(G391,'insumos terrapl'!$C$3:$K$47,4,0)</f>
        <v>66</v>
      </c>
      <c r="K391" s="29" t="str">
        <f>VLOOKUP(G391,'insumos terrapl'!$C$3:$K$47,5,0)</f>
        <v>10</v>
      </c>
      <c r="L391" s="29" t="str">
        <f>VLOOKUP(G391,'insumos terrapl'!$C$3:$K$47,6,0)</f>
        <v>02</v>
      </c>
      <c r="M391" s="29" t="str">
        <f>VLOOKUP(G391,'insumos terrapl'!$C$3:$K$47,7,0)</f>
        <v>00</v>
      </c>
      <c r="N391" s="29" t="str">
        <f>VLOOKUP(G391,'insumos terrapl'!$C$3:$K$47,8,0)</f>
        <v>00</v>
      </c>
      <c r="O391" s="97" t="str">
        <f>VLOOKUP(G391,'insumos terrapl'!$C$3:$K$47,9,0)</f>
        <v>00</v>
      </c>
    </row>
    <row r="392" spans="1:15" ht="30">
      <c r="A392" s="125"/>
      <c r="B392" s="127"/>
      <c r="C392" s="125"/>
      <c r="D392" s="115"/>
      <c r="E392" s="115"/>
      <c r="F392" s="11" t="s">
        <v>653</v>
      </c>
      <c r="G392" s="20" t="s">
        <v>654</v>
      </c>
      <c r="H392" s="29" t="str">
        <f>VLOOKUP(G392,'insumos terrapl'!$C$3:$K$47,2,0)</f>
        <v>2Q  62  10  06  00  00  00</v>
      </c>
      <c r="I392" s="29" t="str">
        <f>VLOOKUP(G392,'insumos terrapl'!$C$3:$K$47,3,0)</f>
        <v>2Q</v>
      </c>
      <c r="J392" s="29">
        <f>VLOOKUP(G392,'insumos terrapl'!$C$3:$K$47,4,0)</f>
        <v>62</v>
      </c>
      <c r="K392" s="29" t="str">
        <f>VLOOKUP(G392,'insumos terrapl'!$C$3:$K$47,5,0)</f>
        <v>10</v>
      </c>
      <c r="L392" s="29" t="str">
        <f>VLOOKUP(G392,'insumos terrapl'!$C$3:$K$47,6,0)</f>
        <v>06</v>
      </c>
      <c r="M392" s="29" t="str">
        <f>VLOOKUP(G392,'insumos terrapl'!$C$3:$K$47,7,0)</f>
        <v>00</v>
      </c>
      <c r="N392" s="29" t="str">
        <f>VLOOKUP(G392,'insumos terrapl'!$C$3:$K$47,8,0)</f>
        <v>00</v>
      </c>
      <c r="O392" s="97" t="str">
        <f>VLOOKUP(G392,'insumos terrapl'!$C$3:$K$47,9,0)</f>
        <v>00</v>
      </c>
    </row>
    <row r="393" spans="1:15">
      <c r="A393" s="125"/>
      <c r="B393" s="127"/>
      <c r="C393" s="125"/>
      <c r="D393" s="115"/>
      <c r="E393" s="115"/>
      <c r="F393" s="11" t="s">
        <v>605</v>
      </c>
      <c r="G393" s="20" t="s">
        <v>606</v>
      </c>
      <c r="H393" s="29" t="str">
        <f>VLOOKUP(G393,'insumos terrapl'!$C$3:$K$47,2,0)</f>
        <v>2Q  62  30  02  14  00  00</v>
      </c>
      <c r="I393" s="29" t="str">
        <f>VLOOKUP(G393,'insumos terrapl'!$C$3:$K$47,3,0)</f>
        <v>2Q</v>
      </c>
      <c r="J393" s="29">
        <f>VLOOKUP(G393,'insumos terrapl'!$C$3:$K$47,4,0)</f>
        <v>62</v>
      </c>
      <c r="K393" s="29">
        <f>VLOOKUP(G393,'insumos terrapl'!$C$3:$K$47,5,0)</f>
        <v>30</v>
      </c>
      <c r="L393" s="29" t="str">
        <f>VLOOKUP(G393,'insumos terrapl'!$C$3:$K$47,6,0)</f>
        <v>02</v>
      </c>
      <c r="M393" s="29" t="str">
        <f>VLOOKUP(G393,'insumos terrapl'!$C$3:$K$47,7,0)</f>
        <v>14</v>
      </c>
      <c r="N393" s="29" t="str">
        <f>VLOOKUP(G393,'insumos terrapl'!$C$3:$K$47,8,0)</f>
        <v>00</v>
      </c>
      <c r="O393" s="97" t="str">
        <f>VLOOKUP(G393,'insumos terrapl'!$C$3:$K$47,9,0)</f>
        <v>00</v>
      </c>
    </row>
    <row r="394" spans="1:15">
      <c r="A394" s="125"/>
      <c r="B394" s="127"/>
      <c r="C394" s="125"/>
      <c r="D394" s="115"/>
      <c r="E394" s="115"/>
      <c r="F394" s="11" t="s">
        <v>588</v>
      </c>
      <c r="G394" s="20" t="s">
        <v>589</v>
      </c>
      <c r="H394" s="29" t="str">
        <f>VLOOKUP(G394,'insumos terrapl'!$C$3:$K$47,2,0)</f>
        <v>2N  20  14  08  00  00  00</v>
      </c>
      <c r="I394" s="29" t="str">
        <f>VLOOKUP(G394,'insumos terrapl'!$C$3:$K$47,3,0)</f>
        <v>2N</v>
      </c>
      <c r="J394" s="29">
        <f>VLOOKUP(G394,'insumos terrapl'!$C$3:$K$47,4,0)</f>
        <v>20</v>
      </c>
      <c r="K394" s="29">
        <f>VLOOKUP(G394,'insumos terrapl'!$C$3:$K$47,5,0)</f>
        <v>14</v>
      </c>
      <c r="L394" s="29" t="str">
        <f>VLOOKUP(G394,'insumos terrapl'!$C$3:$K$47,6,0)</f>
        <v>08</v>
      </c>
      <c r="M394" s="29" t="str">
        <f>VLOOKUP(G394,'insumos terrapl'!$C$3:$K$47,7,0)</f>
        <v>00</v>
      </c>
      <c r="N394" s="29" t="str">
        <f>VLOOKUP(G394,'insumos terrapl'!$C$3:$K$47,8,0)</f>
        <v>00</v>
      </c>
      <c r="O394" s="97" t="str">
        <f>VLOOKUP(G394,'insumos terrapl'!$C$3:$K$47,9,0)</f>
        <v>00</v>
      </c>
    </row>
    <row r="395" spans="1:15">
      <c r="A395" s="125"/>
      <c r="B395" s="127"/>
      <c r="C395" s="132"/>
      <c r="D395" s="116"/>
      <c r="E395" s="115"/>
      <c r="F395" s="10"/>
      <c r="G395" s="20"/>
      <c r="H395" s="29"/>
      <c r="I395" s="29"/>
      <c r="J395" s="29"/>
      <c r="K395" s="29"/>
      <c r="L395" s="29"/>
      <c r="M395" s="29"/>
      <c r="N395" s="29"/>
      <c r="O395" s="97"/>
    </row>
    <row r="396" spans="1:15">
      <c r="A396" s="125"/>
      <c r="B396" s="127"/>
      <c r="C396" s="124" t="s">
        <v>114</v>
      </c>
      <c r="D396" s="114" t="str">
        <f>$A$181</f>
        <v>2.6.3</v>
      </c>
      <c r="E396" s="114" t="s">
        <v>407</v>
      </c>
      <c r="F396" s="12" t="s">
        <v>114</v>
      </c>
      <c r="G396" s="19"/>
      <c r="H396" s="28"/>
      <c r="I396" s="28"/>
      <c r="J396" s="28"/>
      <c r="K396" s="28"/>
      <c r="L396" s="28"/>
      <c r="M396" s="28"/>
      <c r="N396" s="28"/>
      <c r="O396" s="99"/>
    </row>
    <row r="397" spans="1:15" ht="30">
      <c r="A397" s="125"/>
      <c r="B397" s="127"/>
      <c r="C397" s="125"/>
      <c r="D397" s="115"/>
      <c r="E397" s="115"/>
      <c r="F397" s="11" t="s">
        <v>651</v>
      </c>
      <c r="G397" s="20" t="s">
        <v>652</v>
      </c>
      <c r="H397" s="29" t="str">
        <f>VLOOKUP(G397,'insumos terrapl'!$C$3:$K$47,2,0)</f>
        <v>2Q  66  10  02  00  00  00</v>
      </c>
      <c r="I397" s="29" t="str">
        <f>VLOOKUP(G397,'insumos terrapl'!$C$3:$K$47,3,0)</f>
        <v>2Q</v>
      </c>
      <c r="J397" s="29">
        <f>VLOOKUP(G397,'insumos terrapl'!$C$3:$K$47,4,0)</f>
        <v>66</v>
      </c>
      <c r="K397" s="29" t="str">
        <f>VLOOKUP(G397,'insumos terrapl'!$C$3:$K$47,5,0)</f>
        <v>10</v>
      </c>
      <c r="L397" s="29" t="str">
        <f>VLOOKUP(G397,'insumos terrapl'!$C$3:$K$47,6,0)</f>
        <v>02</v>
      </c>
      <c r="M397" s="29" t="str">
        <f>VLOOKUP(G397,'insumos terrapl'!$C$3:$K$47,7,0)</f>
        <v>00</v>
      </c>
      <c r="N397" s="29" t="str">
        <f>VLOOKUP(G397,'insumos terrapl'!$C$3:$K$47,8,0)</f>
        <v>00</v>
      </c>
      <c r="O397" s="97" t="str">
        <f>VLOOKUP(G397,'insumos terrapl'!$C$3:$K$47,9,0)</f>
        <v>00</v>
      </c>
    </row>
    <row r="398" spans="1:15" ht="30">
      <c r="A398" s="125"/>
      <c r="B398" s="127"/>
      <c r="C398" s="125"/>
      <c r="D398" s="115"/>
      <c r="E398" s="115"/>
      <c r="F398" s="11" t="s">
        <v>653</v>
      </c>
      <c r="G398" s="20" t="s">
        <v>654</v>
      </c>
      <c r="H398" s="29" t="str">
        <f>VLOOKUP(G398,'insumos terrapl'!$C$3:$K$47,2,0)</f>
        <v>2Q  62  10  06  00  00  00</v>
      </c>
      <c r="I398" s="29" t="str">
        <f>VLOOKUP(G398,'insumos terrapl'!$C$3:$K$47,3,0)</f>
        <v>2Q</v>
      </c>
      <c r="J398" s="29">
        <f>VLOOKUP(G398,'insumos terrapl'!$C$3:$K$47,4,0)</f>
        <v>62</v>
      </c>
      <c r="K398" s="29" t="str">
        <f>VLOOKUP(G398,'insumos terrapl'!$C$3:$K$47,5,0)</f>
        <v>10</v>
      </c>
      <c r="L398" s="29" t="str">
        <f>VLOOKUP(G398,'insumos terrapl'!$C$3:$K$47,6,0)</f>
        <v>06</v>
      </c>
      <c r="M398" s="29" t="str">
        <f>VLOOKUP(G398,'insumos terrapl'!$C$3:$K$47,7,0)</f>
        <v>00</v>
      </c>
      <c r="N398" s="29" t="str">
        <f>VLOOKUP(G398,'insumos terrapl'!$C$3:$K$47,8,0)</f>
        <v>00</v>
      </c>
      <c r="O398" s="97" t="str">
        <f>VLOOKUP(G398,'insumos terrapl'!$C$3:$K$47,9,0)</f>
        <v>00</v>
      </c>
    </row>
    <row r="399" spans="1:15">
      <c r="A399" s="125"/>
      <c r="B399" s="127"/>
      <c r="C399" s="125"/>
      <c r="D399" s="115"/>
      <c r="E399" s="115"/>
      <c r="F399" s="11" t="s">
        <v>605</v>
      </c>
      <c r="G399" s="20" t="s">
        <v>606</v>
      </c>
      <c r="H399" s="29" t="str">
        <f>VLOOKUP(G399,'insumos terrapl'!$C$3:$K$47,2,0)</f>
        <v>2Q  62  30  02  14  00  00</v>
      </c>
      <c r="I399" s="29" t="str">
        <f>VLOOKUP(G399,'insumos terrapl'!$C$3:$K$47,3,0)</f>
        <v>2Q</v>
      </c>
      <c r="J399" s="29">
        <f>VLOOKUP(G399,'insumos terrapl'!$C$3:$K$47,4,0)</f>
        <v>62</v>
      </c>
      <c r="K399" s="29">
        <f>VLOOKUP(G399,'insumos terrapl'!$C$3:$K$47,5,0)</f>
        <v>30</v>
      </c>
      <c r="L399" s="29" t="str">
        <f>VLOOKUP(G399,'insumos terrapl'!$C$3:$K$47,6,0)</f>
        <v>02</v>
      </c>
      <c r="M399" s="29" t="str">
        <f>VLOOKUP(G399,'insumos terrapl'!$C$3:$K$47,7,0)</f>
        <v>14</v>
      </c>
      <c r="N399" s="29" t="str">
        <f>VLOOKUP(G399,'insumos terrapl'!$C$3:$K$47,8,0)</f>
        <v>00</v>
      </c>
      <c r="O399" s="97" t="str">
        <f>VLOOKUP(G399,'insumos terrapl'!$C$3:$K$47,9,0)</f>
        <v>00</v>
      </c>
    </row>
    <row r="400" spans="1:15">
      <c r="A400" s="125"/>
      <c r="B400" s="127"/>
      <c r="C400" s="125"/>
      <c r="D400" s="115"/>
      <c r="E400" s="115"/>
      <c r="F400" s="11" t="s">
        <v>588</v>
      </c>
      <c r="G400" s="20" t="s">
        <v>589</v>
      </c>
      <c r="H400" s="29" t="str">
        <f>VLOOKUP(G400,'insumos terrapl'!$C$3:$K$47,2,0)</f>
        <v>2N  20  14  08  00  00  00</v>
      </c>
      <c r="I400" s="29" t="str">
        <f>VLOOKUP(G400,'insumos terrapl'!$C$3:$K$47,3,0)</f>
        <v>2N</v>
      </c>
      <c r="J400" s="29">
        <f>VLOOKUP(G400,'insumos terrapl'!$C$3:$K$47,4,0)</f>
        <v>20</v>
      </c>
      <c r="K400" s="29">
        <f>VLOOKUP(G400,'insumos terrapl'!$C$3:$K$47,5,0)</f>
        <v>14</v>
      </c>
      <c r="L400" s="29" t="str">
        <f>VLOOKUP(G400,'insumos terrapl'!$C$3:$K$47,6,0)</f>
        <v>08</v>
      </c>
      <c r="M400" s="29" t="str">
        <f>VLOOKUP(G400,'insumos terrapl'!$C$3:$K$47,7,0)</f>
        <v>00</v>
      </c>
      <c r="N400" s="29" t="str">
        <f>VLOOKUP(G400,'insumos terrapl'!$C$3:$K$47,8,0)</f>
        <v>00</v>
      </c>
      <c r="O400" s="97" t="str">
        <f>VLOOKUP(G400,'insumos terrapl'!$C$3:$K$47,9,0)</f>
        <v>00</v>
      </c>
    </row>
    <row r="401" spans="1:15">
      <c r="A401" s="125"/>
      <c r="B401" s="127"/>
      <c r="C401" s="132"/>
      <c r="D401" s="116"/>
      <c r="E401" s="116"/>
      <c r="F401" s="13"/>
      <c r="G401" s="21"/>
      <c r="H401" s="31"/>
      <c r="I401" s="31"/>
      <c r="J401" s="31"/>
      <c r="K401" s="31"/>
      <c r="L401" s="31"/>
      <c r="M401" s="31"/>
      <c r="N401" s="31"/>
      <c r="O401" s="98"/>
    </row>
    <row r="402" spans="1:15">
      <c r="A402" s="125"/>
      <c r="B402" s="127"/>
      <c r="C402" s="124" t="s">
        <v>115</v>
      </c>
      <c r="D402" s="114" t="str">
        <f>$A$181</f>
        <v>2.6.3</v>
      </c>
      <c r="E402" s="115" t="s">
        <v>409</v>
      </c>
      <c r="F402" s="11" t="s">
        <v>115</v>
      </c>
      <c r="G402" s="20"/>
      <c r="H402" s="29"/>
      <c r="I402" s="29"/>
      <c r="J402" s="29"/>
      <c r="K402" s="29"/>
      <c r="L402" s="29"/>
      <c r="M402" s="29"/>
      <c r="N402" s="29"/>
      <c r="O402" s="97"/>
    </row>
    <row r="403" spans="1:15" ht="30">
      <c r="A403" s="125"/>
      <c r="B403" s="127"/>
      <c r="C403" s="125"/>
      <c r="D403" s="115"/>
      <c r="E403" s="115"/>
      <c r="F403" s="11" t="s">
        <v>651</v>
      </c>
      <c r="G403" s="20" t="s">
        <v>652</v>
      </c>
      <c r="H403" s="29" t="str">
        <f>VLOOKUP(G403,'insumos terrapl'!$C$3:$K$47,2,0)</f>
        <v>2Q  66  10  02  00  00  00</v>
      </c>
      <c r="I403" s="29" t="str">
        <f>VLOOKUP(G403,'insumos terrapl'!$C$3:$K$47,3,0)</f>
        <v>2Q</v>
      </c>
      <c r="J403" s="29">
        <f>VLOOKUP(G403,'insumos terrapl'!$C$3:$K$47,4,0)</f>
        <v>66</v>
      </c>
      <c r="K403" s="29" t="str">
        <f>VLOOKUP(G403,'insumos terrapl'!$C$3:$K$47,5,0)</f>
        <v>10</v>
      </c>
      <c r="L403" s="29" t="str">
        <f>VLOOKUP(G403,'insumos terrapl'!$C$3:$K$47,6,0)</f>
        <v>02</v>
      </c>
      <c r="M403" s="29" t="str">
        <f>VLOOKUP(G403,'insumos terrapl'!$C$3:$K$47,7,0)</f>
        <v>00</v>
      </c>
      <c r="N403" s="29" t="str">
        <f>VLOOKUP(G403,'insumos terrapl'!$C$3:$K$47,8,0)</f>
        <v>00</v>
      </c>
      <c r="O403" s="97" t="str">
        <f>VLOOKUP(G403,'insumos terrapl'!$C$3:$K$47,9,0)</f>
        <v>00</v>
      </c>
    </row>
    <row r="404" spans="1:15" ht="30">
      <c r="A404" s="125"/>
      <c r="B404" s="127"/>
      <c r="C404" s="125"/>
      <c r="D404" s="115"/>
      <c r="E404" s="115"/>
      <c r="F404" s="11" t="s">
        <v>653</v>
      </c>
      <c r="G404" s="20" t="s">
        <v>654</v>
      </c>
      <c r="H404" s="29" t="str">
        <f>VLOOKUP(G404,'insumos terrapl'!$C$3:$K$47,2,0)</f>
        <v>2Q  62  10  06  00  00  00</v>
      </c>
      <c r="I404" s="29" t="str">
        <f>VLOOKUP(G404,'insumos terrapl'!$C$3:$K$47,3,0)</f>
        <v>2Q</v>
      </c>
      <c r="J404" s="29">
        <f>VLOOKUP(G404,'insumos terrapl'!$C$3:$K$47,4,0)</f>
        <v>62</v>
      </c>
      <c r="K404" s="29" t="str">
        <f>VLOOKUP(G404,'insumos terrapl'!$C$3:$K$47,5,0)</f>
        <v>10</v>
      </c>
      <c r="L404" s="29" t="str">
        <f>VLOOKUP(G404,'insumos terrapl'!$C$3:$K$47,6,0)</f>
        <v>06</v>
      </c>
      <c r="M404" s="29" t="str">
        <f>VLOOKUP(G404,'insumos terrapl'!$C$3:$K$47,7,0)</f>
        <v>00</v>
      </c>
      <c r="N404" s="29" t="str">
        <f>VLOOKUP(G404,'insumos terrapl'!$C$3:$K$47,8,0)</f>
        <v>00</v>
      </c>
      <c r="O404" s="97" t="str">
        <f>VLOOKUP(G404,'insumos terrapl'!$C$3:$K$47,9,0)</f>
        <v>00</v>
      </c>
    </row>
    <row r="405" spans="1:15">
      <c r="A405" s="125"/>
      <c r="B405" s="127"/>
      <c r="C405" s="125"/>
      <c r="D405" s="115"/>
      <c r="E405" s="115"/>
      <c r="F405" s="11" t="s">
        <v>605</v>
      </c>
      <c r="G405" s="20" t="s">
        <v>606</v>
      </c>
      <c r="H405" s="29" t="str">
        <f>VLOOKUP(G405,'insumos terrapl'!$C$3:$K$47,2,0)</f>
        <v>2Q  62  30  02  14  00  00</v>
      </c>
      <c r="I405" s="29" t="str">
        <f>VLOOKUP(G405,'insumos terrapl'!$C$3:$K$47,3,0)</f>
        <v>2Q</v>
      </c>
      <c r="J405" s="29">
        <f>VLOOKUP(G405,'insumos terrapl'!$C$3:$K$47,4,0)</f>
        <v>62</v>
      </c>
      <c r="K405" s="29">
        <f>VLOOKUP(G405,'insumos terrapl'!$C$3:$K$47,5,0)</f>
        <v>30</v>
      </c>
      <c r="L405" s="29" t="str">
        <f>VLOOKUP(G405,'insumos terrapl'!$C$3:$K$47,6,0)</f>
        <v>02</v>
      </c>
      <c r="M405" s="29" t="str">
        <f>VLOOKUP(G405,'insumos terrapl'!$C$3:$K$47,7,0)</f>
        <v>14</v>
      </c>
      <c r="N405" s="29" t="str">
        <f>VLOOKUP(G405,'insumos terrapl'!$C$3:$K$47,8,0)</f>
        <v>00</v>
      </c>
      <c r="O405" s="97" t="str">
        <f>VLOOKUP(G405,'insumos terrapl'!$C$3:$K$47,9,0)</f>
        <v>00</v>
      </c>
    </row>
    <row r="406" spans="1:15">
      <c r="A406" s="125"/>
      <c r="B406" s="127"/>
      <c r="C406" s="125"/>
      <c r="D406" s="115"/>
      <c r="E406" s="115"/>
      <c r="F406" s="11" t="s">
        <v>588</v>
      </c>
      <c r="G406" s="20" t="s">
        <v>589</v>
      </c>
      <c r="H406" s="29" t="str">
        <f>VLOOKUP(G406,'insumos terrapl'!$C$3:$K$47,2,0)</f>
        <v>2N  20  14  08  00  00  00</v>
      </c>
      <c r="I406" s="29" t="str">
        <f>VLOOKUP(G406,'insumos terrapl'!$C$3:$K$47,3,0)</f>
        <v>2N</v>
      </c>
      <c r="J406" s="29">
        <f>VLOOKUP(G406,'insumos terrapl'!$C$3:$K$47,4,0)</f>
        <v>20</v>
      </c>
      <c r="K406" s="29">
        <f>VLOOKUP(G406,'insumos terrapl'!$C$3:$K$47,5,0)</f>
        <v>14</v>
      </c>
      <c r="L406" s="29" t="str">
        <f>VLOOKUP(G406,'insumos terrapl'!$C$3:$K$47,6,0)</f>
        <v>08</v>
      </c>
      <c r="M406" s="29" t="str">
        <f>VLOOKUP(G406,'insumos terrapl'!$C$3:$K$47,7,0)</f>
        <v>00</v>
      </c>
      <c r="N406" s="29" t="str">
        <f>VLOOKUP(G406,'insumos terrapl'!$C$3:$K$47,8,0)</f>
        <v>00</v>
      </c>
      <c r="O406" s="97" t="str">
        <f>VLOOKUP(G406,'insumos terrapl'!$C$3:$K$47,9,0)</f>
        <v>00</v>
      </c>
    </row>
    <row r="407" spans="1:15">
      <c r="A407" s="125"/>
      <c r="B407" s="127"/>
      <c r="C407" s="132"/>
      <c r="D407" s="116"/>
      <c r="E407" s="115"/>
      <c r="F407" s="10"/>
      <c r="G407" s="20"/>
      <c r="H407" s="29"/>
      <c r="I407" s="29"/>
      <c r="J407" s="29"/>
      <c r="K407" s="29"/>
      <c r="L407" s="29"/>
      <c r="M407" s="29"/>
      <c r="N407" s="29"/>
      <c r="O407" s="97"/>
    </row>
    <row r="408" spans="1:15">
      <c r="A408" s="125"/>
      <c r="B408" s="127"/>
      <c r="C408" s="124" t="s">
        <v>116</v>
      </c>
      <c r="D408" s="114" t="str">
        <f>$A$181</f>
        <v>2.6.3</v>
      </c>
      <c r="E408" s="114" t="s">
        <v>411</v>
      </c>
      <c r="F408" s="12" t="s">
        <v>116</v>
      </c>
      <c r="G408" s="19"/>
      <c r="H408" s="28"/>
      <c r="I408" s="28"/>
      <c r="J408" s="28"/>
      <c r="K408" s="28"/>
      <c r="L408" s="28"/>
      <c r="M408" s="28"/>
      <c r="N408" s="28"/>
      <c r="O408" s="99"/>
    </row>
    <row r="409" spans="1:15" ht="30">
      <c r="A409" s="125"/>
      <c r="B409" s="127"/>
      <c r="C409" s="125"/>
      <c r="D409" s="115"/>
      <c r="E409" s="115"/>
      <c r="F409" s="11" t="s">
        <v>651</v>
      </c>
      <c r="G409" s="20" t="s">
        <v>652</v>
      </c>
      <c r="H409" s="29" t="str">
        <f>VLOOKUP(G409,'insumos terrapl'!$C$3:$K$47,2,0)</f>
        <v>2Q  66  10  02  00  00  00</v>
      </c>
      <c r="I409" s="29" t="str">
        <f>VLOOKUP(G409,'insumos terrapl'!$C$3:$K$47,3,0)</f>
        <v>2Q</v>
      </c>
      <c r="J409" s="29">
        <f>VLOOKUP(G409,'insumos terrapl'!$C$3:$K$47,4,0)</f>
        <v>66</v>
      </c>
      <c r="K409" s="29" t="str">
        <f>VLOOKUP(G409,'insumos terrapl'!$C$3:$K$47,5,0)</f>
        <v>10</v>
      </c>
      <c r="L409" s="29" t="str">
        <f>VLOOKUP(G409,'insumos terrapl'!$C$3:$K$47,6,0)</f>
        <v>02</v>
      </c>
      <c r="M409" s="29" t="str">
        <f>VLOOKUP(G409,'insumos terrapl'!$C$3:$K$47,7,0)</f>
        <v>00</v>
      </c>
      <c r="N409" s="29" t="str">
        <f>VLOOKUP(G409,'insumos terrapl'!$C$3:$K$47,8,0)</f>
        <v>00</v>
      </c>
      <c r="O409" s="97" t="str">
        <f>VLOOKUP(G409,'insumos terrapl'!$C$3:$K$47,9,0)</f>
        <v>00</v>
      </c>
    </row>
    <row r="410" spans="1:15" ht="30">
      <c r="A410" s="125"/>
      <c r="B410" s="127"/>
      <c r="C410" s="125"/>
      <c r="D410" s="115"/>
      <c r="E410" s="115"/>
      <c r="F410" s="11" t="s">
        <v>653</v>
      </c>
      <c r="G410" s="20" t="s">
        <v>654</v>
      </c>
      <c r="H410" s="29" t="str">
        <f>VLOOKUP(G410,'insumos terrapl'!$C$3:$K$47,2,0)</f>
        <v>2Q  62  10  06  00  00  00</v>
      </c>
      <c r="I410" s="29" t="str">
        <f>VLOOKUP(G410,'insumos terrapl'!$C$3:$K$47,3,0)</f>
        <v>2Q</v>
      </c>
      <c r="J410" s="29">
        <f>VLOOKUP(G410,'insumos terrapl'!$C$3:$K$47,4,0)</f>
        <v>62</v>
      </c>
      <c r="K410" s="29" t="str">
        <f>VLOOKUP(G410,'insumos terrapl'!$C$3:$K$47,5,0)</f>
        <v>10</v>
      </c>
      <c r="L410" s="29" t="str">
        <f>VLOOKUP(G410,'insumos terrapl'!$C$3:$K$47,6,0)</f>
        <v>06</v>
      </c>
      <c r="M410" s="29" t="str">
        <f>VLOOKUP(G410,'insumos terrapl'!$C$3:$K$47,7,0)</f>
        <v>00</v>
      </c>
      <c r="N410" s="29" t="str">
        <f>VLOOKUP(G410,'insumos terrapl'!$C$3:$K$47,8,0)</f>
        <v>00</v>
      </c>
      <c r="O410" s="97" t="str">
        <f>VLOOKUP(G410,'insumos terrapl'!$C$3:$K$47,9,0)</f>
        <v>00</v>
      </c>
    </row>
    <row r="411" spans="1:15">
      <c r="A411" s="125"/>
      <c r="B411" s="127"/>
      <c r="C411" s="125"/>
      <c r="D411" s="115"/>
      <c r="E411" s="115"/>
      <c r="F411" s="11" t="s">
        <v>605</v>
      </c>
      <c r="G411" s="20" t="s">
        <v>606</v>
      </c>
      <c r="H411" s="29" t="str">
        <f>VLOOKUP(G411,'insumos terrapl'!$C$3:$K$47,2,0)</f>
        <v>2Q  62  30  02  14  00  00</v>
      </c>
      <c r="I411" s="29" t="str">
        <f>VLOOKUP(G411,'insumos terrapl'!$C$3:$K$47,3,0)</f>
        <v>2Q</v>
      </c>
      <c r="J411" s="29">
        <f>VLOOKUP(G411,'insumos terrapl'!$C$3:$K$47,4,0)</f>
        <v>62</v>
      </c>
      <c r="K411" s="29">
        <f>VLOOKUP(G411,'insumos terrapl'!$C$3:$K$47,5,0)</f>
        <v>30</v>
      </c>
      <c r="L411" s="29" t="str">
        <f>VLOOKUP(G411,'insumos terrapl'!$C$3:$K$47,6,0)</f>
        <v>02</v>
      </c>
      <c r="M411" s="29" t="str">
        <f>VLOOKUP(G411,'insumos terrapl'!$C$3:$K$47,7,0)</f>
        <v>14</v>
      </c>
      <c r="N411" s="29" t="str">
        <f>VLOOKUP(G411,'insumos terrapl'!$C$3:$K$47,8,0)</f>
        <v>00</v>
      </c>
      <c r="O411" s="97" t="str">
        <f>VLOOKUP(G411,'insumos terrapl'!$C$3:$K$47,9,0)</f>
        <v>00</v>
      </c>
    </row>
    <row r="412" spans="1:15">
      <c r="A412" s="125"/>
      <c r="B412" s="127"/>
      <c r="C412" s="125"/>
      <c r="D412" s="115"/>
      <c r="E412" s="115"/>
      <c r="F412" s="11" t="s">
        <v>588</v>
      </c>
      <c r="G412" s="20" t="s">
        <v>589</v>
      </c>
      <c r="H412" s="29" t="str">
        <f>VLOOKUP(G412,'insumos terrapl'!$C$3:$K$47,2,0)</f>
        <v>2N  20  14  08  00  00  00</v>
      </c>
      <c r="I412" s="29" t="str">
        <f>VLOOKUP(G412,'insumos terrapl'!$C$3:$K$47,3,0)</f>
        <v>2N</v>
      </c>
      <c r="J412" s="29">
        <f>VLOOKUP(G412,'insumos terrapl'!$C$3:$K$47,4,0)</f>
        <v>20</v>
      </c>
      <c r="K412" s="29">
        <f>VLOOKUP(G412,'insumos terrapl'!$C$3:$K$47,5,0)</f>
        <v>14</v>
      </c>
      <c r="L412" s="29" t="str">
        <f>VLOOKUP(G412,'insumos terrapl'!$C$3:$K$47,6,0)</f>
        <v>08</v>
      </c>
      <c r="M412" s="29" t="str">
        <f>VLOOKUP(G412,'insumos terrapl'!$C$3:$K$47,7,0)</f>
        <v>00</v>
      </c>
      <c r="N412" s="29" t="str">
        <f>VLOOKUP(G412,'insumos terrapl'!$C$3:$K$47,8,0)</f>
        <v>00</v>
      </c>
      <c r="O412" s="97" t="str">
        <f>VLOOKUP(G412,'insumos terrapl'!$C$3:$K$47,9,0)</f>
        <v>00</v>
      </c>
    </row>
    <row r="413" spans="1:15">
      <c r="A413" s="132"/>
      <c r="B413" s="131"/>
      <c r="C413" s="132"/>
      <c r="D413" s="116"/>
      <c r="E413" s="116"/>
      <c r="F413" s="13"/>
      <c r="G413" s="21"/>
      <c r="H413" s="31"/>
      <c r="I413" s="31"/>
      <c r="J413" s="31"/>
      <c r="K413" s="31"/>
      <c r="L413" s="31"/>
      <c r="M413" s="31"/>
      <c r="N413" s="31"/>
      <c r="O413" s="98"/>
    </row>
    <row r="414" spans="1:15">
      <c r="A414" s="133" t="s">
        <v>48</v>
      </c>
      <c r="B414" s="126" t="s">
        <v>22</v>
      </c>
      <c r="C414" s="124" t="s">
        <v>473</v>
      </c>
      <c r="D414" s="114" t="str">
        <f>A414</f>
        <v>2.6.4</v>
      </c>
      <c r="E414" s="115" t="s">
        <v>22</v>
      </c>
      <c r="F414" s="11" t="s">
        <v>473</v>
      </c>
      <c r="G414" s="20"/>
      <c r="H414" s="29"/>
      <c r="I414" s="29"/>
      <c r="J414" s="29"/>
      <c r="K414" s="29"/>
      <c r="L414" s="29"/>
      <c r="M414" s="29"/>
      <c r="N414" s="29"/>
      <c r="O414" s="97"/>
    </row>
    <row r="415" spans="1:15">
      <c r="A415" s="134"/>
      <c r="B415" s="127"/>
      <c r="C415" s="125"/>
      <c r="D415" s="115"/>
      <c r="E415" s="115"/>
      <c r="F415" s="11" t="s">
        <v>605</v>
      </c>
      <c r="G415" s="20" t="s">
        <v>606</v>
      </c>
      <c r="H415" s="29" t="str">
        <f>VLOOKUP(G415,'insumos terrapl'!$C$3:$K$47,2,0)</f>
        <v>2Q  62  30  02  14  00  00</v>
      </c>
      <c r="I415" s="29" t="str">
        <f>VLOOKUP(G415,'insumos terrapl'!$C$3:$K$47,3,0)</f>
        <v>2Q</v>
      </c>
      <c r="J415" s="29">
        <f>VLOOKUP(G415,'insumos terrapl'!$C$3:$K$47,4,0)</f>
        <v>62</v>
      </c>
      <c r="K415" s="29">
        <f>VLOOKUP(G415,'insumos terrapl'!$C$3:$K$47,5,0)</f>
        <v>30</v>
      </c>
      <c r="L415" s="29" t="str">
        <f>VLOOKUP(G415,'insumos terrapl'!$C$3:$K$47,6,0)</f>
        <v>02</v>
      </c>
      <c r="M415" s="29" t="str">
        <f>VLOOKUP(G415,'insumos terrapl'!$C$3:$K$47,7,0)</f>
        <v>14</v>
      </c>
      <c r="N415" s="29" t="str">
        <f>VLOOKUP(G415,'insumos terrapl'!$C$3:$K$47,8,0)</f>
        <v>00</v>
      </c>
      <c r="O415" s="97" t="str">
        <f>VLOOKUP(G415,'insumos terrapl'!$C$3:$K$47,9,0)</f>
        <v>00</v>
      </c>
    </row>
    <row r="416" spans="1:15" ht="30">
      <c r="A416" s="134"/>
      <c r="B416" s="127"/>
      <c r="C416" s="125"/>
      <c r="D416" s="115"/>
      <c r="E416" s="115"/>
      <c r="F416" s="11" t="s">
        <v>657</v>
      </c>
      <c r="G416" s="20" t="s">
        <v>658</v>
      </c>
      <c r="H416" s="29" t="str">
        <f>VLOOKUP(G416,'insumos terrapl'!$C$3:$K$47,2,0)</f>
        <v>2Q  62  30  02  10  00  00</v>
      </c>
      <c r="I416" s="29" t="str">
        <f>VLOOKUP(G416,'insumos terrapl'!$C$3:$K$47,3,0)</f>
        <v>2Q</v>
      </c>
      <c r="J416" s="29">
        <f>VLOOKUP(G416,'insumos terrapl'!$C$3:$K$47,4,0)</f>
        <v>62</v>
      </c>
      <c r="K416" s="29" t="str">
        <f>VLOOKUP(G416,'insumos terrapl'!$C$3:$K$47,5,0)</f>
        <v>30</v>
      </c>
      <c r="L416" s="29" t="str">
        <f>VLOOKUP(G416,'insumos terrapl'!$C$3:$K$47,6,0)</f>
        <v>02</v>
      </c>
      <c r="M416" s="29" t="str">
        <f>VLOOKUP(G416,'insumos terrapl'!$C$3:$K$47,7,0)</f>
        <v>10</v>
      </c>
      <c r="N416" s="29" t="str">
        <f>VLOOKUP(G416,'insumos terrapl'!$C$3:$K$47,8,0)</f>
        <v>00</v>
      </c>
      <c r="O416" s="97" t="str">
        <f>VLOOKUP(G416,'insumos terrapl'!$C$3:$K$47,9,0)</f>
        <v>00</v>
      </c>
    </row>
    <row r="417" spans="1:15">
      <c r="A417" s="134"/>
      <c r="B417" s="127"/>
      <c r="C417" s="125"/>
      <c r="D417" s="115"/>
      <c r="E417" s="115"/>
      <c r="F417" s="11" t="s">
        <v>588</v>
      </c>
      <c r="G417" s="20" t="s">
        <v>589</v>
      </c>
      <c r="H417" s="29" t="str">
        <f>VLOOKUP(G417,'insumos terrapl'!$C$3:$K$47,2,0)</f>
        <v>2N  20  14  08  00  00  00</v>
      </c>
      <c r="I417" s="29" t="str">
        <f>VLOOKUP(G417,'insumos terrapl'!$C$3:$K$47,3,0)</f>
        <v>2N</v>
      </c>
      <c r="J417" s="29">
        <f>VLOOKUP(G417,'insumos terrapl'!$C$3:$K$47,4,0)</f>
        <v>20</v>
      </c>
      <c r="K417" s="29">
        <f>VLOOKUP(G417,'insumos terrapl'!$C$3:$K$47,5,0)</f>
        <v>14</v>
      </c>
      <c r="L417" s="29" t="str">
        <f>VLOOKUP(G417,'insumos terrapl'!$C$3:$K$47,6,0)</f>
        <v>08</v>
      </c>
      <c r="M417" s="29" t="str">
        <f>VLOOKUP(G417,'insumos terrapl'!$C$3:$K$47,7,0)</f>
        <v>00</v>
      </c>
      <c r="N417" s="29" t="str">
        <f>VLOOKUP(G417,'insumos terrapl'!$C$3:$K$47,8,0)</f>
        <v>00</v>
      </c>
      <c r="O417" s="97" t="str">
        <f>VLOOKUP(G417,'insumos terrapl'!$C$3:$K$47,9,0)</f>
        <v>00</v>
      </c>
    </row>
    <row r="418" spans="1:15">
      <c r="A418" s="135"/>
      <c r="B418" s="131"/>
      <c r="C418" s="132"/>
      <c r="D418" s="116"/>
      <c r="E418" s="115"/>
      <c r="F418" s="10"/>
      <c r="G418" s="20"/>
      <c r="H418" s="29"/>
      <c r="I418" s="29"/>
      <c r="J418" s="29"/>
      <c r="K418" s="29"/>
      <c r="L418" s="29"/>
      <c r="M418" s="29"/>
      <c r="N418" s="29"/>
      <c r="O418" s="97"/>
    </row>
    <row r="419" spans="1:15">
      <c r="A419" s="124" t="s">
        <v>49</v>
      </c>
      <c r="B419" s="126" t="s">
        <v>21</v>
      </c>
      <c r="C419" s="124" t="s">
        <v>118</v>
      </c>
      <c r="D419" s="114" t="str">
        <f>A419</f>
        <v>2.6.5</v>
      </c>
      <c r="E419" s="114" t="s">
        <v>413</v>
      </c>
      <c r="F419" s="12" t="s">
        <v>118</v>
      </c>
      <c r="G419" s="19"/>
      <c r="H419" s="28"/>
      <c r="I419" s="28"/>
      <c r="J419" s="28"/>
      <c r="K419" s="28"/>
      <c r="L419" s="28"/>
      <c r="M419" s="28"/>
      <c r="N419" s="28"/>
      <c r="O419" s="99"/>
    </row>
    <row r="420" spans="1:15" ht="30">
      <c r="A420" s="125"/>
      <c r="B420" s="127"/>
      <c r="C420" s="125"/>
      <c r="D420" s="115"/>
      <c r="E420" s="115"/>
      <c r="F420" s="11" t="s">
        <v>651</v>
      </c>
      <c r="G420" s="20" t="s">
        <v>652</v>
      </c>
      <c r="H420" s="29" t="str">
        <f>VLOOKUP(G420,'insumos terrapl'!$C$3:$K$47,2,0)</f>
        <v>2Q  66  10  02  00  00  00</v>
      </c>
      <c r="I420" s="29" t="str">
        <f>VLOOKUP(G420,'insumos terrapl'!$C$3:$K$47,3,0)</f>
        <v>2Q</v>
      </c>
      <c r="J420" s="29">
        <f>VLOOKUP(G420,'insumos terrapl'!$C$3:$K$47,4,0)</f>
        <v>66</v>
      </c>
      <c r="K420" s="29" t="str">
        <f>VLOOKUP(G420,'insumos terrapl'!$C$3:$K$47,5,0)</f>
        <v>10</v>
      </c>
      <c r="L420" s="29" t="str">
        <f>VLOOKUP(G420,'insumos terrapl'!$C$3:$K$47,6,0)</f>
        <v>02</v>
      </c>
      <c r="M420" s="29" t="str">
        <f>VLOOKUP(G420,'insumos terrapl'!$C$3:$K$47,7,0)</f>
        <v>00</v>
      </c>
      <c r="N420" s="29" t="str">
        <f>VLOOKUP(G420,'insumos terrapl'!$C$3:$K$47,8,0)</f>
        <v>00</v>
      </c>
      <c r="O420" s="97" t="str">
        <f>VLOOKUP(G420,'insumos terrapl'!$C$3:$K$47,9,0)</f>
        <v>00</v>
      </c>
    </row>
    <row r="421" spans="1:15" ht="30">
      <c r="A421" s="125"/>
      <c r="B421" s="127"/>
      <c r="C421" s="125"/>
      <c r="D421" s="115"/>
      <c r="E421" s="115"/>
      <c r="F421" s="11" t="s">
        <v>653</v>
      </c>
      <c r="G421" s="20" t="s">
        <v>654</v>
      </c>
      <c r="H421" s="29" t="str">
        <f>VLOOKUP(G421,'insumos terrapl'!$C$3:$K$47,2,0)</f>
        <v>2Q  62  10  06  00  00  00</v>
      </c>
      <c r="I421" s="29" t="str">
        <f>VLOOKUP(G421,'insumos terrapl'!$C$3:$K$47,3,0)</f>
        <v>2Q</v>
      </c>
      <c r="J421" s="29">
        <f>VLOOKUP(G421,'insumos terrapl'!$C$3:$K$47,4,0)</f>
        <v>62</v>
      </c>
      <c r="K421" s="29" t="str">
        <f>VLOOKUP(G421,'insumos terrapl'!$C$3:$K$47,5,0)</f>
        <v>10</v>
      </c>
      <c r="L421" s="29" t="str">
        <f>VLOOKUP(G421,'insumos terrapl'!$C$3:$K$47,6,0)</f>
        <v>06</v>
      </c>
      <c r="M421" s="29" t="str">
        <f>VLOOKUP(G421,'insumos terrapl'!$C$3:$K$47,7,0)</f>
        <v>00</v>
      </c>
      <c r="N421" s="29" t="str">
        <f>VLOOKUP(G421,'insumos terrapl'!$C$3:$K$47,8,0)</f>
        <v>00</v>
      </c>
      <c r="O421" s="97" t="str">
        <f>VLOOKUP(G421,'insumos terrapl'!$C$3:$K$47,9,0)</f>
        <v>00</v>
      </c>
    </row>
    <row r="422" spans="1:15">
      <c r="A422" s="125"/>
      <c r="B422" s="127"/>
      <c r="C422" s="125"/>
      <c r="D422" s="115"/>
      <c r="E422" s="115"/>
      <c r="F422" s="11" t="s">
        <v>605</v>
      </c>
      <c r="G422" s="20" t="s">
        <v>606</v>
      </c>
      <c r="H422" s="29" t="str">
        <f>VLOOKUP(G422,'insumos terrapl'!$C$3:$K$47,2,0)</f>
        <v>2Q  62  30  02  14  00  00</v>
      </c>
      <c r="I422" s="29" t="str">
        <f>VLOOKUP(G422,'insumos terrapl'!$C$3:$K$47,3,0)</f>
        <v>2Q</v>
      </c>
      <c r="J422" s="29">
        <f>VLOOKUP(G422,'insumos terrapl'!$C$3:$K$47,4,0)</f>
        <v>62</v>
      </c>
      <c r="K422" s="29">
        <f>VLOOKUP(G422,'insumos terrapl'!$C$3:$K$47,5,0)</f>
        <v>30</v>
      </c>
      <c r="L422" s="29" t="str">
        <f>VLOOKUP(G422,'insumos terrapl'!$C$3:$K$47,6,0)</f>
        <v>02</v>
      </c>
      <c r="M422" s="29" t="str">
        <f>VLOOKUP(G422,'insumos terrapl'!$C$3:$K$47,7,0)</f>
        <v>14</v>
      </c>
      <c r="N422" s="29" t="str">
        <f>VLOOKUP(G422,'insumos terrapl'!$C$3:$K$47,8,0)</f>
        <v>00</v>
      </c>
      <c r="O422" s="97" t="str">
        <f>VLOOKUP(G422,'insumos terrapl'!$C$3:$K$47,9,0)</f>
        <v>00</v>
      </c>
    </row>
    <row r="423" spans="1:15" ht="30">
      <c r="A423" s="125"/>
      <c r="B423" s="127"/>
      <c r="C423" s="125"/>
      <c r="D423" s="115"/>
      <c r="E423" s="115"/>
      <c r="F423" s="11" t="s">
        <v>657</v>
      </c>
      <c r="G423" s="20" t="s">
        <v>658</v>
      </c>
      <c r="H423" s="29" t="str">
        <f>VLOOKUP(G423,'insumos terrapl'!$C$3:$K$47,2,0)</f>
        <v>2Q  62  30  02  10  00  00</v>
      </c>
      <c r="I423" s="29" t="str">
        <f>VLOOKUP(G423,'insumos terrapl'!$C$3:$K$47,3,0)</f>
        <v>2Q</v>
      </c>
      <c r="J423" s="29">
        <f>VLOOKUP(G423,'insumos terrapl'!$C$3:$K$47,4,0)</f>
        <v>62</v>
      </c>
      <c r="K423" s="29" t="str">
        <f>VLOOKUP(G423,'insumos terrapl'!$C$3:$K$47,5,0)</f>
        <v>30</v>
      </c>
      <c r="L423" s="29" t="str">
        <f>VLOOKUP(G423,'insumos terrapl'!$C$3:$K$47,6,0)</f>
        <v>02</v>
      </c>
      <c r="M423" s="29" t="str">
        <f>VLOOKUP(G423,'insumos terrapl'!$C$3:$K$47,7,0)</f>
        <v>10</v>
      </c>
      <c r="N423" s="29" t="str">
        <f>VLOOKUP(G423,'insumos terrapl'!$C$3:$K$47,8,0)</f>
        <v>00</v>
      </c>
      <c r="O423" s="97" t="str">
        <f>VLOOKUP(G423,'insumos terrapl'!$C$3:$K$47,9,0)</f>
        <v>00</v>
      </c>
    </row>
    <row r="424" spans="1:15">
      <c r="A424" s="125"/>
      <c r="B424" s="127"/>
      <c r="C424" s="125"/>
      <c r="D424" s="115"/>
      <c r="E424" s="115"/>
      <c r="F424" s="11" t="s">
        <v>588</v>
      </c>
      <c r="G424" s="20" t="s">
        <v>589</v>
      </c>
      <c r="H424" s="29" t="str">
        <f>VLOOKUP(G424,'insumos terrapl'!$C$3:$K$47,2,0)</f>
        <v>2N  20  14  08  00  00  00</v>
      </c>
      <c r="I424" s="29" t="str">
        <f>VLOOKUP(G424,'insumos terrapl'!$C$3:$K$47,3,0)</f>
        <v>2N</v>
      </c>
      <c r="J424" s="29">
        <f>VLOOKUP(G424,'insumos terrapl'!$C$3:$K$47,4,0)</f>
        <v>20</v>
      </c>
      <c r="K424" s="29">
        <f>VLOOKUP(G424,'insumos terrapl'!$C$3:$K$47,5,0)</f>
        <v>14</v>
      </c>
      <c r="L424" s="29" t="str">
        <f>VLOOKUP(G424,'insumos terrapl'!$C$3:$K$47,6,0)</f>
        <v>08</v>
      </c>
      <c r="M424" s="29" t="str">
        <f>VLOOKUP(G424,'insumos terrapl'!$C$3:$K$47,7,0)</f>
        <v>00</v>
      </c>
      <c r="N424" s="29" t="str">
        <f>VLOOKUP(G424,'insumos terrapl'!$C$3:$K$47,8,0)</f>
        <v>00</v>
      </c>
      <c r="O424" s="97" t="str">
        <f>VLOOKUP(G424,'insumos terrapl'!$C$3:$K$47,9,0)</f>
        <v>00</v>
      </c>
    </row>
    <row r="425" spans="1:15">
      <c r="A425" s="125"/>
      <c r="B425" s="127"/>
      <c r="C425" s="132"/>
      <c r="D425" s="116"/>
      <c r="E425" s="116"/>
      <c r="F425" s="13"/>
      <c r="G425" s="21"/>
      <c r="H425" s="31"/>
      <c r="I425" s="31"/>
      <c r="J425" s="31"/>
      <c r="K425" s="31"/>
      <c r="L425" s="31"/>
      <c r="M425" s="31"/>
      <c r="N425" s="31"/>
      <c r="O425" s="98"/>
    </row>
    <row r="426" spans="1:15">
      <c r="A426" s="125"/>
      <c r="B426" s="127"/>
      <c r="C426" s="124" t="s">
        <v>119</v>
      </c>
      <c r="D426" s="114" t="str">
        <f>$A$419</f>
        <v>2.6.5</v>
      </c>
      <c r="E426" s="115" t="s">
        <v>415</v>
      </c>
      <c r="F426" s="11" t="s">
        <v>119</v>
      </c>
      <c r="G426" s="20"/>
      <c r="H426" s="29"/>
      <c r="I426" s="29"/>
      <c r="J426" s="29"/>
      <c r="K426" s="29"/>
      <c r="L426" s="29"/>
      <c r="M426" s="29"/>
      <c r="N426" s="29"/>
      <c r="O426" s="97"/>
    </row>
    <row r="427" spans="1:15" ht="30">
      <c r="A427" s="125"/>
      <c r="B427" s="127"/>
      <c r="C427" s="125"/>
      <c r="D427" s="115"/>
      <c r="E427" s="115"/>
      <c r="F427" s="11" t="s">
        <v>651</v>
      </c>
      <c r="G427" s="20" t="s">
        <v>652</v>
      </c>
      <c r="H427" s="29" t="str">
        <f>VLOOKUP(G427,'insumos terrapl'!$C$3:$K$47,2,0)</f>
        <v>2Q  66  10  02  00  00  00</v>
      </c>
      <c r="I427" s="29" t="str">
        <f>VLOOKUP(G427,'insumos terrapl'!$C$3:$K$47,3,0)</f>
        <v>2Q</v>
      </c>
      <c r="J427" s="29">
        <f>VLOOKUP(G427,'insumos terrapl'!$C$3:$K$47,4,0)</f>
        <v>66</v>
      </c>
      <c r="K427" s="29" t="str">
        <f>VLOOKUP(G427,'insumos terrapl'!$C$3:$K$47,5,0)</f>
        <v>10</v>
      </c>
      <c r="L427" s="29" t="str">
        <f>VLOOKUP(G427,'insumos terrapl'!$C$3:$K$47,6,0)</f>
        <v>02</v>
      </c>
      <c r="M427" s="29" t="str">
        <f>VLOOKUP(G427,'insumos terrapl'!$C$3:$K$47,7,0)</f>
        <v>00</v>
      </c>
      <c r="N427" s="29" t="str">
        <f>VLOOKUP(G427,'insumos terrapl'!$C$3:$K$47,8,0)</f>
        <v>00</v>
      </c>
      <c r="O427" s="97" t="str">
        <f>VLOOKUP(G427,'insumos terrapl'!$C$3:$K$47,9,0)</f>
        <v>00</v>
      </c>
    </row>
    <row r="428" spans="1:15" ht="30">
      <c r="A428" s="125"/>
      <c r="B428" s="127"/>
      <c r="C428" s="125"/>
      <c r="D428" s="115"/>
      <c r="E428" s="115"/>
      <c r="F428" s="11" t="s">
        <v>653</v>
      </c>
      <c r="G428" s="20" t="s">
        <v>654</v>
      </c>
      <c r="H428" s="29" t="str">
        <f>VLOOKUP(G428,'insumos terrapl'!$C$3:$K$47,2,0)</f>
        <v>2Q  62  10  06  00  00  00</v>
      </c>
      <c r="I428" s="29" t="str">
        <f>VLOOKUP(G428,'insumos terrapl'!$C$3:$K$47,3,0)</f>
        <v>2Q</v>
      </c>
      <c r="J428" s="29">
        <f>VLOOKUP(G428,'insumos terrapl'!$C$3:$K$47,4,0)</f>
        <v>62</v>
      </c>
      <c r="K428" s="29" t="str">
        <f>VLOOKUP(G428,'insumos terrapl'!$C$3:$K$47,5,0)</f>
        <v>10</v>
      </c>
      <c r="L428" s="29" t="str">
        <f>VLOOKUP(G428,'insumos terrapl'!$C$3:$K$47,6,0)</f>
        <v>06</v>
      </c>
      <c r="M428" s="29" t="str">
        <f>VLOOKUP(G428,'insumos terrapl'!$C$3:$K$47,7,0)</f>
        <v>00</v>
      </c>
      <c r="N428" s="29" t="str">
        <f>VLOOKUP(G428,'insumos terrapl'!$C$3:$K$47,8,0)</f>
        <v>00</v>
      </c>
      <c r="O428" s="97" t="str">
        <f>VLOOKUP(G428,'insumos terrapl'!$C$3:$K$47,9,0)</f>
        <v>00</v>
      </c>
    </row>
    <row r="429" spans="1:15">
      <c r="A429" s="125"/>
      <c r="B429" s="127"/>
      <c r="C429" s="125"/>
      <c r="D429" s="115"/>
      <c r="E429" s="115"/>
      <c r="F429" s="11" t="s">
        <v>605</v>
      </c>
      <c r="G429" s="20" t="s">
        <v>606</v>
      </c>
      <c r="H429" s="29" t="str">
        <f>VLOOKUP(G429,'insumos terrapl'!$C$3:$K$47,2,0)</f>
        <v>2Q  62  30  02  14  00  00</v>
      </c>
      <c r="I429" s="29" t="str">
        <f>VLOOKUP(G429,'insumos terrapl'!$C$3:$K$47,3,0)</f>
        <v>2Q</v>
      </c>
      <c r="J429" s="29">
        <f>VLOOKUP(G429,'insumos terrapl'!$C$3:$K$47,4,0)</f>
        <v>62</v>
      </c>
      <c r="K429" s="29">
        <f>VLOOKUP(G429,'insumos terrapl'!$C$3:$K$47,5,0)</f>
        <v>30</v>
      </c>
      <c r="L429" s="29" t="str">
        <f>VLOOKUP(G429,'insumos terrapl'!$C$3:$K$47,6,0)</f>
        <v>02</v>
      </c>
      <c r="M429" s="29" t="str">
        <f>VLOOKUP(G429,'insumos terrapl'!$C$3:$K$47,7,0)</f>
        <v>14</v>
      </c>
      <c r="N429" s="29" t="str">
        <f>VLOOKUP(G429,'insumos terrapl'!$C$3:$K$47,8,0)</f>
        <v>00</v>
      </c>
      <c r="O429" s="97" t="str">
        <f>VLOOKUP(G429,'insumos terrapl'!$C$3:$K$47,9,0)</f>
        <v>00</v>
      </c>
    </row>
    <row r="430" spans="1:15" ht="30">
      <c r="A430" s="125"/>
      <c r="B430" s="127"/>
      <c r="C430" s="125"/>
      <c r="D430" s="115"/>
      <c r="E430" s="115"/>
      <c r="F430" s="11" t="s">
        <v>657</v>
      </c>
      <c r="G430" s="20" t="s">
        <v>658</v>
      </c>
      <c r="H430" s="29" t="str">
        <f>VLOOKUP(G430,'insumos terrapl'!$C$3:$K$47,2,0)</f>
        <v>2Q  62  30  02  10  00  00</v>
      </c>
      <c r="I430" s="29" t="str">
        <f>VLOOKUP(G430,'insumos terrapl'!$C$3:$K$47,3,0)</f>
        <v>2Q</v>
      </c>
      <c r="J430" s="29">
        <f>VLOOKUP(G430,'insumos terrapl'!$C$3:$K$47,4,0)</f>
        <v>62</v>
      </c>
      <c r="K430" s="29" t="str">
        <f>VLOOKUP(G430,'insumos terrapl'!$C$3:$K$47,5,0)</f>
        <v>30</v>
      </c>
      <c r="L430" s="29" t="str">
        <f>VLOOKUP(G430,'insumos terrapl'!$C$3:$K$47,6,0)</f>
        <v>02</v>
      </c>
      <c r="M430" s="29" t="str">
        <f>VLOOKUP(G430,'insumos terrapl'!$C$3:$K$47,7,0)</f>
        <v>10</v>
      </c>
      <c r="N430" s="29" t="str">
        <f>VLOOKUP(G430,'insumos terrapl'!$C$3:$K$47,8,0)</f>
        <v>00</v>
      </c>
      <c r="O430" s="97" t="str">
        <f>VLOOKUP(G430,'insumos terrapl'!$C$3:$K$47,9,0)</f>
        <v>00</v>
      </c>
    </row>
    <row r="431" spans="1:15">
      <c r="A431" s="125"/>
      <c r="B431" s="127"/>
      <c r="C431" s="125"/>
      <c r="D431" s="115"/>
      <c r="E431" s="115"/>
      <c r="F431" s="11" t="s">
        <v>588</v>
      </c>
      <c r="G431" s="20" t="s">
        <v>589</v>
      </c>
      <c r="H431" s="29" t="str">
        <f>VLOOKUP(G431,'insumos terrapl'!$C$3:$K$47,2,0)</f>
        <v>2N  20  14  08  00  00  00</v>
      </c>
      <c r="I431" s="29" t="str">
        <f>VLOOKUP(G431,'insumos terrapl'!$C$3:$K$47,3,0)</f>
        <v>2N</v>
      </c>
      <c r="J431" s="29">
        <f>VLOOKUP(G431,'insumos terrapl'!$C$3:$K$47,4,0)</f>
        <v>20</v>
      </c>
      <c r="K431" s="29">
        <f>VLOOKUP(G431,'insumos terrapl'!$C$3:$K$47,5,0)</f>
        <v>14</v>
      </c>
      <c r="L431" s="29" t="str">
        <f>VLOOKUP(G431,'insumos terrapl'!$C$3:$K$47,6,0)</f>
        <v>08</v>
      </c>
      <c r="M431" s="29" t="str">
        <f>VLOOKUP(G431,'insumos terrapl'!$C$3:$K$47,7,0)</f>
        <v>00</v>
      </c>
      <c r="N431" s="29" t="str">
        <f>VLOOKUP(G431,'insumos terrapl'!$C$3:$K$47,8,0)</f>
        <v>00</v>
      </c>
      <c r="O431" s="97" t="str">
        <f>VLOOKUP(G431,'insumos terrapl'!$C$3:$K$47,9,0)</f>
        <v>00</v>
      </c>
    </row>
    <row r="432" spans="1:15">
      <c r="A432" s="125"/>
      <c r="B432" s="127"/>
      <c r="C432" s="132"/>
      <c r="D432" s="116"/>
      <c r="E432" s="115"/>
      <c r="F432" s="10"/>
      <c r="G432" s="20"/>
      <c r="H432" s="29"/>
      <c r="I432" s="29"/>
      <c r="J432" s="29"/>
      <c r="K432" s="29"/>
      <c r="L432" s="29"/>
      <c r="M432" s="29"/>
      <c r="N432" s="29"/>
      <c r="O432" s="97"/>
    </row>
    <row r="433" spans="1:15">
      <c r="A433" s="125"/>
      <c r="B433" s="127"/>
      <c r="C433" s="124" t="s">
        <v>120</v>
      </c>
      <c r="D433" s="114" t="str">
        <f>$A$419</f>
        <v>2.6.5</v>
      </c>
      <c r="E433" s="114" t="s">
        <v>417</v>
      </c>
      <c r="F433" s="12" t="s">
        <v>120</v>
      </c>
      <c r="G433" s="19"/>
      <c r="H433" s="28"/>
      <c r="I433" s="28"/>
      <c r="J433" s="28"/>
      <c r="K433" s="28"/>
      <c r="L433" s="28"/>
      <c r="M433" s="28"/>
      <c r="N433" s="28"/>
      <c r="O433" s="99"/>
    </row>
    <row r="434" spans="1:15" ht="30">
      <c r="A434" s="125"/>
      <c r="B434" s="127"/>
      <c r="C434" s="125"/>
      <c r="D434" s="115"/>
      <c r="E434" s="115"/>
      <c r="F434" s="11" t="s">
        <v>651</v>
      </c>
      <c r="G434" s="20" t="s">
        <v>652</v>
      </c>
      <c r="H434" s="29" t="str">
        <f>VLOOKUP(G434,'insumos terrapl'!$C$3:$K$47,2,0)</f>
        <v>2Q  66  10  02  00  00  00</v>
      </c>
      <c r="I434" s="29" t="str">
        <f>VLOOKUP(G434,'insumos terrapl'!$C$3:$K$47,3,0)</f>
        <v>2Q</v>
      </c>
      <c r="J434" s="29">
        <f>VLOOKUP(G434,'insumos terrapl'!$C$3:$K$47,4,0)</f>
        <v>66</v>
      </c>
      <c r="K434" s="29" t="str">
        <f>VLOOKUP(G434,'insumos terrapl'!$C$3:$K$47,5,0)</f>
        <v>10</v>
      </c>
      <c r="L434" s="29" t="str">
        <f>VLOOKUP(G434,'insumos terrapl'!$C$3:$K$47,6,0)</f>
        <v>02</v>
      </c>
      <c r="M434" s="29" t="str">
        <f>VLOOKUP(G434,'insumos terrapl'!$C$3:$K$47,7,0)</f>
        <v>00</v>
      </c>
      <c r="N434" s="29" t="str">
        <f>VLOOKUP(G434,'insumos terrapl'!$C$3:$K$47,8,0)</f>
        <v>00</v>
      </c>
      <c r="O434" s="97" t="str">
        <f>VLOOKUP(G434,'insumos terrapl'!$C$3:$K$47,9,0)</f>
        <v>00</v>
      </c>
    </row>
    <row r="435" spans="1:15" ht="30">
      <c r="A435" s="125"/>
      <c r="B435" s="127"/>
      <c r="C435" s="125"/>
      <c r="D435" s="115"/>
      <c r="E435" s="115"/>
      <c r="F435" s="11" t="s">
        <v>653</v>
      </c>
      <c r="G435" s="20" t="s">
        <v>654</v>
      </c>
      <c r="H435" s="29" t="str">
        <f>VLOOKUP(G435,'insumos terrapl'!$C$3:$K$47,2,0)</f>
        <v>2Q  62  10  06  00  00  00</v>
      </c>
      <c r="I435" s="29" t="str">
        <f>VLOOKUP(G435,'insumos terrapl'!$C$3:$K$47,3,0)</f>
        <v>2Q</v>
      </c>
      <c r="J435" s="29">
        <f>VLOOKUP(G435,'insumos terrapl'!$C$3:$K$47,4,0)</f>
        <v>62</v>
      </c>
      <c r="K435" s="29" t="str">
        <f>VLOOKUP(G435,'insumos terrapl'!$C$3:$K$47,5,0)</f>
        <v>10</v>
      </c>
      <c r="L435" s="29" t="str">
        <f>VLOOKUP(G435,'insumos terrapl'!$C$3:$K$47,6,0)</f>
        <v>06</v>
      </c>
      <c r="M435" s="29" t="str">
        <f>VLOOKUP(G435,'insumos terrapl'!$C$3:$K$47,7,0)</f>
        <v>00</v>
      </c>
      <c r="N435" s="29" t="str">
        <f>VLOOKUP(G435,'insumos terrapl'!$C$3:$K$47,8,0)</f>
        <v>00</v>
      </c>
      <c r="O435" s="97" t="str">
        <f>VLOOKUP(G435,'insumos terrapl'!$C$3:$K$47,9,0)</f>
        <v>00</v>
      </c>
    </row>
    <row r="436" spans="1:15">
      <c r="A436" s="125"/>
      <c r="B436" s="127"/>
      <c r="C436" s="125"/>
      <c r="D436" s="115"/>
      <c r="E436" s="115"/>
      <c r="F436" s="11" t="s">
        <v>605</v>
      </c>
      <c r="G436" s="20" t="s">
        <v>606</v>
      </c>
      <c r="H436" s="29" t="str">
        <f>VLOOKUP(G436,'insumos terrapl'!$C$3:$K$47,2,0)</f>
        <v>2Q  62  30  02  14  00  00</v>
      </c>
      <c r="I436" s="29" t="str">
        <f>VLOOKUP(G436,'insumos terrapl'!$C$3:$K$47,3,0)</f>
        <v>2Q</v>
      </c>
      <c r="J436" s="29">
        <f>VLOOKUP(G436,'insumos terrapl'!$C$3:$K$47,4,0)</f>
        <v>62</v>
      </c>
      <c r="K436" s="29">
        <f>VLOOKUP(G436,'insumos terrapl'!$C$3:$K$47,5,0)</f>
        <v>30</v>
      </c>
      <c r="L436" s="29" t="str">
        <f>VLOOKUP(G436,'insumos terrapl'!$C$3:$K$47,6,0)</f>
        <v>02</v>
      </c>
      <c r="M436" s="29" t="str">
        <f>VLOOKUP(G436,'insumos terrapl'!$C$3:$K$47,7,0)</f>
        <v>14</v>
      </c>
      <c r="N436" s="29" t="str">
        <f>VLOOKUP(G436,'insumos terrapl'!$C$3:$K$47,8,0)</f>
        <v>00</v>
      </c>
      <c r="O436" s="97" t="str">
        <f>VLOOKUP(G436,'insumos terrapl'!$C$3:$K$47,9,0)</f>
        <v>00</v>
      </c>
    </row>
    <row r="437" spans="1:15" ht="30">
      <c r="A437" s="125"/>
      <c r="B437" s="127"/>
      <c r="C437" s="125"/>
      <c r="D437" s="115"/>
      <c r="E437" s="115"/>
      <c r="F437" s="11" t="s">
        <v>657</v>
      </c>
      <c r="G437" s="20" t="s">
        <v>658</v>
      </c>
      <c r="H437" s="29" t="str">
        <f>VLOOKUP(G437,'insumos terrapl'!$C$3:$K$47,2,0)</f>
        <v>2Q  62  30  02  10  00  00</v>
      </c>
      <c r="I437" s="29" t="str">
        <f>VLOOKUP(G437,'insumos terrapl'!$C$3:$K$47,3,0)</f>
        <v>2Q</v>
      </c>
      <c r="J437" s="29">
        <f>VLOOKUP(G437,'insumos terrapl'!$C$3:$K$47,4,0)</f>
        <v>62</v>
      </c>
      <c r="K437" s="29" t="str">
        <f>VLOOKUP(G437,'insumos terrapl'!$C$3:$K$47,5,0)</f>
        <v>30</v>
      </c>
      <c r="L437" s="29" t="str">
        <f>VLOOKUP(G437,'insumos terrapl'!$C$3:$K$47,6,0)</f>
        <v>02</v>
      </c>
      <c r="M437" s="29" t="str">
        <f>VLOOKUP(G437,'insumos terrapl'!$C$3:$K$47,7,0)</f>
        <v>10</v>
      </c>
      <c r="N437" s="29" t="str">
        <f>VLOOKUP(G437,'insumos terrapl'!$C$3:$K$47,8,0)</f>
        <v>00</v>
      </c>
      <c r="O437" s="97" t="str">
        <f>VLOOKUP(G437,'insumos terrapl'!$C$3:$K$47,9,0)</f>
        <v>00</v>
      </c>
    </row>
    <row r="438" spans="1:15">
      <c r="A438" s="125"/>
      <c r="B438" s="127"/>
      <c r="C438" s="125"/>
      <c r="D438" s="115"/>
      <c r="E438" s="115"/>
      <c r="F438" s="11" t="s">
        <v>588</v>
      </c>
      <c r="G438" s="20" t="s">
        <v>589</v>
      </c>
      <c r="H438" s="29" t="str">
        <f>VLOOKUP(G438,'insumos terrapl'!$C$3:$K$47,2,0)</f>
        <v>2N  20  14  08  00  00  00</v>
      </c>
      <c r="I438" s="29" t="str">
        <f>VLOOKUP(G438,'insumos terrapl'!$C$3:$K$47,3,0)</f>
        <v>2N</v>
      </c>
      <c r="J438" s="29">
        <f>VLOOKUP(G438,'insumos terrapl'!$C$3:$K$47,4,0)</f>
        <v>20</v>
      </c>
      <c r="K438" s="29">
        <f>VLOOKUP(G438,'insumos terrapl'!$C$3:$K$47,5,0)</f>
        <v>14</v>
      </c>
      <c r="L438" s="29" t="str">
        <f>VLOOKUP(G438,'insumos terrapl'!$C$3:$K$47,6,0)</f>
        <v>08</v>
      </c>
      <c r="M438" s="29" t="str">
        <f>VLOOKUP(G438,'insumos terrapl'!$C$3:$K$47,7,0)</f>
        <v>00</v>
      </c>
      <c r="N438" s="29" t="str">
        <f>VLOOKUP(G438,'insumos terrapl'!$C$3:$K$47,8,0)</f>
        <v>00</v>
      </c>
      <c r="O438" s="97" t="str">
        <f>VLOOKUP(G438,'insumos terrapl'!$C$3:$K$47,9,0)</f>
        <v>00</v>
      </c>
    </row>
    <row r="439" spans="1:15">
      <c r="A439" s="125"/>
      <c r="B439" s="127"/>
      <c r="C439" s="132"/>
      <c r="D439" s="116"/>
      <c r="E439" s="116"/>
      <c r="F439" s="13"/>
      <c r="G439" s="21"/>
      <c r="H439" s="31"/>
      <c r="I439" s="31"/>
      <c r="J439" s="31"/>
      <c r="K439" s="31"/>
      <c r="L439" s="31"/>
      <c r="M439" s="31"/>
      <c r="N439" s="31"/>
      <c r="O439" s="98"/>
    </row>
    <row r="440" spans="1:15">
      <c r="A440" s="125"/>
      <c r="B440" s="127"/>
      <c r="C440" s="124" t="s">
        <v>121</v>
      </c>
      <c r="D440" s="114" t="str">
        <f>$A$419</f>
        <v>2.6.5</v>
      </c>
      <c r="E440" s="114" t="s">
        <v>419</v>
      </c>
      <c r="F440" s="12" t="s">
        <v>121</v>
      </c>
      <c r="G440" s="19"/>
      <c r="H440" s="28"/>
      <c r="I440" s="28"/>
      <c r="J440" s="28"/>
      <c r="K440" s="28"/>
      <c r="L440" s="28"/>
      <c r="M440" s="28"/>
      <c r="N440" s="28"/>
      <c r="O440" s="99"/>
    </row>
    <row r="441" spans="1:15" ht="30">
      <c r="A441" s="125"/>
      <c r="B441" s="127"/>
      <c r="C441" s="125"/>
      <c r="D441" s="115"/>
      <c r="E441" s="115"/>
      <c r="F441" s="11" t="s">
        <v>651</v>
      </c>
      <c r="G441" s="20" t="s">
        <v>652</v>
      </c>
      <c r="H441" s="29" t="str">
        <f>VLOOKUP(G441,'insumos terrapl'!$C$3:$K$47,2,0)</f>
        <v>2Q  66  10  02  00  00  00</v>
      </c>
      <c r="I441" s="29" t="str">
        <f>VLOOKUP(G441,'insumos terrapl'!$C$3:$K$47,3,0)</f>
        <v>2Q</v>
      </c>
      <c r="J441" s="29">
        <f>VLOOKUP(G441,'insumos terrapl'!$C$3:$K$47,4,0)</f>
        <v>66</v>
      </c>
      <c r="K441" s="29" t="str">
        <f>VLOOKUP(G441,'insumos terrapl'!$C$3:$K$47,5,0)</f>
        <v>10</v>
      </c>
      <c r="L441" s="29" t="str">
        <f>VLOOKUP(G441,'insumos terrapl'!$C$3:$K$47,6,0)</f>
        <v>02</v>
      </c>
      <c r="M441" s="29" t="str">
        <f>VLOOKUP(G441,'insumos terrapl'!$C$3:$K$47,7,0)</f>
        <v>00</v>
      </c>
      <c r="N441" s="29" t="str">
        <f>VLOOKUP(G441,'insumos terrapl'!$C$3:$K$47,8,0)</f>
        <v>00</v>
      </c>
      <c r="O441" s="97" t="str">
        <f>VLOOKUP(G441,'insumos terrapl'!$C$3:$K$47,9,0)</f>
        <v>00</v>
      </c>
    </row>
    <row r="442" spans="1:15" ht="30">
      <c r="A442" s="125"/>
      <c r="B442" s="127"/>
      <c r="C442" s="125"/>
      <c r="D442" s="115"/>
      <c r="E442" s="115"/>
      <c r="F442" s="11" t="s">
        <v>653</v>
      </c>
      <c r="G442" s="20" t="s">
        <v>654</v>
      </c>
      <c r="H442" s="29" t="str">
        <f>VLOOKUP(G442,'insumos terrapl'!$C$3:$K$47,2,0)</f>
        <v>2Q  62  10  06  00  00  00</v>
      </c>
      <c r="I442" s="29" t="str">
        <f>VLOOKUP(G442,'insumos terrapl'!$C$3:$K$47,3,0)</f>
        <v>2Q</v>
      </c>
      <c r="J442" s="29">
        <f>VLOOKUP(G442,'insumos terrapl'!$C$3:$K$47,4,0)</f>
        <v>62</v>
      </c>
      <c r="K442" s="29" t="str">
        <f>VLOOKUP(G442,'insumos terrapl'!$C$3:$K$47,5,0)</f>
        <v>10</v>
      </c>
      <c r="L442" s="29" t="str">
        <f>VLOOKUP(G442,'insumos terrapl'!$C$3:$K$47,6,0)</f>
        <v>06</v>
      </c>
      <c r="M442" s="29" t="str">
        <f>VLOOKUP(G442,'insumos terrapl'!$C$3:$K$47,7,0)</f>
        <v>00</v>
      </c>
      <c r="N442" s="29" t="str">
        <f>VLOOKUP(G442,'insumos terrapl'!$C$3:$K$47,8,0)</f>
        <v>00</v>
      </c>
      <c r="O442" s="97" t="str">
        <f>VLOOKUP(G442,'insumos terrapl'!$C$3:$K$47,9,0)</f>
        <v>00</v>
      </c>
    </row>
    <row r="443" spans="1:15">
      <c r="A443" s="125"/>
      <c r="B443" s="127"/>
      <c r="C443" s="125"/>
      <c r="D443" s="115"/>
      <c r="E443" s="115"/>
      <c r="F443" s="11" t="s">
        <v>605</v>
      </c>
      <c r="G443" s="20" t="s">
        <v>606</v>
      </c>
      <c r="H443" s="29" t="str">
        <f>VLOOKUP(G443,'insumos terrapl'!$C$3:$K$47,2,0)</f>
        <v>2Q  62  30  02  14  00  00</v>
      </c>
      <c r="I443" s="29" t="str">
        <f>VLOOKUP(G443,'insumos terrapl'!$C$3:$K$47,3,0)</f>
        <v>2Q</v>
      </c>
      <c r="J443" s="29">
        <f>VLOOKUP(G443,'insumos terrapl'!$C$3:$K$47,4,0)</f>
        <v>62</v>
      </c>
      <c r="K443" s="29">
        <f>VLOOKUP(G443,'insumos terrapl'!$C$3:$K$47,5,0)</f>
        <v>30</v>
      </c>
      <c r="L443" s="29" t="str">
        <f>VLOOKUP(G443,'insumos terrapl'!$C$3:$K$47,6,0)</f>
        <v>02</v>
      </c>
      <c r="M443" s="29" t="str">
        <f>VLOOKUP(G443,'insumos terrapl'!$C$3:$K$47,7,0)</f>
        <v>14</v>
      </c>
      <c r="N443" s="29" t="str">
        <f>VLOOKUP(G443,'insumos terrapl'!$C$3:$K$47,8,0)</f>
        <v>00</v>
      </c>
      <c r="O443" s="97" t="str">
        <f>VLOOKUP(G443,'insumos terrapl'!$C$3:$K$47,9,0)</f>
        <v>00</v>
      </c>
    </row>
    <row r="444" spans="1:15" ht="30">
      <c r="A444" s="125"/>
      <c r="B444" s="127"/>
      <c r="C444" s="125"/>
      <c r="D444" s="115"/>
      <c r="E444" s="115"/>
      <c r="F444" s="11" t="s">
        <v>657</v>
      </c>
      <c r="G444" s="20" t="s">
        <v>658</v>
      </c>
      <c r="H444" s="29" t="str">
        <f>VLOOKUP(G444,'insumos terrapl'!$C$3:$K$47,2,0)</f>
        <v>2Q  62  30  02  10  00  00</v>
      </c>
      <c r="I444" s="29" t="str">
        <f>VLOOKUP(G444,'insumos terrapl'!$C$3:$K$47,3,0)</f>
        <v>2Q</v>
      </c>
      <c r="J444" s="29">
        <f>VLOOKUP(G444,'insumos terrapl'!$C$3:$K$47,4,0)</f>
        <v>62</v>
      </c>
      <c r="K444" s="29" t="str">
        <f>VLOOKUP(G444,'insumos terrapl'!$C$3:$K$47,5,0)</f>
        <v>30</v>
      </c>
      <c r="L444" s="29" t="str">
        <f>VLOOKUP(G444,'insumos terrapl'!$C$3:$K$47,6,0)</f>
        <v>02</v>
      </c>
      <c r="M444" s="29" t="str">
        <f>VLOOKUP(G444,'insumos terrapl'!$C$3:$K$47,7,0)</f>
        <v>10</v>
      </c>
      <c r="N444" s="29" t="str">
        <f>VLOOKUP(G444,'insumos terrapl'!$C$3:$K$47,8,0)</f>
        <v>00</v>
      </c>
      <c r="O444" s="97" t="str">
        <f>VLOOKUP(G444,'insumos terrapl'!$C$3:$K$47,9,0)</f>
        <v>00</v>
      </c>
    </row>
    <row r="445" spans="1:15">
      <c r="A445" s="125"/>
      <c r="B445" s="127"/>
      <c r="C445" s="125"/>
      <c r="D445" s="115"/>
      <c r="E445" s="115"/>
      <c r="F445" s="11" t="s">
        <v>588</v>
      </c>
      <c r="G445" s="20" t="s">
        <v>589</v>
      </c>
      <c r="H445" s="29" t="str">
        <f>VLOOKUP(G445,'insumos terrapl'!$C$3:$K$47,2,0)</f>
        <v>2N  20  14  08  00  00  00</v>
      </c>
      <c r="I445" s="29" t="str">
        <f>VLOOKUP(G445,'insumos terrapl'!$C$3:$K$47,3,0)</f>
        <v>2N</v>
      </c>
      <c r="J445" s="29">
        <f>VLOOKUP(G445,'insumos terrapl'!$C$3:$K$47,4,0)</f>
        <v>20</v>
      </c>
      <c r="K445" s="29">
        <f>VLOOKUP(G445,'insumos terrapl'!$C$3:$K$47,5,0)</f>
        <v>14</v>
      </c>
      <c r="L445" s="29" t="str">
        <f>VLOOKUP(G445,'insumos terrapl'!$C$3:$K$47,6,0)</f>
        <v>08</v>
      </c>
      <c r="M445" s="29" t="str">
        <f>VLOOKUP(G445,'insumos terrapl'!$C$3:$K$47,7,0)</f>
        <v>00</v>
      </c>
      <c r="N445" s="29" t="str">
        <f>VLOOKUP(G445,'insumos terrapl'!$C$3:$K$47,8,0)</f>
        <v>00</v>
      </c>
      <c r="O445" s="97" t="str">
        <f>VLOOKUP(G445,'insumos terrapl'!$C$3:$K$47,9,0)</f>
        <v>00</v>
      </c>
    </row>
    <row r="446" spans="1:15">
      <c r="A446" s="125"/>
      <c r="B446" s="127"/>
      <c r="C446" s="132"/>
      <c r="D446" s="116"/>
      <c r="E446" s="116"/>
      <c r="F446" s="13"/>
      <c r="G446" s="21"/>
      <c r="H446" s="31"/>
      <c r="I446" s="31"/>
      <c r="J446" s="31"/>
      <c r="K446" s="31"/>
      <c r="L446" s="31"/>
      <c r="M446" s="31"/>
      <c r="N446" s="31"/>
      <c r="O446" s="98"/>
    </row>
    <row r="447" spans="1:15">
      <c r="A447" s="125"/>
      <c r="B447" s="127"/>
      <c r="C447" s="124" t="s">
        <v>122</v>
      </c>
      <c r="D447" s="114" t="str">
        <f>$A$419</f>
        <v>2.6.5</v>
      </c>
      <c r="E447" s="115" t="s">
        <v>421</v>
      </c>
      <c r="F447" s="11" t="s">
        <v>122</v>
      </c>
      <c r="G447" s="20"/>
      <c r="H447" s="29"/>
      <c r="I447" s="29"/>
      <c r="J447" s="29"/>
      <c r="K447" s="29"/>
      <c r="L447" s="29"/>
      <c r="M447" s="29"/>
      <c r="N447" s="29"/>
      <c r="O447" s="97"/>
    </row>
    <row r="448" spans="1:15" ht="30">
      <c r="A448" s="125"/>
      <c r="B448" s="127"/>
      <c r="C448" s="125"/>
      <c r="D448" s="115"/>
      <c r="E448" s="115"/>
      <c r="F448" s="11" t="s">
        <v>651</v>
      </c>
      <c r="G448" s="20" t="s">
        <v>652</v>
      </c>
      <c r="H448" s="29" t="str">
        <f>VLOOKUP(G448,'insumos terrapl'!$C$3:$K$47,2,0)</f>
        <v>2Q  66  10  02  00  00  00</v>
      </c>
      <c r="I448" s="29" t="str">
        <f>VLOOKUP(G448,'insumos terrapl'!$C$3:$K$47,3,0)</f>
        <v>2Q</v>
      </c>
      <c r="J448" s="29">
        <f>VLOOKUP(G448,'insumos terrapl'!$C$3:$K$47,4,0)</f>
        <v>66</v>
      </c>
      <c r="K448" s="29" t="str">
        <f>VLOOKUP(G448,'insumos terrapl'!$C$3:$K$47,5,0)</f>
        <v>10</v>
      </c>
      <c r="L448" s="29" t="str">
        <f>VLOOKUP(G448,'insumos terrapl'!$C$3:$K$47,6,0)</f>
        <v>02</v>
      </c>
      <c r="M448" s="29" t="str">
        <f>VLOOKUP(G448,'insumos terrapl'!$C$3:$K$47,7,0)</f>
        <v>00</v>
      </c>
      <c r="N448" s="29" t="str">
        <f>VLOOKUP(G448,'insumos terrapl'!$C$3:$K$47,8,0)</f>
        <v>00</v>
      </c>
      <c r="O448" s="97" t="str">
        <f>VLOOKUP(G448,'insumos terrapl'!$C$3:$K$47,9,0)</f>
        <v>00</v>
      </c>
    </row>
    <row r="449" spans="1:15" ht="30">
      <c r="A449" s="125"/>
      <c r="B449" s="127"/>
      <c r="C449" s="125"/>
      <c r="D449" s="115"/>
      <c r="E449" s="115"/>
      <c r="F449" s="11" t="s">
        <v>653</v>
      </c>
      <c r="G449" s="20" t="s">
        <v>654</v>
      </c>
      <c r="H449" s="29" t="str">
        <f>VLOOKUP(G449,'insumos terrapl'!$C$3:$K$47,2,0)</f>
        <v>2Q  62  10  06  00  00  00</v>
      </c>
      <c r="I449" s="29" t="str">
        <f>VLOOKUP(G449,'insumos terrapl'!$C$3:$K$47,3,0)</f>
        <v>2Q</v>
      </c>
      <c r="J449" s="29">
        <f>VLOOKUP(G449,'insumos terrapl'!$C$3:$K$47,4,0)</f>
        <v>62</v>
      </c>
      <c r="K449" s="29" t="str">
        <f>VLOOKUP(G449,'insumos terrapl'!$C$3:$K$47,5,0)</f>
        <v>10</v>
      </c>
      <c r="L449" s="29" t="str">
        <f>VLOOKUP(G449,'insumos terrapl'!$C$3:$K$47,6,0)</f>
        <v>06</v>
      </c>
      <c r="M449" s="29" t="str">
        <f>VLOOKUP(G449,'insumos terrapl'!$C$3:$K$47,7,0)</f>
        <v>00</v>
      </c>
      <c r="N449" s="29" t="str">
        <f>VLOOKUP(G449,'insumos terrapl'!$C$3:$K$47,8,0)</f>
        <v>00</v>
      </c>
      <c r="O449" s="97" t="str">
        <f>VLOOKUP(G449,'insumos terrapl'!$C$3:$K$47,9,0)</f>
        <v>00</v>
      </c>
    </row>
    <row r="450" spans="1:15">
      <c r="A450" s="125"/>
      <c r="B450" s="127"/>
      <c r="C450" s="125"/>
      <c r="D450" s="115"/>
      <c r="E450" s="115"/>
      <c r="F450" s="11" t="s">
        <v>605</v>
      </c>
      <c r="G450" s="20" t="s">
        <v>606</v>
      </c>
      <c r="H450" s="29" t="str">
        <f>VLOOKUP(G450,'insumos terrapl'!$C$3:$K$47,2,0)</f>
        <v>2Q  62  30  02  14  00  00</v>
      </c>
      <c r="I450" s="29" t="str">
        <f>VLOOKUP(G450,'insumos terrapl'!$C$3:$K$47,3,0)</f>
        <v>2Q</v>
      </c>
      <c r="J450" s="29">
        <f>VLOOKUP(G450,'insumos terrapl'!$C$3:$K$47,4,0)</f>
        <v>62</v>
      </c>
      <c r="K450" s="29">
        <f>VLOOKUP(G450,'insumos terrapl'!$C$3:$K$47,5,0)</f>
        <v>30</v>
      </c>
      <c r="L450" s="29" t="str">
        <f>VLOOKUP(G450,'insumos terrapl'!$C$3:$K$47,6,0)</f>
        <v>02</v>
      </c>
      <c r="M450" s="29" t="str">
        <f>VLOOKUP(G450,'insumos terrapl'!$C$3:$K$47,7,0)</f>
        <v>14</v>
      </c>
      <c r="N450" s="29" t="str">
        <f>VLOOKUP(G450,'insumos terrapl'!$C$3:$K$47,8,0)</f>
        <v>00</v>
      </c>
      <c r="O450" s="97" t="str">
        <f>VLOOKUP(G450,'insumos terrapl'!$C$3:$K$47,9,0)</f>
        <v>00</v>
      </c>
    </row>
    <row r="451" spans="1:15" ht="30">
      <c r="A451" s="125"/>
      <c r="B451" s="127"/>
      <c r="C451" s="125"/>
      <c r="D451" s="115"/>
      <c r="E451" s="115"/>
      <c r="F451" s="11" t="s">
        <v>657</v>
      </c>
      <c r="G451" s="20" t="s">
        <v>658</v>
      </c>
      <c r="H451" s="29" t="str">
        <f>VLOOKUP(G451,'insumos terrapl'!$C$3:$K$47,2,0)</f>
        <v>2Q  62  30  02  10  00  00</v>
      </c>
      <c r="I451" s="29" t="str">
        <f>VLOOKUP(G451,'insumos terrapl'!$C$3:$K$47,3,0)</f>
        <v>2Q</v>
      </c>
      <c r="J451" s="29">
        <f>VLOOKUP(G451,'insumos terrapl'!$C$3:$K$47,4,0)</f>
        <v>62</v>
      </c>
      <c r="K451" s="29" t="str">
        <f>VLOOKUP(G451,'insumos terrapl'!$C$3:$K$47,5,0)</f>
        <v>30</v>
      </c>
      <c r="L451" s="29" t="str">
        <f>VLOOKUP(G451,'insumos terrapl'!$C$3:$K$47,6,0)</f>
        <v>02</v>
      </c>
      <c r="M451" s="29" t="str">
        <f>VLOOKUP(G451,'insumos terrapl'!$C$3:$K$47,7,0)</f>
        <v>10</v>
      </c>
      <c r="N451" s="29" t="str">
        <f>VLOOKUP(G451,'insumos terrapl'!$C$3:$K$47,8,0)</f>
        <v>00</v>
      </c>
      <c r="O451" s="97" t="str">
        <f>VLOOKUP(G451,'insumos terrapl'!$C$3:$K$47,9,0)</f>
        <v>00</v>
      </c>
    </row>
    <row r="452" spans="1:15">
      <c r="A452" s="125"/>
      <c r="B452" s="127"/>
      <c r="C452" s="125"/>
      <c r="D452" s="115"/>
      <c r="E452" s="115"/>
      <c r="F452" s="11" t="s">
        <v>588</v>
      </c>
      <c r="G452" s="20" t="s">
        <v>589</v>
      </c>
      <c r="H452" s="29" t="str">
        <f>VLOOKUP(G452,'insumos terrapl'!$C$3:$K$47,2,0)</f>
        <v>2N  20  14  08  00  00  00</v>
      </c>
      <c r="I452" s="29" t="str">
        <f>VLOOKUP(G452,'insumos terrapl'!$C$3:$K$47,3,0)</f>
        <v>2N</v>
      </c>
      <c r="J452" s="29">
        <f>VLOOKUP(G452,'insumos terrapl'!$C$3:$K$47,4,0)</f>
        <v>20</v>
      </c>
      <c r="K452" s="29">
        <f>VLOOKUP(G452,'insumos terrapl'!$C$3:$K$47,5,0)</f>
        <v>14</v>
      </c>
      <c r="L452" s="29" t="str">
        <f>VLOOKUP(G452,'insumos terrapl'!$C$3:$K$47,6,0)</f>
        <v>08</v>
      </c>
      <c r="M452" s="29" t="str">
        <f>VLOOKUP(G452,'insumos terrapl'!$C$3:$K$47,7,0)</f>
        <v>00</v>
      </c>
      <c r="N452" s="29" t="str">
        <f>VLOOKUP(G452,'insumos terrapl'!$C$3:$K$47,8,0)</f>
        <v>00</v>
      </c>
      <c r="O452" s="97" t="str">
        <f>VLOOKUP(G452,'insumos terrapl'!$C$3:$K$47,9,0)</f>
        <v>00</v>
      </c>
    </row>
    <row r="453" spans="1:15">
      <c r="A453" s="125"/>
      <c r="B453" s="127"/>
      <c r="C453" s="132"/>
      <c r="D453" s="116"/>
      <c r="E453" s="115"/>
      <c r="F453" s="10"/>
      <c r="G453" s="20"/>
      <c r="H453" s="29"/>
      <c r="I453" s="29"/>
      <c r="J453" s="29"/>
      <c r="K453" s="29"/>
      <c r="L453" s="29"/>
      <c r="M453" s="29"/>
      <c r="N453" s="29"/>
      <c r="O453" s="97"/>
    </row>
    <row r="454" spans="1:15">
      <c r="A454" s="125"/>
      <c r="B454" s="127"/>
      <c r="C454" s="124" t="s">
        <v>123</v>
      </c>
      <c r="D454" s="114" t="str">
        <f>$A$419</f>
        <v>2.6.5</v>
      </c>
      <c r="E454" s="114" t="s">
        <v>423</v>
      </c>
      <c r="F454" s="12" t="s">
        <v>123</v>
      </c>
      <c r="G454" s="19"/>
      <c r="H454" s="28"/>
      <c r="I454" s="28"/>
      <c r="J454" s="28"/>
      <c r="K454" s="28"/>
      <c r="L454" s="28"/>
      <c r="M454" s="28"/>
      <c r="N454" s="28"/>
      <c r="O454" s="99"/>
    </row>
    <row r="455" spans="1:15" ht="30">
      <c r="A455" s="125"/>
      <c r="B455" s="127"/>
      <c r="C455" s="125"/>
      <c r="D455" s="115"/>
      <c r="E455" s="115"/>
      <c r="F455" s="11" t="s">
        <v>651</v>
      </c>
      <c r="G455" s="20" t="s">
        <v>652</v>
      </c>
      <c r="H455" s="29" t="str">
        <f>VLOOKUP(G455,'insumos terrapl'!$C$3:$K$47,2,0)</f>
        <v>2Q  66  10  02  00  00  00</v>
      </c>
      <c r="I455" s="29" t="str">
        <f>VLOOKUP(G455,'insumos terrapl'!$C$3:$K$47,3,0)</f>
        <v>2Q</v>
      </c>
      <c r="J455" s="29">
        <f>VLOOKUP(G455,'insumos terrapl'!$C$3:$K$47,4,0)</f>
        <v>66</v>
      </c>
      <c r="K455" s="29" t="str">
        <f>VLOOKUP(G455,'insumos terrapl'!$C$3:$K$47,5,0)</f>
        <v>10</v>
      </c>
      <c r="L455" s="29" t="str">
        <f>VLOOKUP(G455,'insumos terrapl'!$C$3:$K$47,6,0)</f>
        <v>02</v>
      </c>
      <c r="M455" s="29" t="str">
        <f>VLOOKUP(G455,'insumos terrapl'!$C$3:$K$47,7,0)</f>
        <v>00</v>
      </c>
      <c r="N455" s="29" t="str">
        <f>VLOOKUP(G455,'insumos terrapl'!$C$3:$K$47,8,0)</f>
        <v>00</v>
      </c>
      <c r="O455" s="97" t="str">
        <f>VLOOKUP(G455,'insumos terrapl'!$C$3:$K$47,9,0)</f>
        <v>00</v>
      </c>
    </row>
    <row r="456" spans="1:15" ht="30">
      <c r="A456" s="125"/>
      <c r="B456" s="127"/>
      <c r="C456" s="125"/>
      <c r="D456" s="115"/>
      <c r="E456" s="115"/>
      <c r="F456" s="11" t="s">
        <v>653</v>
      </c>
      <c r="G456" s="20" t="s">
        <v>654</v>
      </c>
      <c r="H456" s="29" t="str">
        <f>VLOOKUP(G456,'insumos terrapl'!$C$3:$K$47,2,0)</f>
        <v>2Q  62  10  06  00  00  00</v>
      </c>
      <c r="I456" s="29" t="str">
        <f>VLOOKUP(G456,'insumos terrapl'!$C$3:$K$47,3,0)</f>
        <v>2Q</v>
      </c>
      <c r="J456" s="29">
        <f>VLOOKUP(G456,'insumos terrapl'!$C$3:$K$47,4,0)</f>
        <v>62</v>
      </c>
      <c r="K456" s="29" t="str">
        <f>VLOOKUP(G456,'insumos terrapl'!$C$3:$K$47,5,0)</f>
        <v>10</v>
      </c>
      <c r="L456" s="29" t="str">
        <f>VLOOKUP(G456,'insumos terrapl'!$C$3:$K$47,6,0)</f>
        <v>06</v>
      </c>
      <c r="M456" s="29" t="str">
        <f>VLOOKUP(G456,'insumos terrapl'!$C$3:$K$47,7,0)</f>
        <v>00</v>
      </c>
      <c r="N456" s="29" t="str">
        <f>VLOOKUP(G456,'insumos terrapl'!$C$3:$K$47,8,0)</f>
        <v>00</v>
      </c>
      <c r="O456" s="97" t="str">
        <f>VLOOKUP(G456,'insumos terrapl'!$C$3:$K$47,9,0)</f>
        <v>00</v>
      </c>
    </row>
    <row r="457" spans="1:15">
      <c r="A457" s="125"/>
      <c r="B457" s="127"/>
      <c r="C457" s="125"/>
      <c r="D457" s="115"/>
      <c r="E457" s="115"/>
      <c r="F457" s="11" t="s">
        <v>605</v>
      </c>
      <c r="G457" s="20" t="s">
        <v>606</v>
      </c>
      <c r="H457" s="29" t="str">
        <f>VLOOKUP(G457,'insumos terrapl'!$C$3:$K$47,2,0)</f>
        <v>2Q  62  30  02  14  00  00</v>
      </c>
      <c r="I457" s="29" t="str">
        <f>VLOOKUP(G457,'insumos terrapl'!$C$3:$K$47,3,0)</f>
        <v>2Q</v>
      </c>
      <c r="J457" s="29">
        <f>VLOOKUP(G457,'insumos terrapl'!$C$3:$K$47,4,0)</f>
        <v>62</v>
      </c>
      <c r="K457" s="29">
        <f>VLOOKUP(G457,'insumos terrapl'!$C$3:$K$47,5,0)</f>
        <v>30</v>
      </c>
      <c r="L457" s="29" t="str">
        <f>VLOOKUP(G457,'insumos terrapl'!$C$3:$K$47,6,0)</f>
        <v>02</v>
      </c>
      <c r="M457" s="29" t="str">
        <f>VLOOKUP(G457,'insumos terrapl'!$C$3:$K$47,7,0)</f>
        <v>14</v>
      </c>
      <c r="N457" s="29" t="str">
        <f>VLOOKUP(G457,'insumos terrapl'!$C$3:$K$47,8,0)</f>
        <v>00</v>
      </c>
      <c r="O457" s="97" t="str">
        <f>VLOOKUP(G457,'insumos terrapl'!$C$3:$K$47,9,0)</f>
        <v>00</v>
      </c>
    </row>
    <row r="458" spans="1:15" ht="30">
      <c r="A458" s="125"/>
      <c r="B458" s="127"/>
      <c r="C458" s="125"/>
      <c r="D458" s="115"/>
      <c r="E458" s="115"/>
      <c r="F458" s="11" t="s">
        <v>657</v>
      </c>
      <c r="G458" s="20" t="s">
        <v>658</v>
      </c>
      <c r="H458" s="29" t="str">
        <f>VLOOKUP(G458,'insumos terrapl'!$C$3:$K$47,2,0)</f>
        <v>2Q  62  30  02  10  00  00</v>
      </c>
      <c r="I458" s="29" t="str">
        <f>VLOOKUP(G458,'insumos terrapl'!$C$3:$K$47,3,0)</f>
        <v>2Q</v>
      </c>
      <c r="J458" s="29">
        <f>VLOOKUP(G458,'insumos terrapl'!$C$3:$K$47,4,0)</f>
        <v>62</v>
      </c>
      <c r="K458" s="29" t="str">
        <f>VLOOKUP(G458,'insumos terrapl'!$C$3:$K$47,5,0)</f>
        <v>30</v>
      </c>
      <c r="L458" s="29" t="str">
        <f>VLOOKUP(G458,'insumos terrapl'!$C$3:$K$47,6,0)</f>
        <v>02</v>
      </c>
      <c r="M458" s="29" t="str">
        <f>VLOOKUP(G458,'insumos terrapl'!$C$3:$K$47,7,0)</f>
        <v>10</v>
      </c>
      <c r="N458" s="29" t="str">
        <f>VLOOKUP(G458,'insumos terrapl'!$C$3:$K$47,8,0)</f>
        <v>00</v>
      </c>
      <c r="O458" s="97" t="str">
        <f>VLOOKUP(G458,'insumos terrapl'!$C$3:$K$47,9,0)</f>
        <v>00</v>
      </c>
    </row>
    <row r="459" spans="1:15">
      <c r="A459" s="125"/>
      <c r="B459" s="127"/>
      <c r="C459" s="125"/>
      <c r="D459" s="115"/>
      <c r="E459" s="115"/>
      <c r="F459" s="11" t="s">
        <v>588</v>
      </c>
      <c r="G459" s="20" t="s">
        <v>589</v>
      </c>
      <c r="H459" s="29" t="str">
        <f>VLOOKUP(G459,'insumos terrapl'!$C$3:$K$47,2,0)</f>
        <v>2N  20  14  08  00  00  00</v>
      </c>
      <c r="I459" s="29" t="str">
        <f>VLOOKUP(G459,'insumos terrapl'!$C$3:$K$47,3,0)</f>
        <v>2N</v>
      </c>
      <c r="J459" s="29">
        <f>VLOOKUP(G459,'insumos terrapl'!$C$3:$K$47,4,0)</f>
        <v>20</v>
      </c>
      <c r="K459" s="29">
        <f>VLOOKUP(G459,'insumos terrapl'!$C$3:$K$47,5,0)</f>
        <v>14</v>
      </c>
      <c r="L459" s="29" t="str">
        <f>VLOOKUP(G459,'insumos terrapl'!$C$3:$K$47,6,0)</f>
        <v>08</v>
      </c>
      <c r="M459" s="29" t="str">
        <f>VLOOKUP(G459,'insumos terrapl'!$C$3:$K$47,7,0)</f>
        <v>00</v>
      </c>
      <c r="N459" s="29" t="str">
        <f>VLOOKUP(G459,'insumos terrapl'!$C$3:$K$47,8,0)</f>
        <v>00</v>
      </c>
      <c r="O459" s="97" t="str">
        <f>VLOOKUP(G459,'insumos terrapl'!$C$3:$K$47,9,0)</f>
        <v>00</v>
      </c>
    </row>
    <row r="460" spans="1:15">
      <c r="A460" s="125"/>
      <c r="B460" s="127"/>
      <c r="C460" s="132"/>
      <c r="D460" s="116"/>
      <c r="E460" s="116"/>
      <c r="F460" s="13"/>
      <c r="G460" s="21"/>
      <c r="H460" s="31"/>
      <c r="I460" s="31"/>
      <c r="J460" s="31"/>
      <c r="K460" s="31"/>
      <c r="L460" s="31"/>
      <c r="M460" s="31"/>
      <c r="N460" s="31"/>
      <c r="O460" s="98"/>
    </row>
    <row r="461" spans="1:15">
      <c r="A461" s="125"/>
      <c r="B461" s="127"/>
      <c r="C461" s="124" t="s">
        <v>124</v>
      </c>
      <c r="D461" s="114" t="str">
        <f>$A$419</f>
        <v>2.6.5</v>
      </c>
      <c r="E461" s="115" t="s">
        <v>425</v>
      </c>
      <c r="F461" s="11" t="s">
        <v>124</v>
      </c>
      <c r="G461" s="20"/>
      <c r="H461" s="29"/>
      <c r="I461" s="29"/>
      <c r="J461" s="29"/>
      <c r="K461" s="29"/>
      <c r="L461" s="29"/>
      <c r="M461" s="29"/>
      <c r="N461" s="29"/>
      <c r="O461" s="97"/>
    </row>
    <row r="462" spans="1:15" ht="30">
      <c r="A462" s="125"/>
      <c r="B462" s="127"/>
      <c r="C462" s="125"/>
      <c r="D462" s="115"/>
      <c r="E462" s="115"/>
      <c r="F462" s="11" t="s">
        <v>651</v>
      </c>
      <c r="G462" s="20" t="s">
        <v>652</v>
      </c>
      <c r="H462" s="29" t="str">
        <f>VLOOKUP(G462,'insumos terrapl'!$C$3:$K$47,2,0)</f>
        <v>2Q  66  10  02  00  00  00</v>
      </c>
      <c r="I462" s="29" t="str">
        <f>VLOOKUP(G462,'insumos terrapl'!$C$3:$K$47,3,0)</f>
        <v>2Q</v>
      </c>
      <c r="J462" s="29">
        <f>VLOOKUP(G462,'insumos terrapl'!$C$3:$K$47,4,0)</f>
        <v>66</v>
      </c>
      <c r="K462" s="29" t="str">
        <f>VLOOKUP(G462,'insumos terrapl'!$C$3:$K$47,5,0)</f>
        <v>10</v>
      </c>
      <c r="L462" s="29" t="str">
        <f>VLOOKUP(G462,'insumos terrapl'!$C$3:$K$47,6,0)</f>
        <v>02</v>
      </c>
      <c r="M462" s="29" t="str">
        <f>VLOOKUP(G462,'insumos terrapl'!$C$3:$K$47,7,0)</f>
        <v>00</v>
      </c>
      <c r="N462" s="29" t="str">
        <f>VLOOKUP(G462,'insumos terrapl'!$C$3:$K$47,8,0)</f>
        <v>00</v>
      </c>
      <c r="O462" s="97" t="str">
        <f>VLOOKUP(G462,'insumos terrapl'!$C$3:$K$47,9,0)</f>
        <v>00</v>
      </c>
    </row>
    <row r="463" spans="1:15" ht="30">
      <c r="A463" s="125"/>
      <c r="B463" s="127"/>
      <c r="C463" s="125"/>
      <c r="D463" s="115"/>
      <c r="E463" s="115"/>
      <c r="F463" s="11" t="s">
        <v>653</v>
      </c>
      <c r="G463" s="20" t="s">
        <v>654</v>
      </c>
      <c r="H463" s="29" t="str">
        <f>VLOOKUP(G463,'insumos terrapl'!$C$3:$K$47,2,0)</f>
        <v>2Q  62  10  06  00  00  00</v>
      </c>
      <c r="I463" s="29" t="str">
        <f>VLOOKUP(G463,'insumos terrapl'!$C$3:$K$47,3,0)</f>
        <v>2Q</v>
      </c>
      <c r="J463" s="29">
        <f>VLOOKUP(G463,'insumos terrapl'!$C$3:$K$47,4,0)</f>
        <v>62</v>
      </c>
      <c r="K463" s="29" t="str">
        <f>VLOOKUP(G463,'insumos terrapl'!$C$3:$K$47,5,0)</f>
        <v>10</v>
      </c>
      <c r="L463" s="29" t="str">
        <f>VLOOKUP(G463,'insumos terrapl'!$C$3:$K$47,6,0)</f>
        <v>06</v>
      </c>
      <c r="M463" s="29" t="str">
        <f>VLOOKUP(G463,'insumos terrapl'!$C$3:$K$47,7,0)</f>
        <v>00</v>
      </c>
      <c r="N463" s="29" t="str">
        <f>VLOOKUP(G463,'insumos terrapl'!$C$3:$K$47,8,0)</f>
        <v>00</v>
      </c>
      <c r="O463" s="97" t="str">
        <f>VLOOKUP(G463,'insumos terrapl'!$C$3:$K$47,9,0)</f>
        <v>00</v>
      </c>
    </row>
    <row r="464" spans="1:15">
      <c r="A464" s="125"/>
      <c r="B464" s="127"/>
      <c r="C464" s="125"/>
      <c r="D464" s="115"/>
      <c r="E464" s="115"/>
      <c r="F464" s="11" t="s">
        <v>605</v>
      </c>
      <c r="G464" s="20" t="s">
        <v>606</v>
      </c>
      <c r="H464" s="29" t="str">
        <f>VLOOKUP(G464,'insumos terrapl'!$C$3:$K$47,2,0)</f>
        <v>2Q  62  30  02  14  00  00</v>
      </c>
      <c r="I464" s="29" t="str">
        <f>VLOOKUP(G464,'insumos terrapl'!$C$3:$K$47,3,0)</f>
        <v>2Q</v>
      </c>
      <c r="J464" s="29">
        <f>VLOOKUP(G464,'insumos terrapl'!$C$3:$K$47,4,0)</f>
        <v>62</v>
      </c>
      <c r="K464" s="29">
        <f>VLOOKUP(G464,'insumos terrapl'!$C$3:$K$47,5,0)</f>
        <v>30</v>
      </c>
      <c r="L464" s="29" t="str">
        <f>VLOOKUP(G464,'insumos terrapl'!$C$3:$K$47,6,0)</f>
        <v>02</v>
      </c>
      <c r="M464" s="29" t="str">
        <f>VLOOKUP(G464,'insumos terrapl'!$C$3:$K$47,7,0)</f>
        <v>14</v>
      </c>
      <c r="N464" s="29" t="str">
        <f>VLOOKUP(G464,'insumos terrapl'!$C$3:$K$47,8,0)</f>
        <v>00</v>
      </c>
      <c r="O464" s="97" t="str">
        <f>VLOOKUP(G464,'insumos terrapl'!$C$3:$K$47,9,0)</f>
        <v>00</v>
      </c>
    </row>
    <row r="465" spans="1:15" ht="30">
      <c r="A465" s="125"/>
      <c r="B465" s="127"/>
      <c r="C465" s="125"/>
      <c r="D465" s="115"/>
      <c r="E465" s="115"/>
      <c r="F465" s="11" t="s">
        <v>657</v>
      </c>
      <c r="G465" s="20" t="s">
        <v>658</v>
      </c>
      <c r="H465" s="29" t="str">
        <f>VLOOKUP(G465,'insumos terrapl'!$C$3:$K$47,2,0)</f>
        <v>2Q  62  30  02  10  00  00</v>
      </c>
      <c r="I465" s="29" t="str">
        <f>VLOOKUP(G465,'insumos terrapl'!$C$3:$K$47,3,0)</f>
        <v>2Q</v>
      </c>
      <c r="J465" s="29">
        <f>VLOOKUP(G465,'insumos terrapl'!$C$3:$K$47,4,0)</f>
        <v>62</v>
      </c>
      <c r="K465" s="29" t="str">
        <f>VLOOKUP(G465,'insumos terrapl'!$C$3:$K$47,5,0)</f>
        <v>30</v>
      </c>
      <c r="L465" s="29" t="str">
        <f>VLOOKUP(G465,'insumos terrapl'!$C$3:$K$47,6,0)</f>
        <v>02</v>
      </c>
      <c r="M465" s="29" t="str">
        <f>VLOOKUP(G465,'insumos terrapl'!$C$3:$K$47,7,0)</f>
        <v>10</v>
      </c>
      <c r="N465" s="29" t="str">
        <f>VLOOKUP(G465,'insumos terrapl'!$C$3:$K$47,8,0)</f>
        <v>00</v>
      </c>
      <c r="O465" s="97" t="str">
        <f>VLOOKUP(G465,'insumos terrapl'!$C$3:$K$47,9,0)</f>
        <v>00</v>
      </c>
    </row>
    <row r="466" spans="1:15">
      <c r="A466" s="125"/>
      <c r="B466" s="127"/>
      <c r="C466" s="125"/>
      <c r="D466" s="115"/>
      <c r="E466" s="115"/>
      <c r="F466" s="11" t="s">
        <v>588</v>
      </c>
      <c r="G466" s="20" t="s">
        <v>589</v>
      </c>
      <c r="H466" s="29" t="str">
        <f>VLOOKUP(G466,'insumos terrapl'!$C$3:$K$47,2,0)</f>
        <v>2N  20  14  08  00  00  00</v>
      </c>
      <c r="I466" s="29" t="str">
        <f>VLOOKUP(G466,'insumos terrapl'!$C$3:$K$47,3,0)</f>
        <v>2N</v>
      </c>
      <c r="J466" s="29">
        <f>VLOOKUP(G466,'insumos terrapl'!$C$3:$K$47,4,0)</f>
        <v>20</v>
      </c>
      <c r="K466" s="29">
        <f>VLOOKUP(G466,'insumos terrapl'!$C$3:$K$47,5,0)</f>
        <v>14</v>
      </c>
      <c r="L466" s="29" t="str">
        <f>VLOOKUP(G466,'insumos terrapl'!$C$3:$K$47,6,0)</f>
        <v>08</v>
      </c>
      <c r="M466" s="29" t="str">
        <f>VLOOKUP(G466,'insumos terrapl'!$C$3:$K$47,7,0)</f>
        <v>00</v>
      </c>
      <c r="N466" s="29" t="str">
        <f>VLOOKUP(G466,'insumos terrapl'!$C$3:$K$47,8,0)</f>
        <v>00</v>
      </c>
      <c r="O466" s="97" t="str">
        <f>VLOOKUP(G466,'insumos terrapl'!$C$3:$K$47,9,0)</f>
        <v>00</v>
      </c>
    </row>
    <row r="467" spans="1:15">
      <c r="A467" s="125"/>
      <c r="B467" s="127"/>
      <c r="C467" s="132"/>
      <c r="D467" s="116"/>
      <c r="E467" s="115"/>
      <c r="F467" s="10"/>
      <c r="G467" s="20"/>
      <c r="H467" s="29"/>
      <c r="I467" s="29"/>
      <c r="J467" s="29"/>
      <c r="K467" s="29"/>
      <c r="L467" s="29"/>
      <c r="M467" s="29"/>
      <c r="N467" s="29"/>
      <c r="O467" s="97"/>
    </row>
    <row r="468" spans="1:15">
      <c r="A468" s="125"/>
      <c r="B468" s="127"/>
      <c r="C468" s="124" t="s">
        <v>125</v>
      </c>
      <c r="D468" s="114" t="str">
        <f>$A$419</f>
        <v>2.6.5</v>
      </c>
      <c r="E468" s="114" t="s">
        <v>427</v>
      </c>
      <c r="F468" s="12" t="s">
        <v>125</v>
      </c>
      <c r="G468" s="19"/>
      <c r="H468" s="28"/>
      <c r="I468" s="28"/>
      <c r="J468" s="28"/>
      <c r="K468" s="28"/>
      <c r="L468" s="28"/>
      <c r="M468" s="28"/>
      <c r="N468" s="28"/>
      <c r="O468" s="99"/>
    </row>
    <row r="469" spans="1:15" ht="30">
      <c r="A469" s="125"/>
      <c r="B469" s="127"/>
      <c r="C469" s="125"/>
      <c r="D469" s="115"/>
      <c r="E469" s="115"/>
      <c r="F469" s="11" t="s">
        <v>651</v>
      </c>
      <c r="G469" s="20" t="s">
        <v>652</v>
      </c>
      <c r="H469" s="29" t="str">
        <f>VLOOKUP(G469,'insumos terrapl'!$C$3:$K$47,2,0)</f>
        <v>2Q  66  10  02  00  00  00</v>
      </c>
      <c r="I469" s="29" t="str">
        <f>VLOOKUP(G469,'insumos terrapl'!$C$3:$K$47,3,0)</f>
        <v>2Q</v>
      </c>
      <c r="J469" s="29">
        <f>VLOOKUP(G469,'insumos terrapl'!$C$3:$K$47,4,0)</f>
        <v>66</v>
      </c>
      <c r="K469" s="29" t="str">
        <f>VLOOKUP(G469,'insumos terrapl'!$C$3:$K$47,5,0)</f>
        <v>10</v>
      </c>
      <c r="L469" s="29" t="str">
        <f>VLOOKUP(G469,'insumos terrapl'!$C$3:$K$47,6,0)</f>
        <v>02</v>
      </c>
      <c r="M469" s="29" t="str">
        <f>VLOOKUP(G469,'insumos terrapl'!$C$3:$K$47,7,0)</f>
        <v>00</v>
      </c>
      <c r="N469" s="29" t="str">
        <f>VLOOKUP(G469,'insumos terrapl'!$C$3:$K$47,8,0)</f>
        <v>00</v>
      </c>
      <c r="O469" s="97" t="str">
        <f>VLOOKUP(G469,'insumos terrapl'!$C$3:$K$47,9,0)</f>
        <v>00</v>
      </c>
    </row>
    <row r="470" spans="1:15" ht="30">
      <c r="A470" s="125"/>
      <c r="B470" s="127"/>
      <c r="C470" s="125"/>
      <c r="D470" s="115"/>
      <c r="E470" s="115"/>
      <c r="F470" s="11" t="s">
        <v>653</v>
      </c>
      <c r="G470" s="20" t="s">
        <v>654</v>
      </c>
      <c r="H470" s="29" t="str">
        <f>VLOOKUP(G470,'insumos terrapl'!$C$3:$K$47,2,0)</f>
        <v>2Q  62  10  06  00  00  00</v>
      </c>
      <c r="I470" s="29" t="str">
        <f>VLOOKUP(G470,'insumos terrapl'!$C$3:$K$47,3,0)</f>
        <v>2Q</v>
      </c>
      <c r="J470" s="29">
        <f>VLOOKUP(G470,'insumos terrapl'!$C$3:$K$47,4,0)</f>
        <v>62</v>
      </c>
      <c r="K470" s="29" t="str">
        <f>VLOOKUP(G470,'insumos terrapl'!$C$3:$K$47,5,0)</f>
        <v>10</v>
      </c>
      <c r="L470" s="29" t="str">
        <f>VLOOKUP(G470,'insumos terrapl'!$C$3:$K$47,6,0)</f>
        <v>06</v>
      </c>
      <c r="M470" s="29" t="str">
        <f>VLOOKUP(G470,'insumos terrapl'!$C$3:$K$47,7,0)</f>
        <v>00</v>
      </c>
      <c r="N470" s="29" t="str">
        <f>VLOOKUP(G470,'insumos terrapl'!$C$3:$K$47,8,0)</f>
        <v>00</v>
      </c>
      <c r="O470" s="97" t="str">
        <f>VLOOKUP(G470,'insumos terrapl'!$C$3:$K$47,9,0)</f>
        <v>00</v>
      </c>
    </row>
    <row r="471" spans="1:15">
      <c r="A471" s="125"/>
      <c r="B471" s="127"/>
      <c r="C471" s="125"/>
      <c r="D471" s="115"/>
      <c r="E471" s="115"/>
      <c r="F471" s="11" t="s">
        <v>605</v>
      </c>
      <c r="G471" s="20" t="s">
        <v>606</v>
      </c>
      <c r="H471" s="29" t="str">
        <f>VLOOKUP(G471,'insumos terrapl'!$C$3:$K$47,2,0)</f>
        <v>2Q  62  30  02  14  00  00</v>
      </c>
      <c r="I471" s="29" t="str">
        <f>VLOOKUP(G471,'insumos terrapl'!$C$3:$K$47,3,0)</f>
        <v>2Q</v>
      </c>
      <c r="J471" s="29">
        <f>VLOOKUP(G471,'insumos terrapl'!$C$3:$K$47,4,0)</f>
        <v>62</v>
      </c>
      <c r="K471" s="29">
        <f>VLOOKUP(G471,'insumos terrapl'!$C$3:$K$47,5,0)</f>
        <v>30</v>
      </c>
      <c r="L471" s="29" t="str">
        <f>VLOOKUP(G471,'insumos terrapl'!$C$3:$K$47,6,0)</f>
        <v>02</v>
      </c>
      <c r="M471" s="29" t="str">
        <f>VLOOKUP(G471,'insumos terrapl'!$C$3:$K$47,7,0)</f>
        <v>14</v>
      </c>
      <c r="N471" s="29" t="str">
        <f>VLOOKUP(G471,'insumos terrapl'!$C$3:$K$47,8,0)</f>
        <v>00</v>
      </c>
      <c r="O471" s="97" t="str">
        <f>VLOOKUP(G471,'insumos terrapl'!$C$3:$K$47,9,0)</f>
        <v>00</v>
      </c>
    </row>
    <row r="472" spans="1:15" ht="30">
      <c r="A472" s="125"/>
      <c r="B472" s="127"/>
      <c r="C472" s="125"/>
      <c r="D472" s="115"/>
      <c r="E472" s="115"/>
      <c r="F472" s="11" t="s">
        <v>657</v>
      </c>
      <c r="G472" s="20" t="s">
        <v>658</v>
      </c>
      <c r="H472" s="29" t="str">
        <f>VLOOKUP(G472,'insumos terrapl'!$C$3:$K$47,2,0)</f>
        <v>2Q  62  30  02  10  00  00</v>
      </c>
      <c r="I472" s="29" t="str">
        <f>VLOOKUP(G472,'insumos terrapl'!$C$3:$K$47,3,0)</f>
        <v>2Q</v>
      </c>
      <c r="J472" s="29">
        <f>VLOOKUP(G472,'insumos terrapl'!$C$3:$K$47,4,0)</f>
        <v>62</v>
      </c>
      <c r="K472" s="29" t="str">
        <f>VLOOKUP(G472,'insumos terrapl'!$C$3:$K$47,5,0)</f>
        <v>30</v>
      </c>
      <c r="L472" s="29" t="str">
        <f>VLOOKUP(G472,'insumos terrapl'!$C$3:$K$47,6,0)</f>
        <v>02</v>
      </c>
      <c r="M472" s="29" t="str">
        <f>VLOOKUP(G472,'insumos terrapl'!$C$3:$K$47,7,0)</f>
        <v>10</v>
      </c>
      <c r="N472" s="29" t="str">
        <f>VLOOKUP(G472,'insumos terrapl'!$C$3:$K$47,8,0)</f>
        <v>00</v>
      </c>
      <c r="O472" s="97" t="str">
        <f>VLOOKUP(G472,'insumos terrapl'!$C$3:$K$47,9,0)</f>
        <v>00</v>
      </c>
    </row>
    <row r="473" spans="1:15">
      <c r="A473" s="125"/>
      <c r="B473" s="127"/>
      <c r="C473" s="125"/>
      <c r="D473" s="115"/>
      <c r="E473" s="115"/>
      <c r="F473" s="11" t="s">
        <v>588</v>
      </c>
      <c r="G473" s="20" t="s">
        <v>589</v>
      </c>
      <c r="H473" s="29" t="str">
        <f>VLOOKUP(G473,'insumos terrapl'!$C$3:$K$47,2,0)</f>
        <v>2N  20  14  08  00  00  00</v>
      </c>
      <c r="I473" s="29" t="str">
        <f>VLOOKUP(G473,'insumos terrapl'!$C$3:$K$47,3,0)</f>
        <v>2N</v>
      </c>
      <c r="J473" s="29">
        <f>VLOOKUP(G473,'insumos terrapl'!$C$3:$K$47,4,0)</f>
        <v>20</v>
      </c>
      <c r="K473" s="29">
        <f>VLOOKUP(G473,'insumos terrapl'!$C$3:$K$47,5,0)</f>
        <v>14</v>
      </c>
      <c r="L473" s="29" t="str">
        <f>VLOOKUP(G473,'insumos terrapl'!$C$3:$K$47,6,0)</f>
        <v>08</v>
      </c>
      <c r="M473" s="29" t="str">
        <f>VLOOKUP(G473,'insumos terrapl'!$C$3:$K$47,7,0)</f>
        <v>00</v>
      </c>
      <c r="N473" s="29" t="str">
        <f>VLOOKUP(G473,'insumos terrapl'!$C$3:$K$47,8,0)</f>
        <v>00</v>
      </c>
      <c r="O473" s="97" t="str">
        <f>VLOOKUP(G473,'insumos terrapl'!$C$3:$K$47,9,0)</f>
        <v>00</v>
      </c>
    </row>
    <row r="474" spans="1:15">
      <c r="A474" s="125"/>
      <c r="B474" s="127"/>
      <c r="C474" s="132"/>
      <c r="D474" s="116"/>
      <c r="E474" s="116"/>
      <c r="F474" s="13"/>
      <c r="G474" s="21"/>
      <c r="H474" s="31"/>
      <c r="I474" s="31"/>
      <c r="J474" s="31"/>
      <c r="K474" s="31"/>
      <c r="L474" s="31"/>
      <c r="M474" s="31"/>
      <c r="N474" s="31"/>
      <c r="O474" s="98"/>
    </row>
    <row r="475" spans="1:15">
      <c r="A475" s="125"/>
      <c r="B475" s="127"/>
      <c r="C475" s="124" t="s">
        <v>126</v>
      </c>
      <c r="D475" s="114" t="str">
        <f>$A$419</f>
        <v>2.6.5</v>
      </c>
      <c r="E475" s="115" t="s">
        <v>429</v>
      </c>
      <c r="F475" s="11" t="s">
        <v>126</v>
      </c>
      <c r="G475" s="20"/>
      <c r="H475" s="29"/>
      <c r="I475" s="29"/>
      <c r="J475" s="29"/>
      <c r="K475" s="29"/>
      <c r="L475" s="29"/>
      <c r="M475" s="29"/>
      <c r="N475" s="29"/>
      <c r="O475" s="97"/>
    </row>
    <row r="476" spans="1:15" ht="30">
      <c r="A476" s="125"/>
      <c r="B476" s="127"/>
      <c r="C476" s="125"/>
      <c r="D476" s="115"/>
      <c r="E476" s="115"/>
      <c r="F476" s="11" t="s">
        <v>651</v>
      </c>
      <c r="G476" s="20" t="s">
        <v>652</v>
      </c>
      <c r="H476" s="29" t="str">
        <f>VLOOKUP(G476,'insumos terrapl'!$C$3:$K$47,2,0)</f>
        <v>2Q  66  10  02  00  00  00</v>
      </c>
      <c r="I476" s="29" t="str">
        <f>VLOOKUP(G476,'insumos terrapl'!$C$3:$K$47,3,0)</f>
        <v>2Q</v>
      </c>
      <c r="J476" s="29">
        <f>VLOOKUP(G476,'insumos terrapl'!$C$3:$K$47,4,0)</f>
        <v>66</v>
      </c>
      <c r="K476" s="29" t="str">
        <f>VLOOKUP(G476,'insumos terrapl'!$C$3:$K$47,5,0)</f>
        <v>10</v>
      </c>
      <c r="L476" s="29" t="str">
        <f>VLOOKUP(G476,'insumos terrapl'!$C$3:$K$47,6,0)</f>
        <v>02</v>
      </c>
      <c r="M476" s="29" t="str">
        <f>VLOOKUP(G476,'insumos terrapl'!$C$3:$K$47,7,0)</f>
        <v>00</v>
      </c>
      <c r="N476" s="29" t="str">
        <f>VLOOKUP(G476,'insumos terrapl'!$C$3:$K$47,8,0)</f>
        <v>00</v>
      </c>
      <c r="O476" s="97" t="str">
        <f>VLOOKUP(G476,'insumos terrapl'!$C$3:$K$47,9,0)</f>
        <v>00</v>
      </c>
    </row>
    <row r="477" spans="1:15" ht="30">
      <c r="A477" s="125"/>
      <c r="B477" s="127"/>
      <c r="C477" s="125"/>
      <c r="D477" s="115"/>
      <c r="E477" s="115"/>
      <c r="F477" s="11" t="s">
        <v>653</v>
      </c>
      <c r="G477" s="20" t="s">
        <v>654</v>
      </c>
      <c r="H477" s="29" t="str">
        <f>VLOOKUP(G477,'insumos terrapl'!$C$3:$K$47,2,0)</f>
        <v>2Q  62  10  06  00  00  00</v>
      </c>
      <c r="I477" s="29" t="str">
        <f>VLOOKUP(G477,'insumos terrapl'!$C$3:$K$47,3,0)</f>
        <v>2Q</v>
      </c>
      <c r="J477" s="29">
        <f>VLOOKUP(G477,'insumos terrapl'!$C$3:$K$47,4,0)</f>
        <v>62</v>
      </c>
      <c r="K477" s="29" t="str">
        <f>VLOOKUP(G477,'insumos terrapl'!$C$3:$K$47,5,0)</f>
        <v>10</v>
      </c>
      <c r="L477" s="29" t="str">
        <f>VLOOKUP(G477,'insumos terrapl'!$C$3:$K$47,6,0)</f>
        <v>06</v>
      </c>
      <c r="M477" s="29" t="str">
        <f>VLOOKUP(G477,'insumos terrapl'!$C$3:$K$47,7,0)</f>
        <v>00</v>
      </c>
      <c r="N477" s="29" t="str">
        <f>VLOOKUP(G477,'insumos terrapl'!$C$3:$K$47,8,0)</f>
        <v>00</v>
      </c>
      <c r="O477" s="97" t="str">
        <f>VLOOKUP(G477,'insumos terrapl'!$C$3:$K$47,9,0)</f>
        <v>00</v>
      </c>
    </row>
    <row r="478" spans="1:15">
      <c r="A478" s="125"/>
      <c r="B478" s="127"/>
      <c r="C478" s="125"/>
      <c r="D478" s="115"/>
      <c r="E478" s="115"/>
      <c r="F478" s="11" t="s">
        <v>605</v>
      </c>
      <c r="G478" s="20" t="s">
        <v>606</v>
      </c>
      <c r="H478" s="29" t="str">
        <f>VLOOKUP(G478,'insumos terrapl'!$C$3:$K$47,2,0)</f>
        <v>2Q  62  30  02  14  00  00</v>
      </c>
      <c r="I478" s="29" t="str">
        <f>VLOOKUP(G478,'insumos terrapl'!$C$3:$K$47,3,0)</f>
        <v>2Q</v>
      </c>
      <c r="J478" s="29">
        <f>VLOOKUP(G478,'insumos terrapl'!$C$3:$K$47,4,0)</f>
        <v>62</v>
      </c>
      <c r="K478" s="29">
        <f>VLOOKUP(G478,'insumos terrapl'!$C$3:$K$47,5,0)</f>
        <v>30</v>
      </c>
      <c r="L478" s="29" t="str">
        <f>VLOOKUP(G478,'insumos terrapl'!$C$3:$K$47,6,0)</f>
        <v>02</v>
      </c>
      <c r="M478" s="29" t="str">
        <f>VLOOKUP(G478,'insumos terrapl'!$C$3:$K$47,7,0)</f>
        <v>14</v>
      </c>
      <c r="N478" s="29" t="str">
        <f>VLOOKUP(G478,'insumos terrapl'!$C$3:$K$47,8,0)</f>
        <v>00</v>
      </c>
      <c r="O478" s="97" t="str">
        <f>VLOOKUP(G478,'insumos terrapl'!$C$3:$K$47,9,0)</f>
        <v>00</v>
      </c>
    </row>
    <row r="479" spans="1:15" ht="30">
      <c r="A479" s="125"/>
      <c r="B479" s="127"/>
      <c r="C479" s="125"/>
      <c r="D479" s="115"/>
      <c r="E479" s="115"/>
      <c r="F479" s="11" t="s">
        <v>657</v>
      </c>
      <c r="G479" s="20" t="s">
        <v>658</v>
      </c>
      <c r="H479" s="29" t="str">
        <f>VLOOKUP(G479,'insumos terrapl'!$C$3:$K$47,2,0)</f>
        <v>2Q  62  30  02  10  00  00</v>
      </c>
      <c r="I479" s="29" t="str">
        <f>VLOOKUP(G479,'insumos terrapl'!$C$3:$K$47,3,0)</f>
        <v>2Q</v>
      </c>
      <c r="J479" s="29">
        <f>VLOOKUP(G479,'insumos terrapl'!$C$3:$K$47,4,0)</f>
        <v>62</v>
      </c>
      <c r="K479" s="29" t="str">
        <f>VLOOKUP(G479,'insumos terrapl'!$C$3:$K$47,5,0)</f>
        <v>30</v>
      </c>
      <c r="L479" s="29" t="str">
        <f>VLOOKUP(G479,'insumos terrapl'!$C$3:$K$47,6,0)</f>
        <v>02</v>
      </c>
      <c r="M479" s="29" t="str">
        <f>VLOOKUP(G479,'insumos terrapl'!$C$3:$K$47,7,0)</f>
        <v>10</v>
      </c>
      <c r="N479" s="29" t="str">
        <f>VLOOKUP(G479,'insumos terrapl'!$C$3:$K$47,8,0)</f>
        <v>00</v>
      </c>
      <c r="O479" s="97" t="str">
        <f>VLOOKUP(G479,'insumos terrapl'!$C$3:$K$47,9,0)</f>
        <v>00</v>
      </c>
    </row>
    <row r="480" spans="1:15">
      <c r="A480" s="125"/>
      <c r="B480" s="127"/>
      <c r="C480" s="125"/>
      <c r="D480" s="115"/>
      <c r="E480" s="115"/>
      <c r="F480" s="11" t="s">
        <v>588</v>
      </c>
      <c r="G480" s="20" t="s">
        <v>589</v>
      </c>
      <c r="H480" s="29" t="str">
        <f>VLOOKUP(G480,'insumos terrapl'!$C$3:$K$47,2,0)</f>
        <v>2N  20  14  08  00  00  00</v>
      </c>
      <c r="I480" s="29" t="str">
        <f>VLOOKUP(G480,'insumos terrapl'!$C$3:$K$47,3,0)</f>
        <v>2N</v>
      </c>
      <c r="J480" s="29">
        <f>VLOOKUP(G480,'insumos terrapl'!$C$3:$K$47,4,0)</f>
        <v>20</v>
      </c>
      <c r="K480" s="29">
        <f>VLOOKUP(G480,'insumos terrapl'!$C$3:$K$47,5,0)</f>
        <v>14</v>
      </c>
      <c r="L480" s="29" t="str">
        <f>VLOOKUP(G480,'insumos terrapl'!$C$3:$K$47,6,0)</f>
        <v>08</v>
      </c>
      <c r="M480" s="29" t="str">
        <f>VLOOKUP(G480,'insumos terrapl'!$C$3:$K$47,7,0)</f>
        <v>00</v>
      </c>
      <c r="N480" s="29" t="str">
        <f>VLOOKUP(G480,'insumos terrapl'!$C$3:$K$47,8,0)</f>
        <v>00</v>
      </c>
      <c r="O480" s="97" t="str">
        <f>VLOOKUP(G480,'insumos terrapl'!$C$3:$K$47,9,0)</f>
        <v>00</v>
      </c>
    </row>
    <row r="481" spans="1:15">
      <c r="A481" s="125"/>
      <c r="B481" s="127"/>
      <c r="C481" s="132"/>
      <c r="D481" s="116"/>
      <c r="E481" s="115"/>
      <c r="F481" s="10"/>
      <c r="G481" s="20"/>
      <c r="H481" s="29"/>
      <c r="I481" s="29"/>
      <c r="J481" s="29"/>
      <c r="K481" s="29"/>
      <c r="L481" s="29"/>
      <c r="M481" s="29"/>
      <c r="N481" s="29"/>
      <c r="O481" s="97"/>
    </row>
    <row r="482" spans="1:15">
      <c r="A482" s="125"/>
      <c r="B482" s="127"/>
      <c r="C482" s="124" t="s">
        <v>127</v>
      </c>
      <c r="D482" s="114" t="str">
        <f>$A$419</f>
        <v>2.6.5</v>
      </c>
      <c r="E482" s="114" t="s">
        <v>431</v>
      </c>
      <c r="F482" s="12" t="s">
        <v>127</v>
      </c>
      <c r="G482" s="19"/>
      <c r="H482" s="28"/>
      <c r="I482" s="28"/>
      <c r="J482" s="28"/>
      <c r="K482" s="28"/>
      <c r="L482" s="28"/>
      <c r="M482" s="28"/>
      <c r="N482" s="28"/>
      <c r="O482" s="99"/>
    </row>
    <row r="483" spans="1:15" ht="30">
      <c r="A483" s="125"/>
      <c r="B483" s="127"/>
      <c r="C483" s="125"/>
      <c r="D483" s="115"/>
      <c r="E483" s="115"/>
      <c r="F483" s="11" t="s">
        <v>651</v>
      </c>
      <c r="G483" s="20" t="s">
        <v>652</v>
      </c>
      <c r="H483" s="29" t="str">
        <f>VLOOKUP(G483,'insumos terrapl'!$C$3:$K$47,2,0)</f>
        <v>2Q  66  10  02  00  00  00</v>
      </c>
      <c r="I483" s="29" t="str">
        <f>VLOOKUP(G483,'insumos terrapl'!$C$3:$K$47,3,0)</f>
        <v>2Q</v>
      </c>
      <c r="J483" s="29">
        <f>VLOOKUP(G483,'insumos terrapl'!$C$3:$K$47,4,0)</f>
        <v>66</v>
      </c>
      <c r="K483" s="29" t="str">
        <f>VLOOKUP(G483,'insumos terrapl'!$C$3:$K$47,5,0)</f>
        <v>10</v>
      </c>
      <c r="L483" s="29" t="str">
        <f>VLOOKUP(G483,'insumos terrapl'!$C$3:$K$47,6,0)</f>
        <v>02</v>
      </c>
      <c r="M483" s="29" t="str">
        <f>VLOOKUP(G483,'insumos terrapl'!$C$3:$K$47,7,0)</f>
        <v>00</v>
      </c>
      <c r="N483" s="29" t="str">
        <f>VLOOKUP(G483,'insumos terrapl'!$C$3:$K$47,8,0)</f>
        <v>00</v>
      </c>
      <c r="O483" s="97" t="str">
        <f>VLOOKUP(G483,'insumos terrapl'!$C$3:$K$47,9,0)</f>
        <v>00</v>
      </c>
    </row>
    <row r="484" spans="1:15" ht="30">
      <c r="A484" s="125"/>
      <c r="B484" s="127"/>
      <c r="C484" s="125"/>
      <c r="D484" s="115"/>
      <c r="E484" s="115"/>
      <c r="F484" s="11" t="s">
        <v>653</v>
      </c>
      <c r="G484" s="20" t="s">
        <v>654</v>
      </c>
      <c r="H484" s="29" t="str">
        <f>VLOOKUP(G484,'insumos terrapl'!$C$3:$K$47,2,0)</f>
        <v>2Q  62  10  06  00  00  00</v>
      </c>
      <c r="I484" s="29" t="str">
        <f>VLOOKUP(G484,'insumos terrapl'!$C$3:$K$47,3,0)</f>
        <v>2Q</v>
      </c>
      <c r="J484" s="29">
        <f>VLOOKUP(G484,'insumos terrapl'!$C$3:$K$47,4,0)</f>
        <v>62</v>
      </c>
      <c r="K484" s="29" t="str">
        <f>VLOOKUP(G484,'insumos terrapl'!$C$3:$K$47,5,0)</f>
        <v>10</v>
      </c>
      <c r="L484" s="29" t="str">
        <f>VLOOKUP(G484,'insumos terrapl'!$C$3:$K$47,6,0)</f>
        <v>06</v>
      </c>
      <c r="M484" s="29" t="str">
        <f>VLOOKUP(G484,'insumos terrapl'!$C$3:$K$47,7,0)</f>
        <v>00</v>
      </c>
      <c r="N484" s="29" t="str">
        <f>VLOOKUP(G484,'insumos terrapl'!$C$3:$K$47,8,0)</f>
        <v>00</v>
      </c>
      <c r="O484" s="97" t="str">
        <f>VLOOKUP(G484,'insumos terrapl'!$C$3:$K$47,9,0)</f>
        <v>00</v>
      </c>
    </row>
    <row r="485" spans="1:15">
      <c r="A485" s="125"/>
      <c r="B485" s="127"/>
      <c r="C485" s="125"/>
      <c r="D485" s="115"/>
      <c r="E485" s="115"/>
      <c r="F485" s="11" t="s">
        <v>605</v>
      </c>
      <c r="G485" s="20" t="s">
        <v>606</v>
      </c>
      <c r="H485" s="29" t="str">
        <f>VLOOKUP(G485,'insumos terrapl'!$C$3:$K$47,2,0)</f>
        <v>2Q  62  30  02  14  00  00</v>
      </c>
      <c r="I485" s="29" t="str">
        <f>VLOOKUP(G485,'insumos terrapl'!$C$3:$K$47,3,0)</f>
        <v>2Q</v>
      </c>
      <c r="J485" s="29">
        <f>VLOOKUP(G485,'insumos terrapl'!$C$3:$K$47,4,0)</f>
        <v>62</v>
      </c>
      <c r="K485" s="29">
        <f>VLOOKUP(G485,'insumos terrapl'!$C$3:$K$47,5,0)</f>
        <v>30</v>
      </c>
      <c r="L485" s="29" t="str">
        <f>VLOOKUP(G485,'insumos terrapl'!$C$3:$K$47,6,0)</f>
        <v>02</v>
      </c>
      <c r="M485" s="29" t="str">
        <f>VLOOKUP(G485,'insumos terrapl'!$C$3:$K$47,7,0)</f>
        <v>14</v>
      </c>
      <c r="N485" s="29" t="str">
        <f>VLOOKUP(G485,'insumos terrapl'!$C$3:$K$47,8,0)</f>
        <v>00</v>
      </c>
      <c r="O485" s="97" t="str">
        <f>VLOOKUP(G485,'insumos terrapl'!$C$3:$K$47,9,0)</f>
        <v>00</v>
      </c>
    </row>
    <row r="486" spans="1:15" ht="30">
      <c r="A486" s="125"/>
      <c r="B486" s="127"/>
      <c r="C486" s="125"/>
      <c r="D486" s="115"/>
      <c r="E486" s="115"/>
      <c r="F486" s="11" t="s">
        <v>657</v>
      </c>
      <c r="G486" s="20" t="s">
        <v>658</v>
      </c>
      <c r="H486" s="29" t="str">
        <f>VLOOKUP(G486,'insumos terrapl'!$C$3:$K$47,2,0)</f>
        <v>2Q  62  30  02  10  00  00</v>
      </c>
      <c r="I486" s="29" t="str">
        <f>VLOOKUP(G486,'insumos terrapl'!$C$3:$K$47,3,0)</f>
        <v>2Q</v>
      </c>
      <c r="J486" s="29">
        <f>VLOOKUP(G486,'insumos terrapl'!$C$3:$K$47,4,0)</f>
        <v>62</v>
      </c>
      <c r="K486" s="29" t="str">
        <f>VLOOKUP(G486,'insumos terrapl'!$C$3:$K$47,5,0)</f>
        <v>30</v>
      </c>
      <c r="L486" s="29" t="str">
        <f>VLOOKUP(G486,'insumos terrapl'!$C$3:$K$47,6,0)</f>
        <v>02</v>
      </c>
      <c r="M486" s="29" t="str">
        <f>VLOOKUP(G486,'insumos terrapl'!$C$3:$K$47,7,0)</f>
        <v>10</v>
      </c>
      <c r="N486" s="29" t="str">
        <f>VLOOKUP(G486,'insumos terrapl'!$C$3:$K$47,8,0)</f>
        <v>00</v>
      </c>
      <c r="O486" s="97" t="str">
        <f>VLOOKUP(G486,'insumos terrapl'!$C$3:$K$47,9,0)</f>
        <v>00</v>
      </c>
    </row>
    <row r="487" spans="1:15">
      <c r="A487" s="125"/>
      <c r="B487" s="127"/>
      <c r="C487" s="125"/>
      <c r="D487" s="115"/>
      <c r="E487" s="115"/>
      <c r="F487" s="11" t="s">
        <v>588</v>
      </c>
      <c r="G487" s="20" t="s">
        <v>589</v>
      </c>
      <c r="H487" s="29" t="str">
        <f>VLOOKUP(G487,'insumos terrapl'!$C$3:$K$47,2,0)</f>
        <v>2N  20  14  08  00  00  00</v>
      </c>
      <c r="I487" s="29" t="str">
        <f>VLOOKUP(G487,'insumos terrapl'!$C$3:$K$47,3,0)</f>
        <v>2N</v>
      </c>
      <c r="J487" s="29">
        <f>VLOOKUP(G487,'insumos terrapl'!$C$3:$K$47,4,0)</f>
        <v>20</v>
      </c>
      <c r="K487" s="29">
        <f>VLOOKUP(G487,'insumos terrapl'!$C$3:$K$47,5,0)</f>
        <v>14</v>
      </c>
      <c r="L487" s="29" t="str">
        <f>VLOOKUP(G487,'insumos terrapl'!$C$3:$K$47,6,0)</f>
        <v>08</v>
      </c>
      <c r="M487" s="29" t="str">
        <f>VLOOKUP(G487,'insumos terrapl'!$C$3:$K$47,7,0)</f>
        <v>00</v>
      </c>
      <c r="N487" s="29" t="str">
        <f>VLOOKUP(G487,'insumos terrapl'!$C$3:$K$47,8,0)</f>
        <v>00</v>
      </c>
      <c r="O487" s="97" t="str">
        <f>VLOOKUP(G487,'insumos terrapl'!$C$3:$K$47,9,0)</f>
        <v>00</v>
      </c>
    </row>
    <row r="488" spans="1:15">
      <c r="A488" s="125"/>
      <c r="B488" s="127"/>
      <c r="C488" s="132"/>
      <c r="D488" s="116"/>
      <c r="E488" s="116"/>
      <c r="F488" s="13"/>
      <c r="G488" s="21"/>
      <c r="H488" s="31"/>
      <c r="I488" s="31"/>
      <c r="J488" s="31"/>
      <c r="K488" s="31"/>
      <c r="L488" s="31"/>
      <c r="M488" s="31"/>
      <c r="N488" s="31"/>
      <c r="O488" s="98"/>
    </row>
    <row r="489" spans="1:15">
      <c r="A489" s="125"/>
      <c r="B489" s="127"/>
      <c r="C489" s="124" t="s">
        <v>128</v>
      </c>
      <c r="D489" s="114" t="str">
        <f>$A$419</f>
        <v>2.6.5</v>
      </c>
      <c r="E489" s="114" t="s">
        <v>433</v>
      </c>
      <c r="F489" s="12" t="s">
        <v>128</v>
      </c>
      <c r="G489" s="19"/>
      <c r="H489" s="28"/>
      <c r="I489" s="28"/>
      <c r="J489" s="28"/>
      <c r="K489" s="28"/>
      <c r="L489" s="28"/>
      <c r="M489" s="28"/>
      <c r="N489" s="28"/>
      <c r="O489" s="99"/>
    </row>
    <row r="490" spans="1:15" ht="30">
      <c r="A490" s="125"/>
      <c r="B490" s="127"/>
      <c r="C490" s="125"/>
      <c r="D490" s="115"/>
      <c r="E490" s="115"/>
      <c r="F490" s="11" t="s">
        <v>651</v>
      </c>
      <c r="G490" s="20" t="s">
        <v>652</v>
      </c>
      <c r="H490" s="29" t="str">
        <f>VLOOKUP(G490,'insumos terrapl'!$C$3:$K$47,2,0)</f>
        <v>2Q  66  10  02  00  00  00</v>
      </c>
      <c r="I490" s="29" t="str">
        <f>VLOOKUP(G490,'insumos terrapl'!$C$3:$K$47,3,0)</f>
        <v>2Q</v>
      </c>
      <c r="J490" s="29">
        <f>VLOOKUP(G490,'insumos terrapl'!$C$3:$K$47,4,0)</f>
        <v>66</v>
      </c>
      <c r="K490" s="29" t="str">
        <f>VLOOKUP(G490,'insumos terrapl'!$C$3:$K$47,5,0)</f>
        <v>10</v>
      </c>
      <c r="L490" s="29" t="str">
        <f>VLOOKUP(G490,'insumos terrapl'!$C$3:$K$47,6,0)</f>
        <v>02</v>
      </c>
      <c r="M490" s="29" t="str">
        <f>VLOOKUP(G490,'insumos terrapl'!$C$3:$K$47,7,0)</f>
        <v>00</v>
      </c>
      <c r="N490" s="29" t="str">
        <f>VLOOKUP(G490,'insumos terrapl'!$C$3:$K$47,8,0)</f>
        <v>00</v>
      </c>
      <c r="O490" s="97" t="str">
        <f>VLOOKUP(G490,'insumos terrapl'!$C$3:$K$47,9,0)</f>
        <v>00</v>
      </c>
    </row>
    <row r="491" spans="1:15" ht="30">
      <c r="A491" s="125"/>
      <c r="B491" s="127"/>
      <c r="C491" s="125"/>
      <c r="D491" s="115"/>
      <c r="E491" s="115"/>
      <c r="F491" s="11" t="s">
        <v>653</v>
      </c>
      <c r="G491" s="20" t="s">
        <v>654</v>
      </c>
      <c r="H491" s="29" t="str">
        <f>VLOOKUP(G491,'insumos terrapl'!$C$3:$K$47,2,0)</f>
        <v>2Q  62  10  06  00  00  00</v>
      </c>
      <c r="I491" s="29" t="str">
        <f>VLOOKUP(G491,'insumos terrapl'!$C$3:$K$47,3,0)</f>
        <v>2Q</v>
      </c>
      <c r="J491" s="29">
        <f>VLOOKUP(G491,'insumos terrapl'!$C$3:$K$47,4,0)</f>
        <v>62</v>
      </c>
      <c r="K491" s="29" t="str">
        <f>VLOOKUP(G491,'insumos terrapl'!$C$3:$K$47,5,0)</f>
        <v>10</v>
      </c>
      <c r="L491" s="29" t="str">
        <f>VLOOKUP(G491,'insumos terrapl'!$C$3:$K$47,6,0)</f>
        <v>06</v>
      </c>
      <c r="M491" s="29" t="str">
        <f>VLOOKUP(G491,'insumos terrapl'!$C$3:$K$47,7,0)</f>
        <v>00</v>
      </c>
      <c r="N491" s="29" t="str">
        <f>VLOOKUP(G491,'insumos terrapl'!$C$3:$K$47,8,0)</f>
        <v>00</v>
      </c>
      <c r="O491" s="97" t="str">
        <f>VLOOKUP(G491,'insumos terrapl'!$C$3:$K$47,9,0)</f>
        <v>00</v>
      </c>
    </row>
    <row r="492" spans="1:15">
      <c r="A492" s="125"/>
      <c r="B492" s="127"/>
      <c r="C492" s="125"/>
      <c r="D492" s="115"/>
      <c r="E492" s="115"/>
      <c r="F492" s="11" t="s">
        <v>605</v>
      </c>
      <c r="G492" s="20" t="s">
        <v>606</v>
      </c>
      <c r="H492" s="29" t="str">
        <f>VLOOKUP(G492,'insumos terrapl'!$C$3:$K$47,2,0)</f>
        <v>2Q  62  30  02  14  00  00</v>
      </c>
      <c r="I492" s="29" t="str">
        <f>VLOOKUP(G492,'insumos terrapl'!$C$3:$K$47,3,0)</f>
        <v>2Q</v>
      </c>
      <c r="J492" s="29">
        <f>VLOOKUP(G492,'insumos terrapl'!$C$3:$K$47,4,0)</f>
        <v>62</v>
      </c>
      <c r="K492" s="29">
        <f>VLOOKUP(G492,'insumos terrapl'!$C$3:$K$47,5,0)</f>
        <v>30</v>
      </c>
      <c r="L492" s="29" t="str">
        <f>VLOOKUP(G492,'insumos terrapl'!$C$3:$K$47,6,0)</f>
        <v>02</v>
      </c>
      <c r="M492" s="29" t="str">
        <f>VLOOKUP(G492,'insumos terrapl'!$C$3:$K$47,7,0)</f>
        <v>14</v>
      </c>
      <c r="N492" s="29" t="str">
        <f>VLOOKUP(G492,'insumos terrapl'!$C$3:$K$47,8,0)</f>
        <v>00</v>
      </c>
      <c r="O492" s="97" t="str">
        <f>VLOOKUP(G492,'insumos terrapl'!$C$3:$K$47,9,0)</f>
        <v>00</v>
      </c>
    </row>
    <row r="493" spans="1:15" ht="30">
      <c r="A493" s="125"/>
      <c r="B493" s="127"/>
      <c r="C493" s="125"/>
      <c r="D493" s="115"/>
      <c r="E493" s="115"/>
      <c r="F493" s="11" t="s">
        <v>657</v>
      </c>
      <c r="G493" s="20" t="s">
        <v>658</v>
      </c>
      <c r="H493" s="29" t="str">
        <f>VLOOKUP(G493,'insumos terrapl'!$C$3:$K$47,2,0)</f>
        <v>2Q  62  30  02  10  00  00</v>
      </c>
      <c r="I493" s="29" t="str">
        <f>VLOOKUP(G493,'insumos terrapl'!$C$3:$K$47,3,0)</f>
        <v>2Q</v>
      </c>
      <c r="J493" s="29">
        <f>VLOOKUP(G493,'insumos terrapl'!$C$3:$K$47,4,0)</f>
        <v>62</v>
      </c>
      <c r="K493" s="29" t="str">
        <f>VLOOKUP(G493,'insumos terrapl'!$C$3:$K$47,5,0)</f>
        <v>30</v>
      </c>
      <c r="L493" s="29" t="str">
        <f>VLOOKUP(G493,'insumos terrapl'!$C$3:$K$47,6,0)</f>
        <v>02</v>
      </c>
      <c r="M493" s="29" t="str">
        <f>VLOOKUP(G493,'insumos terrapl'!$C$3:$K$47,7,0)</f>
        <v>10</v>
      </c>
      <c r="N493" s="29" t="str">
        <f>VLOOKUP(G493,'insumos terrapl'!$C$3:$K$47,8,0)</f>
        <v>00</v>
      </c>
      <c r="O493" s="97" t="str">
        <f>VLOOKUP(G493,'insumos terrapl'!$C$3:$K$47,9,0)</f>
        <v>00</v>
      </c>
    </row>
    <row r="494" spans="1:15">
      <c r="A494" s="125"/>
      <c r="B494" s="127"/>
      <c r="C494" s="125"/>
      <c r="D494" s="115"/>
      <c r="E494" s="115"/>
      <c r="F494" s="11" t="s">
        <v>588</v>
      </c>
      <c r="G494" s="20" t="s">
        <v>589</v>
      </c>
      <c r="H494" s="29" t="str">
        <f>VLOOKUP(G494,'insumos terrapl'!$C$3:$K$47,2,0)</f>
        <v>2N  20  14  08  00  00  00</v>
      </c>
      <c r="I494" s="29" t="str">
        <f>VLOOKUP(G494,'insumos terrapl'!$C$3:$K$47,3,0)</f>
        <v>2N</v>
      </c>
      <c r="J494" s="29">
        <f>VLOOKUP(G494,'insumos terrapl'!$C$3:$K$47,4,0)</f>
        <v>20</v>
      </c>
      <c r="K494" s="29">
        <f>VLOOKUP(G494,'insumos terrapl'!$C$3:$K$47,5,0)</f>
        <v>14</v>
      </c>
      <c r="L494" s="29" t="str">
        <f>VLOOKUP(G494,'insumos terrapl'!$C$3:$K$47,6,0)</f>
        <v>08</v>
      </c>
      <c r="M494" s="29" t="str">
        <f>VLOOKUP(G494,'insumos terrapl'!$C$3:$K$47,7,0)</f>
        <v>00</v>
      </c>
      <c r="N494" s="29" t="str">
        <f>VLOOKUP(G494,'insumos terrapl'!$C$3:$K$47,8,0)</f>
        <v>00</v>
      </c>
      <c r="O494" s="97" t="str">
        <f>VLOOKUP(G494,'insumos terrapl'!$C$3:$K$47,9,0)</f>
        <v>00</v>
      </c>
    </row>
    <row r="495" spans="1:15">
      <c r="A495" s="125"/>
      <c r="B495" s="127"/>
      <c r="C495" s="132"/>
      <c r="D495" s="116"/>
      <c r="E495" s="116"/>
      <c r="F495" s="13"/>
      <c r="G495" s="21"/>
      <c r="H495" s="31"/>
      <c r="I495" s="31"/>
      <c r="J495" s="31"/>
      <c r="K495" s="31"/>
      <c r="L495" s="31"/>
      <c r="M495" s="31"/>
      <c r="N495" s="31"/>
      <c r="O495" s="98"/>
    </row>
    <row r="496" spans="1:15">
      <c r="A496" s="125"/>
      <c r="B496" s="127"/>
      <c r="C496" s="124" t="s">
        <v>129</v>
      </c>
      <c r="D496" s="114" t="str">
        <f>$A$419</f>
        <v>2.6.5</v>
      </c>
      <c r="E496" s="114" t="s">
        <v>435</v>
      </c>
      <c r="F496" s="12" t="s">
        <v>129</v>
      </c>
      <c r="G496" s="19"/>
      <c r="H496" s="28"/>
      <c r="I496" s="28"/>
      <c r="J496" s="28"/>
      <c r="K496" s="28"/>
      <c r="L496" s="28"/>
      <c r="M496" s="28"/>
      <c r="N496" s="28"/>
      <c r="O496" s="99"/>
    </row>
    <row r="497" spans="1:15" ht="30">
      <c r="A497" s="125"/>
      <c r="B497" s="127"/>
      <c r="C497" s="125"/>
      <c r="D497" s="115"/>
      <c r="E497" s="115"/>
      <c r="F497" s="11" t="s">
        <v>651</v>
      </c>
      <c r="G497" s="20" t="s">
        <v>652</v>
      </c>
      <c r="H497" s="29" t="str">
        <f>VLOOKUP(G497,'insumos terrapl'!$C$3:$K$47,2,0)</f>
        <v>2Q  66  10  02  00  00  00</v>
      </c>
      <c r="I497" s="29" t="str">
        <f>VLOOKUP(G497,'insumos terrapl'!$C$3:$K$47,3,0)</f>
        <v>2Q</v>
      </c>
      <c r="J497" s="29">
        <f>VLOOKUP(G497,'insumos terrapl'!$C$3:$K$47,4,0)</f>
        <v>66</v>
      </c>
      <c r="K497" s="29" t="str">
        <f>VLOOKUP(G497,'insumos terrapl'!$C$3:$K$47,5,0)</f>
        <v>10</v>
      </c>
      <c r="L497" s="29" t="str">
        <f>VLOOKUP(G497,'insumos terrapl'!$C$3:$K$47,6,0)</f>
        <v>02</v>
      </c>
      <c r="M497" s="29" t="str">
        <f>VLOOKUP(G497,'insumos terrapl'!$C$3:$K$47,7,0)</f>
        <v>00</v>
      </c>
      <c r="N497" s="29" t="str">
        <f>VLOOKUP(G497,'insumos terrapl'!$C$3:$K$47,8,0)</f>
        <v>00</v>
      </c>
      <c r="O497" s="97" t="str">
        <f>VLOOKUP(G497,'insumos terrapl'!$C$3:$K$47,9,0)</f>
        <v>00</v>
      </c>
    </row>
    <row r="498" spans="1:15" ht="30">
      <c r="A498" s="125"/>
      <c r="B498" s="127"/>
      <c r="C498" s="125"/>
      <c r="D498" s="115"/>
      <c r="E498" s="115"/>
      <c r="F498" s="11" t="s">
        <v>653</v>
      </c>
      <c r="G498" s="20" t="s">
        <v>654</v>
      </c>
      <c r="H498" s="29" t="str">
        <f>VLOOKUP(G498,'insumos terrapl'!$C$3:$K$47,2,0)</f>
        <v>2Q  62  10  06  00  00  00</v>
      </c>
      <c r="I498" s="29" t="str">
        <f>VLOOKUP(G498,'insumos terrapl'!$C$3:$K$47,3,0)</f>
        <v>2Q</v>
      </c>
      <c r="J498" s="29">
        <f>VLOOKUP(G498,'insumos terrapl'!$C$3:$K$47,4,0)</f>
        <v>62</v>
      </c>
      <c r="K498" s="29" t="str">
        <f>VLOOKUP(G498,'insumos terrapl'!$C$3:$K$47,5,0)</f>
        <v>10</v>
      </c>
      <c r="L498" s="29" t="str">
        <f>VLOOKUP(G498,'insumos terrapl'!$C$3:$K$47,6,0)</f>
        <v>06</v>
      </c>
      <c r="M498" s="29" t="str">
        <f>VLOOKUP(G498,'insumos terrapl'!$C$3:$K$47,7,0)</f>
        <v>00</v>
      </c>
      <c r="N498" s="29" t="str">
        <f>VLOOKUP(G498,'insumos terrapl'!$C$3:$K$47,8,0)</f>
        <v>00</v>
      </c>
      <c r="O498" s="97" t="str">
        <f>VLOOKUP(G498,'insumos terrapl'!$C$3:$K$47,9,0)</f>
        <v>00</v>
      </c>
    </row>
    <row r="499" spans="1:15">
      <c r="A499" s="125"/>
      <c r="B499" s="127"/>
      <c r="C499" s="125"/>
      <c r="D499" s="115"/>
      <c r="E499" s="115"/>
      <c r="F499" s="11" t="s">
        <v>605</v>
      </c>
      <c r="G499" s="20" t="s">
        <v>606</v>
      </c>
      <c r="H499" s="29" t="str">
        <f>VLOOKUP(G499,'insumos terrapl'!$C$3:$K$47,2,0)</f>
        <v>2Q  62  30  02  14  00  00</v>
      </c>
      <c r="I499" s="29" t="str">
        <f>VLOOKUP(G499,'insumos terrapl'!$C$3:$K$47,3,0)</f>
        <v>2Q</v>
      </c>
      <c r="J499" s="29">
        <f>VLOOKUP(G499,'insumos terrapl'!$C$3:$K$47,4,0)</f>
        <v>62</v>
      </c>
      <c r="K499" s="29">
        <f>VLOOKUP(G499,'insumos terrapl'!$C$3:$K$47,5,0)</f>
        <v>30</v>
      </c>
      <c r="L499" s="29" t="str">
        <f>VLOOKUP(G499,'insumos terrapl'!$C$3:$K$47,6,0)</f>
        <v>02</v>
      </c>
      <c r="M499" s="29" t="str">
        <f>VLOOKUP(G499,'insumos terrapl'!$C$3:$K$47,7,0)</f>
        <v>14</v>
      </c>
      <c r="N499" s="29" t="str">
        <f>VLOOKUP(G499,'insumos terrapl'!$C$3:$K$47,8,0)</f>
        <v>00</v>
      </c>
      <c r="O499" s="97" t="str">
        <f>VLOOKUP(G499,'insumos terrapl'!$C$3:$K$47,9,0)</f>
        <v>00</v>
      </c>
    </row>
    <row r="500" spans="1:15" ht="30">
      <c r="A500" s="125"/>
      <c r="B500" s="127"/>
      <c r="C500" s="125"/>
      <c r="D500" s="115"/>
      <c r="E500" s="115"/>
      <c r="F500" s="11" t="s">
        <v>657</v>
      </c>
      <c r="G500" s="20" t="s">
        <v>658</v>
      </c>
      <c r="H500" s="29" t="str">
        <f>VLOOKUP(G500,'insumos terrapl'!$C$3:$K$47,2,0)</f>
        <v>2Q  62  30  02  10  00  00</v>
      </c>
      <c r="I500" s="29" t="str">
        <f>VLOOKUP(G500,'insumos terrapl'!$C$3:$K$47,3,0)</f>
        <v>2Q</v>
      </c>
      <c r="J500" s="29">
        <f>VLOOKUP(G500,'insumos terrapl'!$C$3:$K$47,4,0)</f>
        <v>62</v>
      </c>
      <c r="K500" s="29" t="str">
        <f>VLOOKUP(G500,'insumos terrapl'!$C$3:$K$47,5,0)</f>
        <v>30</v>
      </c>
      <c r="L500" s="29" t="str">
        <f>VLOOKUP(G500,'insumos terrapl'!$C$3:$K$47,6,0)</f>
        <v>02</v>
      </c>
      <c r="M500" s="29" t="str">
        <f>VLOOKUP(G500,'insumos terrapl'!$C$3:$K$47,7,0)</f>
        <v>10</v>
      </c>
      <c r="N500" s="29" t="str">
        <f>VLOOKUP(G500,'insumos terrapl'!$C$3:$K$47,8,0)</f>
        <v>00</v>
      </c>
      <c r="O500" s="97" t="str">
        <f>VLOOKUP(G500,'insumos terrapl'!$C$3:$K$47,9,0)</f>
        <v>00</v>
      </c>
    </row>
    <row r="501" spans="1:15">
      <c r="A501" s="125"/>
      <c r="B501" s="127"/>
      <c r="C501" s="125"/>
      <c r="D501" s="115"/>
      <c r="E501" s="115"/>
      <c r="F501" s="11" t="s">
        <v>588</v>
      </c>
      <c r="G501" s="20" t="s">
        <v>589</v>
      </c>
      <c r="H501" s="29" t="str">
        <f>VLOOKUP(G501,'insumos terrapl'!$C$3:$K$47,2,0)</f>
        <v>2N  20  14  08  00  00  00</v>
      </c>
      <c r="I501" s="29" t="str">
        <f>VLOOKUP(G501,'insumos terrapl'!$C$3:$K$47,3,0)</f>
        <v>2N</v>
      </c>
      <c r="J501" s="29">
        <f>VLOOKUP(G501,'insumos terrapl'!$C$3:$K$47,4,0)</f>
        <v>20</v>
      </c>
      <c r="K501" s="29">
        <f>VLOOKUP(G501,'insumos terrapl'!$C$3:$K$47,5,0)</f>
        <v>14</v>
      </c>
      <c r="L501" s="29" t="str">
        <f>VLOOKUP(G501,'insumos terrapl'!$C$3:$K$47,6,0)</f>
        <v>08</v>
      </c>
      <c r="M501" s="29" t="str">
        <f>VLOOKUP(G501,'insumos terrapl'!$C$3:$K$47,7,0)</f>
        <v>00</v>
      </c>
      <c r="N501" s="29" t="str">
        <f>VLOOKUP(G501,'insumos terrapl'!$C$3:$K$47,8,0)</f>
        <v>00</v>
      </c>
      <c r="O501" s="97" t="str">
        <f>VLOOKUP(G501,'insumos terrapl'!$C$3:$K$47,9,0)</f>
        <v>00</v>
      </c>
    </row>
    <row r="502" spans="1:15">
      <c r="A502" s="125"/>
      <c r="B502" s="127"/>
      <c r="C502" s="132"/>
      <c r="D502" s="116"/>
      <c r="E502" s="116"/>
      <c r="F502" s="13"/>
      <c r="G502" s="21"/>
      <c r="H502" s="31"/>
      <c r="I502" s="31"/>
      <c r="J502" s="31"/>
      <c r="K502" s="31"/>
      <c r="L502" s="31"/>
      <c r="M502" s="31"/>
      <c r="N502" s="31"/>
      <c r="O502" s="98"/>
    </row>
    <row r="503" spans="1:15">
      <c r="A503" s="125"/>
      <c r="B503" s="127"/>
      <c r="C503" s="124" t="s">
        <v>130</v>
      </c>
      <c r="D503" s="114" t="str">
        <f>$A$419</f>
        <v>2.6.5</v>
      </c>
      <c r="E503" s="115" t="s">
        <v>437</v>
      </c>
      <c r="F503" s="11" t="s">
        <v>130</v>
      </c>
      <c r="G503" s="20"/>
      <c r="H503" s="29"/>
      <c r="I503" s="29"/>
      <c r="J503" s="29"/>
      <c r="K503" s="29"/>
      <c r="L503" s="29"/>
      <c r="M503" s="29"/>
      <c r="N503" s="29"/>
      <c r="O503" s="97"/>
    </row>
    <row r="504" spans="1:15" ht="30">
      <c r="A504" s="125"/>
      <c r="B504" s="127"/>
      <c r="C504" s="125"/>
      <c r="D504" s="115"/>
      <c r="E504" s="115"/>
      <c r="F504" s="11" t="s">
        <v>651</v>
      </c>
      <c r="G504" s="20" t="s">
        <v>652</v>
      </c>
      <c r="H504" s="29" t="str">
        <f>VLOOKUP(G504,'insumos terrapl'!$C$3:$K$47,2,0)</f>
        <v>2Q  66  10  02  00  00  00</v>
      </c>
      <c r="I504" s="29" t="str">
        <f>VLOOKUP(G504,'insumos terrapl'!$C$3:$K$47,3,0)</f>
        <v>2Q</v>
      </c>
      <c r="J504" s="29">
        <f>VLOOKUP(G504,'insumos terrapl'!$C$3:$K$47,4,0)</f>
        <v>66</v>
      </c>
      <c r="K504" s="29" t="str">
        <f>VLOOKUP(G504,'insumos terrapl'!$C$3:$K$47,5,0)</f>
        <v>10</v>
      </c>
      <c r="L504" s="29" t="str">
        <f>VLOOKUP(G504,'insumos terrapl'!$C$3:$K$47,6,0)</f>
        <v>02</v>
      </c>
      <c r="M504" s="29" t="str">
        <f>VLOOKUP(G504,'insumos terrapl'!$C$3:$K$47,7,0)</f>
        <v>00</v>
      </c>
      <c r="N504" s="29" t="str">
        <f>VLOOKUP(G504,'insumos terrapl'!$C$3:$K$47,8,0)</f>
        <v>00</v>
      </c>
      <c r="O504" s="97" t="str">
        <f>VLOOKUP(G504,'insumos terrapl'!$C$3:$K$47,9,0)</f>
        <v>00</v>
      </c>
    </row>
    <row r="505" spans="1:15" ht="30">
      <c r="A505" s="125"/>
      <c r="B505" s="127"/>
      <c r="C505" s="125"/>
      <c r="D505" s="115"/>
      <c r="E505" s="115"/>
      <c r="F505" s="11" t="s">
        <v>653</v>
      </c>
      <c r="G505" s="20" t="s">
        <v>654</v>
      </c>
      <c r="H505" s="29" t="str">
        <f>VLOOKUP(G505,'insumos terrapl'!$C$3:$K$47,2,0)</f>
        <v>2Q  62  10  06  00  00  00</v>
      </c>
      <c r="I505" s="29" t="str">
        <f>VLOOKUP(G505,'insumos terrapl'!$C$3:$K$47,3,0)</f>
        <v>2Q</v>
      </c>
      <c r="J505" s="29">
        <f>VLOOKUP(G505,'insumos terrapl'!$C$3:$K$47,4,0)</f>
        <v>62</v>
      </c>
      <c r="K505" s="29" t="str">
        <f>VLOOKUP(G505,'insumos terrapl'!$C$3:$K$47,5,0)</f>
        <v>10</v>
      </c>
      <c r="L505" s="29" t="str">
        <f>VLOOKUP(G505,'insumos terrapl'!$C$3:$K$47,6,0)</f>
        <v>06</v>
      </c>
      <c r="M505" s="29" t="str">
        <f>VLOOKUP(G505,'insumos terrapl'!$C$3:$K$47,7,0)</f>
        <v>00</v>
      </c>
      <c r="N505" s="29" t="str">
        <f>VLOOKUP(G505,'insumos terrapl'!$C$3:$K$47,8,0)</f>
        <v>00</v>
      </c>
      <c r="O505" s="97" t="str">
        <f>VLOOKUP(G505,'insumos terrapl'!$C$3:$K$47,9,0)</f>
        <v>00</v>
      </c>
    </row>
    <row r="506" spans="1:15">
      <c r="A506" s="125"/>
      <c r="B506" s="127"/>
      <c r="C506" s="125"/>
      <c r="D506" s="115"/>
      <c r="E506" s="115"/>
      <c r="F506" s="11" t="s">
        <v>605</v>
      </c>
      <c r="G506" s="20" t="s">
        <v>606</v>
      </c>
      <c r="H506" s="29" t="str">
        <f>VLOOKUP(G506,'insumos terrapl'!$C$3:$K$47,2,0)</f>
        <v>2Q  62  30  02  14  00  00</v>
      </c>
      <c r="I506" s="29" t="str">
        <f>VLOOKUP(G506,'insumos terrapl'!$C$3:$K$47,3,0)</f>
        <v>2Q</v>
      </c>
      <c r="J506" s="29">
        <f>VLOOKUP(G506,'insumos terrapl'!$C$3:$K$47,4,0)</f>
        <v>62</v>
      </c>
      <c r="K506" s="29">
        <f>VLOOKUP(G506,'insumos terrapl'!$C$3:$K$47,5,0)</f>
        <v>30</v>
      </c>
      <c r="L506" s="29" t="str">
        <f>VLOOKUP(G506,'insumos terrapl'!$C$3:$K$47,6,0)</f>
        <v>02</v>
      </c>
      <c r="M506" s="29" t="str">
        <f>VLOOKUP(G506,'insumos terrapl'!$C$3:$K$47,7,0)</f>
        <v>14</v>
      </c>
      <c r="N506" s="29" t="str">
        <f>VLOOKUP(G506,'insumos terrapl'!$C$3:$K$47,8,0)</f>
        <v>00</v>
      </c>
      <c r="O506" s="97" t="str">
        <f>VLOOKUP(G506,'insumos terrapl'!$C$3:$K$47,9,0)</f>
        <v>00</v>
      </c>
    </row>
    <row r="507" spans="1:15" ht="30">
      <c r="A507" s="125"/>
      <c r="B507" s="127"/>
      <c r="C507" s="125"/>
      <c r="D507" s="115"/>
      <c r="E507" s="115"/>
      <c r="F507" s="11" t="s">
        <v>657</v>
      </c>
      <c r="G507" s="20" t="s">
        <v>658</v>
      </c>
      <c r="H507" s="29" t="str">
        <f>VLOOKUP(G507,'insumos terrapl'!$C$3:$K$47,2,0)</f>
        <v>2Q  62  30  02  10  00  00</v>
      </c>
      <c r="I507" s="29" t="str">
        <f>VLOOKUP(G507,'insumos terrapl'!$C$3:$K$47,3,0)</f>
        <v>2Q</v>
      </c>
      <c r="J507" s="29">
        <f>VLOOKUP(G507,'insumos terrapl'!$C$3:$K$47,4,0)</f>
        <v>62</v>
      </c>
      <c r="K507" s="29" t="str">
        <f>VLOOKUP(G507,'insumos terrapl'!$C$3:$K$47,5,0)</f>
        <v>30</v>
      </c>
      <c r="L507" s="29" t="str">
        <f>VLOOKUP(G507,'insumos terrapl'!$C$3:$K$47,6,0)</f>
        <v>02</v>
      </c>
      <c r="M507" s="29" t="str">
        <f>VLOOKUP(G507,'insumos terrapl'!$C$3:$K$47,7,0)</f>
        <v>10</v>
      </c>
      <c r="N507" s="29" t="str">
        <f>VLOOKUP(G507,'insumos terrapl'!$C$3:$K$47,8,0)</f>
        <v>00</v>
      </c>
      <c r="O507" s="97" t="str">
        <f>VLOOKUP(G507,'insumos terrapl'!$C$3:$K$47,9,0)</f>
        <v>00</v>
      </c>
    </row>
    <row r="508" spans="1:15">
      <c r="A508" s="125"/>
      <c r="B508" s="127"/>
      <c r="C508" s="125"/>
      <c r="D508" s="115"/>
      <c r="E508" s="115"/>
      <c r="F508" s="11" t="s">
        <v>588</v>
      </c>
      <c r="G508" s="20" t="s">
        <v>589</v>
      </c>
      <c r="H508" s="29" t="str">
        <f>VLOOKUP(G508,'insumos terrapl'!$C$3:$K$47,2,0)</f>
        <v>2N  20  14  08  00  00  00</v>
      </c>
      <c r="I508" s="29" t="str">
        <f>VLOOKUP(G508,'insumos terrapl'!$C$3:$K$47,3,0)</f>
        <v>2N</v>
      </c>
      <c r="J508" s="29">
        <f>VLOOKUP(G508,'insumos terrapl'!$C$3:$K$47,4,0)</f>
        <v>20</v>
      </c>
      <c r="K508" s="29">
        <f>VLOOKUP(G508,'insumos terrapl'!$C$3:$K$47,5,0)</f>
        <v>14</v>
      </c>
      <c r="L508" s="29" t="str">
        <f>VLOOKUP(G508,'insumos terrapl'!$C$3:$K$47,6,0)</f>
        <v>08</v>
      </c>
      <c r="M508" s="29" t="str">
        <f>VLOOKUP(G508,'insumos terrapl'!$C$3:$K$47,7,0)</f>
        <v>00</v>
      </c>
      <c r="N508" s="29" t="str">
        <f>VLOOKUP(G508,'insumos terrapl'!$C$3:$K$47,8,0)</f>
        <v>00</v>
      </c>
      <c r="O508" s="97" t="str">
        <f>VLOOKUP(G508,'insumos terrapl'!$C$3:$K$47,9,0)</f>
        <v>00</v>
      </c>
    </row>
    <row r="509" spans="1:15">
      <c r="A509" s="125"/>
      <c r="B509" s="127"/>
      <c r="C509" s="132"/>
      <c r="D509" s="116"/>
      <c r="E509" s="115"/>
      <c r="F509" s="10"/>
      <c r="G509" s="20"/>
      <c r="H509" s="29"/>
      <c r="I509" s="29"/>
      <c r="J509" s="29"/>
      <c r="K509" s="29"/>
      <c r="L509" s="29"/>
      <c r="M509" s="29"/>
      <c r="N509" s="29"/>
      <c r="O509" s="97"/>
    </row>
    <row r="510" spans="1:15">
      <c r="A510" s="125"/>
      <c r="B510" s="127"/>
      <c r="C510" s="124" t="s">
        <v>131</v>
      </c>
      <c r="D510" s="114" t="str">
        <f>$A$419</f>
        <v>2.6.5</v>
      </c>
      <c r="E510" s="114" t="s">
        <v>439</v>
      </c>
      <c r="F510" s="12" t="s">
        <v>131</v>
      </c>
      <c r="G510" s="19"/>
      <c r="H510" s="28"/>
      <c r="I510" s="28"/>
      <c r="J510" s="28"/>
      <c r="K510" s="28"/>
      <c r="L510" s="28"/>
      <c r="M510" s="28"/>
      <c r="N510" s="28"/>
      <c r="O510" s="99"/>
    </row>
    <row r="511" spans="1:15" ht="30">
      <c r="A511" s="125"/>
      <c r="B511" s="127"/>
      <c r="C511" s="125"/>
      <c r="D511" s="115"/>
      <c r="E511" s="115"/>
      <c r="F511" s="11" t="s">
        <v>651</v>
      </c>
      <c r="G511" s="20" t="s">
        <v>652</v>
      </c>
      <c r="H511" s="29" t="str">
        <f>VLOOKUP(G511,'insumos terrapl'!$C$3:$K$47,2,0)</f>
        <v>2Q  66  10  02  00  00  00</v>
      </c>
      <c r="I511" s="29" t="str">
        <f>VLOOKUP(G511,'insumos terrapl'!$C$3:$K$47,3,0)</f>
        <v>2Q</v>
      </c>
      <c r="J511" s="29">
        <f>VLOOKUP(G511,'insumos terrapl'!$C$3:$K$47,4,0)</f>
        <v>66</v>
      </c>
      <c r="K511" s="29" t="str">
        <f>VLOOKUP(G511,'insumos terrapl'!$C$3:$K$47,5,0)</f>
        <v>10</v>
      </c>
      <c r="L511" s="29" t="str">
        <f>VLOOKUP(G511,'insumos terrapl'!$C$3:$K$47,6,0)</f>
        <v>02</v>
      </c>
      <c r="M511" s="29" t="str">
        <f>VLOOKUP(G511,'insumos terrapl'!$C$3:$K$47,7,0)</f>
        <v>00</v>
      </c>
      <c r="N511" s="29" t="str">
        <f>VLOOKUP(G511,'insumos terrapl'!$C$3:$K$47,8,0)</f>
        <v>00</v>
      </c>
      <c r="O511" s="97" t="str">
        <f>VLOOKUP(G511,'insumos terrapl'!$C$3:$K$47,9,0)</f>
        <v>00</v>
      </c>
    </row>
    <row r="512" spans="1:15" ht="30">
      <c r="A512" s="125"/>
      <c r="B512" s="127"/>
      <c r="C512" s="125"/>
      <c r="D512" s="115"/>
      <c r="E512" s="115"/>
      <c r="F512" s="11" t="s">
        <v>653</v>
      </c>
      <c r="G512" s="20" t="s">
        <v>654</v>
      </c>
      <c r="H512" s="29" t="str">
        <f>VLOOKUP(G512,'insumos terrapl'!$C$3:$K$47,2,0)</f>
        <v>2Q  62  10  06  00  00  00</v>
      </c>
      <c r="I512" s="29" t="str">
        <f>VLOOKUP(G512,'insumos terrapl'!$C$3:$K$47,3,0)</f>
        <v>2Q</v>
      </c>
      <c r="J512" s="29">
        <f>VLOOKUP(G512,'insumos terrapl'!$C$3:$K$47,4,0)</f>
        <v>62</v>
      </c>
      <c r="K512" s="29" t="str">
        <f>VLOOKUP(G512,'insumos terrapl'!$C$3:$K$47,5,0)</f>
        <v>10</v>
      </c>
      <c r="L512" s="29" t="str">
        <f>VLOOKUP(G512,'insumos terrapl'!$C$3:$K$47,6,0)</f>
        <v>06</v>
      </c>
      <c r="M512" s="29" t="str">
        <f>VLOOKUP(G512,'insumos terrapl'!$C$3:$K$47,7,0)</f>
        <v>00</v>
      </c>
      <c r="N512" s="29" t="str">
        <f>VLOOKUP(G512,'insumos terrapl'!$C$3:$K$47,8,0)</f>
        <v>00</v>
      </c>
      <c r="O512" s="97" t="str">
        <f>VLOOKUP(G512,'insumos terrapl'!$C$3:$K$47,9,0)</f>
        <v>00</v>
      </c>
    </row>
    <row r="513" spans="1:15">
      <c r="A513" s="125"/>
      <c r="B513" s="127"/>
      <c r="C513" s="125"/>
      <c r="D513" s="115"/>
      <c r="E513" s="115"/>
      <c r="F513" s="11" t="s">
        <v>605</v>
      </c>
      <c r="G513" s="20" t="s">
        <v>606</v>
      </c>
      <c r="H513" s="29" t="str">
        <f>VLOOKUP(G513,'insumos terrapl'!$C$3:$K$47,2,0)</f>
        <v>2Q  62  30  02  14  00  00</v>
      </c>
      <c r="I513" s="29" t="str">
        <f>VLOOKUP(G513,'insumos terrapl'!$C$3:$K$47,3,0)</f>
        <v>2Q</v>
      </c>
      <c r="J513" s="29">
        <f>VLOOKUP(G513,'insumos terrapl'!$C$3:$K$47,4,0)</f>
        <v>62</v>
      </c>
      <c r="K513" s="29">
        <f>VLOOKUP(G513,'insumos terrapl'!$C$3:$K$47,5,0)</f>
        <v>30</v>
      </c>
      <c r="L513" s="29" t="str">
        <f>VLOOKUP(G513,'insumos terrapl'!$C$3:$K$47,6,0)</f>
        <v>02</v>
      </c>
      <c r="M513" s="29" t="str">
        <f>VLOOKUP(G513,'insumos terrapl'!$C$3:$K$47,7,0)</f>
        <v>14</v>
      </c>
      <c r="N513" s="29" t="str">
        <f>VLOOKUP(G513,'insumos terrapl'!$C$3:$K$47,8,0)</f>
        <v>00</v>
      </c>
      <c r="O513" s="97" t="str">
        <f>VLOOKUP(G513,'insumos terrapl'!$C$3:$K$47,9,0)</f>
        <v>00</v>
      </c>
    </row>
    <row r="514" spans="1:15" ht="30">
      <c r="A514" s="125"/>
      <c r="B514" s="127"/>
      <c r="C514" s="125"/>
      <c r="D514" s="115"/>
      <c r="E514" s="115"/>
      <c r="F514" s="11" t="s">
        <v>657</v>
      </c>
      <c r="G514" s="20" t="s">
        <v>658</v>
      </c>
      <c r="H514" s="29" t="str">
        <f>VLOOKUP(G514,'insumos terrapl'!$C$3:$K$47,2,0)</f>
        <v>2Q  62  30  02  10  00  00</v>
      </c>
      <c r="I514" s="29" t="str">
        <f>VLOOKUP(G514,'insumos terrapl'!$C$3:$K$47,3,0)</f>
        <v>2Q</v>
      </c>
      <c r="J514" s="29">
        <f>VLOOKUP(G514,'insumos terrapl'!$C$3:$K$47,4,0)</f>
        <v>62</v>
      </c>
      <c r="K514" s="29" t="str">
        <f>VLOOKUP(G514,'insumos terrapl'!$C$3:$K$47,5,0)</f>
        <v>30</v>
      </c>
      <c r="L514" s="29" t="str">
        <f>VLOOKUP(G514,'insumos terrapl'!$C$3:$K$47,6,0)</f>
        <v>02</v>
      </c>
      <c r="M514" s="29" t="str">
        <f>VLOOKUP(G514,'insumos terrapl'!$C$3:$K$47,7,0)</f>
        <v>10</v>
      </c>
      <c r="N514" s="29" t="str">
        <f>VLOOKUP(G514,'insumos terrapl'!$C$3:$K$47,8,0)</f>
        <v>00</v>
      </c>
      <c r="O514" s="97" t="str">
        <f>VLOOKUP(G514,'insumos terrapl'!$C$3:$K$47,9,0)</f>
        <v>00</v>
      </c>
    </row>
    <row r="515" spans="1:15">
      <c r="A515" s="125"/>
      <c r="B515" s="127"/>
      <c r="C515" s="125"/>
      <c r="D515" s="115"/>
      <c r="E515" s="115"/>
      <c r="F515" s="11" t="s">
        <v>588</v>
      </c>
      <c r="G515" s="20" t="s">
        <v>589</v>
      </c>
      <c r="H515" s="29" t="str">
        <f>VLOOKUP(G515,'insumos terrapl'!$C$3:$K$47,2,0)</f>
        <v>2N  20  14  08  00  00  00</v>
      </c>
      <c r="I515" s="29" t="str">
        <f>VLOOKUP(G515,'insumos terrapl'!$C$3:$K$47,3,0)</f>
        <v>2N</v>
      </c>
      <c r="J515" s="29">
        <f>VLOOKUP(G515,'insumos terrapl'!$C$3:$K$47,4,0)</f>
        <v>20</v>
      </c>
      <c r="K515" s="29">
        <f>VLOOKUP(G515,'insumos terrapl'!$C$3:$K$47,5,0)</f>
        <v>14</v>
      </c>
      <c r="L515" s="29" t="str">
        <f>VLOOKUP(G515,'insumos terrapl'!$C$3:$K$47,6,0)</f>
        <v>08</v>
      </c>
      <c r="M515" s="29" t="str">
        <f>VLOOKUP(G515,'insumos terrapl'!$C$3:$K$47,7,0)</f>
        <v>00</v>
      </c>
      <c r="N515" s="29" t="str">
        <f>VLOOKUP(G515,'insumos terrapl'!$C$3:$K$47,8,0)</f>
        <v>00</v>
      </c>
      <c r="O515" s="97" t="str">
        <f>VLOOKUP(G515,'insumos terrapl'!$C$3:$K$47,9,0)</f>
        <v>00</v>
      </c>
    </row>
    <row r="516" spans="1:15">
      <c r="A516" s="125"/>
      <c r="B516" s="127"/>
      <c r="C516" s="132"/>
      <c r="D516" s="116"/>
      <c r="E516" s="116"/>
      <c r="F516" s="13"/>
      <c r="G516" s="21"/>
      <c r="H516" s="31"/>
      <c r="I516" s="31"/>
      <c r="J516" s="31"/>
      <c r="K516" s="31"/>
      <c r="L516" s="31"/>
      <c r="M516" s="31"/>
      <c r="N516" s="31"/>
      <c r="O516" s="98"/>
    </row>
    <row r="517" spans="1:15">
      <c r="A517" s="125"/>
      <c r="B517" s="127"/>
      <c r="C517" s="124" t="s">
        <v>132</v>
      </c>
      <c r="D517" s="114" t="str">
        <f>$A$419</f>
        <v>2.6.5</v>
      </c>
      <c r="E517" s="115" t="s">
        <v>441</v>
      </c>
      <c r="F517" s="11" t="s">
        <v>132</v>
      </c>
      <c r="G517" s="20"/>
      <c r="H517" s="29"/>
      <c r="I517" s="29"/>
      <c r="J517" s="29"/>
      <c r="K517" s="29"/>
      <c r="L517" s="29"/>
      <c r="M517" s="29"/>
      <c r="N517" s="29"/>
      <c r="O517" s="97"/>
    </row>
    <row r="518" spans="1:15" ht="30">
      <c r="A518" s="125"/>
      <c r="B518" s="127"/>
      <c r="C518" s="125"/>
      <c r="D518" s="115"/>
      <c r="E518" s="115"/>
      <c r="F518" s="11" t="s">
        <v>651</v>
      </c>
      <c r="G518" s="20" t="s">
        <v>652</v>
      </c>
      <c r="H518" s="29" t="str">
        <f>VLOOKUP(G518,'insumos terrapl'!$C$3:$K$47,2,0)</f>
        <v>2Q  66  10  02  00  00  00</v>
      </c>
      <c r="I518" s="29" t="str">
        <f>VLOOKUP(G518,'insumos terrapl'!$C$3:$K$47,3,0)</f>
        <v>2Q</v>
      </c>
      <c r="J518" s="29">
        <f>VLOOKUP(G518,'insumos terrapl'!$C$3:$K$47,4,0)</f>
        <v>66</v>
      </c>
      <c r="K518" s="29" t="str">
        <f>VLOOKUP(G518,'insumos terrapl'!$C$3:$K$47,5,0)</f>
        <v>10</v>
      </c>
      <c r="L518" s="29" t="str">
        <f>VLOOKUP(G518,'insumos terrapl'!$C$3:$K$47,6,0)</f>
        <v>02</v>
      </c>
      <c r="M518" s="29" t="str">
        <f>VLOOKUP(G518,'insumos terrapl'!$C$3:$K$47,7,0)</f>
        <v>00</v>
      </c>
      <c r="N518" s="29" t="str">
        <f>VLOOKUP(G518,'insumos terrapl'!$C$3:$K$47,8,0)</f>
        <v>00</v>
      </c>
      <c r="O518" s="97" t="str">
        <f>VLOOKUP(G518,'insumos terrapl'!$C$3:$K$47,9,0)</f>
        <v>00</v>
      </c>
    </row>
    <row r="519" spans="1:15" ht="30">
      <c r="A519" s="125"/>
      <c r="B519" s="127"/>
      <c r="C519" s="125"/>
      <c r="D519" s="115"/>
      <c r="E519" s="115"/>
      <c r="F519" s="11" t="s">
        <v>653</v>
      </c>
      <c r="G519" s="20" t="s">
        <v>654</v>
      </c>
      <c r="H519" s="29" t="str">
        <f>VLOOKUP(G519,'insumos terrapl'!$C$3:$K$47,2,0)</f>
        <v>2Q  62  10  06  00  00  00</v>
      </c>
      <c r="I519" s="29" t="str">
        <f>VLOOKUP(G519,'insumos terrapl'!$C$3:$K$47,3,0)</f>
        <v>2Q</v>
      </c>
      <c r="J519" s="29">
        <f>VLOOKUP(G519,'insumos terrapl'!$C$3:$K$47,4,0)</f>
        <v>62</v>
      </c>
      <c r="K519" s="29" t="str">
        <f>VLOOKUP(G519,'insumos terrapl'!$C$3:$K$47,5,0)</f>
        <v>10</v>
      </c>
      <c r="L519" s="29" t="str">
        <f>VLOOKUP(G519,'insumos terrapl'!$C$3:$K$47,6,0)</f>
        <v>06</v>
      </c>
      <c r="M519" s="29" t="str">
        <f>VLOOKUP(G519,'insumos terrapl'!$C$3:$K$47,7,0)</f>
        <v>00</v>
      </c>
      <c r="N519" s="29" t="str">
        <f>VLOOKUP(G519,'insumos terrapl'!$C$3:$K$47,8,0)</f>
        <v>00</v>
      </c>
      <c r="O519" s="97" t="str">
        <f>VLOOKUP(G519,'insumos terrapl'!$C$3:$K$47,9,0)</f>
        <v>00</v>
      </c>
    </row>
    <row r="520" spans="1:15">
      <c r="A520" s="125"/>
      <c r="B520" s="127"/>
      <c r="C520" s="125"/>
      <c r="D520" s="115"/>
      <c r="E520" s="115"/>
      <c r="F520" s="11" t="s">
        <v>605</v>
      </c>
      <c r="G520" s="20" t="s">
        <v>606</v>
      </c>
      <c r="H520" s="29" t="str">
        <f>VLOOKUP(G520,'insumos terrapl'!$C$3:$K$47,2,0)</f>
        <v>2Q  62  30  02  14  00  00</v>
      </c>
      <c r="I520" s="29" t="str">
        <f>VLOOKUP(G520,'insumos terrapl'!$C$3:$K$47,3,0)</f>
        <v>2Q</v>
      </c>
      <c r="J520" s="29">
        <f>VLOOKUP(G520,'insumos terrapl'!$C$3:$K$47,4,0)</f>
        <v>62</v>
      </c>
      <c r="K520" s="29">
        <f>VLOOKUP(G520,'insumos terrapl'!$C$3:$K$47,5,0)</f>
        <v>30</v>
      </c>
      <c r="L520" s="29" t="str">
        <f>VLOOKUP(G520,'insumos terrapl'!$C$3:$K$47,6,0)</f>
        <v>02</v>
      </c>
      <c r="M520" s="29" t="str">
        <f>VLOOKUP(G520,'insumos terrapl'!$C$3:$K$47,7,0)</f>
        <v>14</v>
      </c>
      <c r="N520" s="29" t="str">
        <f>VLOOKUP(G520,'insumos terrapl'!$C$3:$K$47,8,0)</f>
        <v>00</v>
      </c>
      <c r="O520" s="97" t="str">
        <f>VLOOKUP(G520,'insumos terrapl'!$C$3:$K$47,9,0)</f>
        <v>00</v>
      </c>
    </row>
    <row r="521" spans="1:15" ht="30">
      <c r="A521" s="125"/>
      <c r="B521" s="127"/>
      <c r="C521" s="125"/>
      <c r="D521" s="115"/>
      <c r="E521" s="115"/>
      <c r="F521" s="11" t="s">
        <v>657</v>
      </c>
      <c r="G521" s="20" t="s">
        <v>658</v>
      </c>
      <c r="H521" s="29" t="str">
        <f>VLOOKUP(G521,'insumos terrapl'!$C$3:$K$47,2,0)</f>
        <v>2Q  62  30  02  10  00  00</v>
      </c>
      <c r="I521" s="29" t="str">
        <f>VLOOKUP(G521,'insumos terrapl'!$C$3:$K$47,3,0)</f>
        <v>2Q</v>
      </c>
      <c r="J521" s="29">
        <f>VLOOKUP(G521,'insumos terrapl'!$C$3:$K$47,4,0)</f>
        <v>62</v>
      </c>
      <c r="K521" s="29" t="str">
        <f>VLOOKUP(G521,'insumos terrapl'!$C$3:$K$47,5,0)</f>
        <v>30</v>
      </c>
      <c r="L521" s="29" t="str">
        <f>VLOOKUP(G521,'insumos terrapl'!$C$3:$K$47,6,0)</f>
        <v>02</v>
      </c>
      <c r="M521" s="29" t="str">
        <f>VLOOKUP(G521,'insumos terrapl'!$C$3:$K$47,7,0)</f>
        <v>10</v>
      </c>
      <c r="N521" s="29" t="str">
        <f>VLOOKUP(G521,'insumos terrapl'!$C$3:$K$47,8,0)</f>
        <v>00</v>
      </c>
      <c r="O521" s="97" t="str">
        <f>VLOOKUP(G521,'insumos terrapl'!$C$3:$K$47,9,0)</f>
        <v>00</v>
      </c>
    </row>
    <row r="522" spans="1:15">
      <c r="A522" s="125"/>
      <c r="B522" s="127"/>
      <c r="C522" s="125"/>
      <c r="D522" s="115"/>
      <c r="E522" s="115"/>
      <c r="F522" s="11" t="s">
        <v>588</v>
      </c>
      <c r="G522" s="20" t="s">
        <v>589</v>
      </c>
      <c r="H522" s="29" t="str">
        <f>VLOOKUP(G522,'insumos terrapl'!$C$3:$K$47,2,0)</f>
        <v>2N  20  14  08  00  00  00</v>
      </c>
      <c r="I522" s="29" t="str">
        <f>VLOOKUP(G522,'insumos terrapl'!$C$3:$K$47,3,0)</f>
        <v>2N</v>
      </c>
      <c r="J522" s="29">
        <f>VLOOKUP(G522,'insumos terrapl'!$C$3:$K$47,4,0)</f>
        <v>20</v>
      </c>
      <c r="K522" s="29">
        <f>VLOOKUP(G522,'insumos terrapl'!$C$3:$K$47,5,0)</f>
        <v>14</v>
      </c>
      <c r="L522" s="29" t="str">
        <f>VLOOKUP(G522,'insumos terrapl'!$C$3:$K$47,6,0)</f>
        <v>08</v>
      </c>
      <c r="M522" s="29" t="str">
        <f>VLOOKUP(G522,'insumos terrapl'!$C$3:$K$47,7,0)</f>
        <v>00</v>
      </c>
      <c r="N522" s="29" t="str">
        <f>VLOOKUP(G522,'insumos terrapl'!$C$3:$K$47,8,0)</f>
        <v>00</v>
      </c>
      <c r="O522" s="97" t="str">
        <f>VLOOKUP(G522,'insumos terrapl'!$C$3:$K$47,9,0)</f>
        <v>00</v>
      </c>
    </row>
    <row r="523" spans="1:15">
      <c r="A523" s="125"/>
      <c r="B523" s="127"/>
      <c r="C523" s="132"/>
      <c r="D523" s="116"/>
      <c r="E523" s="115"/>
      <c r="F523" s="10"/>
      <c r="G523" s="20"/>
      <c r="H523" s="29"/>
      <c r="I523" s="29"/>
      <c r="J523" s="29"/>
      <c r="K523" s="29"/>
      <c r="L523" s="29"/>
      <c r="M523" s="29"/>
      <c r="N523" s="29"/>
      <c r="O523" s="97"/>
    </row>
    <row r="524" spans="1:15">
      <c r="A524" s="125"/>
      <c r="B524" s="127"/>
      <c r="C524" s="124" t="s">
        <v>133</v>
      </c>
      <c r="D524" s="114" t="str">
        <f>$A$419</f>
        <v>2.6.5</v>
      </c>
      <c r="E524" s="114" t="s">
        <v>443</v>
      </c>
      <c r="F524" s="12" t="s">
        <v>133</v>
      </c>
      <c r="G524" s="19"/>
      <c r="H524" s="28"/>
      <c r="I524" s="28"/>
      <c r="J524" s="28"/>
      <c r="K524" s="28"/>
      <c r="L524" s="28"/>
      <c r="M524" s="28"/>
      <c r="N524" s="28"/>
      <c r="O524" s="99"/>
    </row>
    <row r="525" spans="1:15" ht="30">
      <c r="A525" s="125"/>
      <c r="B525" s="127"/>
      <c r="C525" s="125"/>
      <c r="D525" s="115"/>
      <c r="E525" s="115"/>
      <c r="F525" s="11" t="s">
        <v>651</v>
      </c>
      <c r="G525" s="20" t="s">
        <v>652</v>
      </c>
      <c r="H525" s="29" t="str">
        <f>VLOOKUP(G525,'insumos terrapl'!$C$3:$K$47,2,0)</f>
        <v>2Q  66  10  02  00  00  00</v>
      </c>
      <c r="I525" s="29" t="str">
        <f>VLOOKUP(G525,'insumos terrapl'!$C$3:$K$47,3,0)</f>
        <v>2Q</v>
      </c>
      <c r="J525" s="29">
        <f>VLOOKUP(G525,'insumos terrapl'!$C$3:$K$47,4,0)</f>
        <v>66</v>
      </c>
      <c r="K525" s="29" t="str">
        <f>VLOOKUP(G525,'insumos terrapl'!$C$3:$K$47,5,0)</f>
        <v>10</v>
      </c>
      <c r="L525" s="29" t="str">
        <f>VLOOKUP(G525,'insumos terrapl'!$C$3:$K$47,6,0)</f>
        <v>02</v>
      </c>
      <c r="M525" s="29" t="str">
        <f>VLOOKUP(G525,'insumos terrapl'!$C$3:$K$47,7,0)</f>
        <v>00</v>
      </c>
      <c r="N525" s="29" t="str">
        <f>VLOOKUP(G525,'insumos terrapl'!$C$3:$K$47,8,0)</f>
        <v>00</v>
      </c>
      <c r="O525" s="97" t="str">
        <f>VLOOKUP(G525,'insumos terrapl'!$C$3:$K$47,9,0)</f>
        <v>00</v>
      </c>
    </row>
    <row r="526" spans="1:15" ht="30">
      <c r="A526" s="125"/>
      <c r="B526" s="127"/>
      <c r="C526" s="125"/>
      <c r="D526" s="115"/>
      <c r="E526" s="115"/>
      <c r="F526" s="11" t="s">
        <v>653</v>
      </c>
      <c r="G526" s="20" t="s">
        <v>654</v>
      </c>
      <c r="H526" s="29" t="str">
        <f>VLOOKUP(G526,'insumos terrapl'!$C$3:$K$47,2,0)</f>
        <v>2Q  62  10  06  00  00  00</v>
      </c>
      <c r="I526" s="29" t="str">
        <f>VLOOKUP(G526,'insumos terrapl'!$C$3:$K$47,3,0)</f>
        <v>2Q</v>
      </c>
      <c r="J526" s="29">
        <f>VLOOKUP(G526,'insumos terrapl'!$C$3:$K$47,4,0)</f>
        <v>62</v>
      </c>
      <c r="K526" s="29" t="str">
        <f>VLOOKUP(G526,'insumos terrapl'!$C$3:$K$47,5,0)</f>
        <v>10</v>
      </c>
      <c r="L526" s="29" t="str">
        <f>VLOOKUP(G526,'insumos terrapl'!$C$3:$K$47,6,0)</f>
        <v>06</v>
      </c>
      <c r="M526" s="29" t="str">
        <f>VLOOKUP(G526,'insumos terrapl'!$C$3:$K$47,7,0)</f>
        <v>00</v>
      </c>
      <c r="N526" s="29" t="str">
        <f>VLOOKUP(G526,'insumos terrapl'!$C$3:$K$47,8,0)</f>
        <v>00</v>
      </c>
      <c r="O526" s="97" t="str">
        <f>VLOOKUP(G526,'insumos terrapl'!$C$3:$K$47,9,0)</f>
        <v>00</v>
      </c>
    </row>
    <row r="527" spans="1:15">
      <c r="A527" s="125"/>
      <c r="B527" s="127"/>
      <c r="C527" s="125"/>
      <c r="D527" s="115"/>
      <c r="E527" s="115"/>
      <c r="F527" s="11" t="s">
        <v>605</v>
      </c>
      <c r="G527" s="20" t="s">
        <v>606</v>
      </c>
      <c r="H527" s="29" t="str">
        <f>VLOOKUP(G527,'insumos terrapl'!$C$3:$K$47,2,0)</f>
        <v>2Q  62  30  02  14  00  00</v>
      </c>
      <c r="I527" s="29" t="str">
        <f>VLOOKUP(G527,'insumos terrapl'!$C$3:$K$47,3,0)</f>
        <v>2Q</v>
      </c>
      <c r="J527" s="29">
        <f>VLOOKUP(G527,'insumos terrapl'!$C$3:$K$47,4,0)</f>
        <v>62</v>
      </c>
      <c r="K527" s="29">
        <f>VLOOKUP(G527,'insumos terrapl'!$C$3:$K$47,5,0)</f>
        <v>30</v>
      </c>
      <c r="L527" s="29" t="str">
        <f>VLOOKUP(G527,'insumos terrapl'!$C$3:$K$47,6,0)</f>
        <v>02</v>
      </c>
      <c r="M527" s="29" t="str">
        <f>VLOOKUP(G527,'insumos terrapl'!$C$3:$K$47,7,0)</f>
        <v>14</v>
      </c>
      <c r="N527" s="29" t="str">
        <f>VLOOKUP(G527,'insumos terrapl'!$C$3:$K$47,8,0)</f>
        <v>00</v>
      </c>
      <c r="O527" s="97" t="str">
        <f>VLOOKUP(G527,'insumos terrapl'!$C$3:$K$47,9,0)</f>
        <v>00</v>
      </c>
    </row>
    <row r="528" spans="1:15" ht="30">
      <c r="A528" s="125"/>
      <c r="B528" s="127"/>
      <c r="C528" s="125"/>
      <c r="D528" s="115"/>
      <c r="E528" s="115"/>
      <c r="F528" s="11" t="s">
        <v>657</v>
      </c>
      <c r="G528" s="20" t="s">
        <v>658</v>
      </c>
      <c r="H528" s="29" t="str">
        <f>VLOOKUP(G528,'insumos terrapl'!$C$3:$K$47,2,0)</f>
        <v>2Q  62  30  02  10  00  00</v>
      </c>
      <c r="I528" s="29" t="str">
        <f>VLOOKUP(G528,'insumos terrapl'!$C$3:$K$47,3,0)</f>
        <v>2Q</v>
      </c>
      <c r="J528" s="29">
        <f>VLOOKUP(G528,'insumos terrapl'!$C$3:$K$47,4,0)</f>
        <v>62</v>
      </c>
      <c r="K528" s="29" t="str">
        <f>VLOOKUP(G528,'insumos terrapl'!$C$3:$K$47,5,0)</f>
        <v>30</v>
      </c>
      <c r="L528" s="29" t="str">
        <f>VLOOKUP(G528,'insumos terrapl'!$C$3:$K$47,6,0)</f>
        <v>02</v>
      </c>
      <c r="M528" s="29" t="str">
        <f>VLOOKUP(G528,'insumos terrapl'!$C$3:$K$47,7,0)</f>
        <v>10</v>
      </c>
      <c r="N528" s="29" t="str">
        <f>VLOOKUP(G528,'insumos terrapl'!$C$3:$K$47,8,0)</f>
        <v>00</v>
      </c>
      <c r="O528" s="97" t="str">
        <f>VLOOKUP(G528,'insumos terrapl'!$C$3:$K$47,9,0)</f>
        <v>00</v>
      </c>
    </row>
    <row r="529" spans="1:15">
      <c r="A529" s="125"/>
      <c r="B529" s="127"/>
      <c r="C529" s="125"/>
      <c r="D529" s="115"/>
      <c r="E529" s="115"/>
      <c r="F529" s="11" t="s">
        <v>588</v>
      </c>
      <c r="G529" s="20" t="s">
        <v>589</v>
      </c>
      <c r="H529" s="29" t="str">
        <f>VLOOKUP(G529,'insumos terrapl'!$C$3:$K$47,2,0)</f>
        <v>2N  20  14  08  00  00  00</v>
      </c>
      <c r="I529" s="29" t="str">
        <f>VLOOKUP(G529,'insumos terrapl'!$C$3:$K$47,3,0)</f>
        <v>2N</v>
      </c>
      <c r="J529" s="29">
        <f>VLOOKUP(G529,'insumos terrapl'!$C$3:$K$47,4,0)</f>
        <v>20</v>
      </c>
      <c r="K529" s="29">
        <f>VLOOKUP(G529,'insumos terrapl'!$C$3:$K$47,5,0)</f>
        <v>14</v>
      </c>
      <c r="L529" s="29" t="str">
        <f>VLOOKUP(G529,'insumos terrapl'!$C$3:$K$47,6,0)</f>
        <v>08</v>
      </c>
      <c r="M529" s="29" t="str">
        <f>VLOOKUP(G529,'insumos terrapl'!$C$3:$K$47,7,0)</f>
        <v>00</v>
      </c>
      <c r="N529" s="29" t="str">
        <f>VLOOKUP(G529,'insumos terrapl'!$C$3:$K$47,8,0)</f>
        <v>00</v>
      </c>
      <c r="O529" s="97" t="str">
        <f>VLOOKUP(G529,'insumos terrapl'!$C$3:$K$47,9,0)</f>
        <v>00</v>
      </c>
    </row>
    <row r="530" spans="1:15">
      <c r="A530" s="125"/>
      <c r="B530" s="127"/>
      <c r="C530" s="132"/>
      <c r="D530" s="116"/>
      <c r="E530" s="116"/>
      <c r="F530" s="13"/>
      <c r="G530" s="21"/>
      <c r="H530" s="31"/>
      <c r="I530" s="31"/>
      <c r="J530" s="31"/>
      <c r="K530" s="31"/>
      <c r="L530" s="31"/>
      <c r="M530" s="31"/>
      <c r="N530" s="31"/>
      <c r="O530" s="98"/>
    </row>
    <row r="531" spans="1:15">
      <c r="A531" s="125"/>
      <c r="B531" s="127"/>
      <c r="C531" s="124" t="s">
        <v>134</v>
      </c>
      <c r="D531" s="114" t="str">
        <f>$A$419</f>
        <v>2.6.5</v>
      </c>
      <c r="E531" s="115" t="s">
        <v>445</v>
      </c>
      <c r="F531" s="11" t="s">
        <v>134</v>
      </c>
      <c r="G531" s="20"/>
      <c r="H531" s="29"/>
      <c r="I531" s="29"/>
      <c r="J531" s="29"/>
      <c r="K531" s="29"/>
      <c r="L531" s="29"/>
      <c r="M531" s="29"/>
      <c r="N531" s="29"/>
      <c r="O531" s="97"/>
    </row>
    <row r="532" spans="1:15" ht="30">
      <c r="A532" s="125"/>
      <c r="B532" s="127"/>
      <c r="C532" s="125"/>
      <c r="D532" s="115"/>
      <c r="E532" s="115"/>
      <c r="F532" s="11" t="s">
        <v>651</v>
      </c>
      <c r="G532" s="20" t="s">
        <v>652</v>
      </c>
      <c r="H532" s="29" t="str">
        <f>VLOOKUP(G532,'insumos terrapl'!$C$3:$K$47,2,0)</f>
        <v>2Q  66  10  02  00  00  00</v>
      </c>
      <c r="I532" s="29" t="str">
        <f>VLOOKUP(G532,'insumos terrapl'!$C$3:$K$47,3,0)</f>
        <v>2Q</v>
      </c>
      <c r="J532" s="29">
        <f>VLOOKUP(G532,'insumos terrapl'!$C$3:$K$47,4,0)</f>
        <v>66</v>
      </c>
      <c r="K532" s="29" t="str">
        <f>VLOOKUP(G532,'insumos terrapl'!$C$3:$K$47,5,0)</f>
        <v>10</v>
      </c>
      <c r="L532" s="29" t="str">
        <f>VLOOKUP(G532,'insumos terrapl'!$C$3:$K$47,6,0)</f>
        <v>02</v>
      </c>
      <c r="M532" s="29" t="str">
        <f>VLOOKUP(G532,'insumos terrapl'!$C$3:$K$47,7,0)</f>
        <v>00</v>
      </c>
      <c r="N532" s="29" t="str">
        <f>VLOOKUP(G532,'insumos terrapl'!$C$3:$K$47,8,0)</f>
        <v>00</v>
      </c>
      <c r="O532" s="97" t="str">
        <f>VLOOKUP(G532,'insumos terrapl'!$C$3:$K$47,9,0)</f>
        <v>00</v>
      </c>
    </row>
    <row r="533" spans="1:15" ht="30">
      <c r="A533" s="125"/>
      <c r="B533" s="127"/>
      <c r="C533" s="125"/>
      <c r="D533" s="115"/>
      <c r="E533" s="115"/>
      <c r="F533" s="11" t="s">
        <v>653</v>
      </c>
      <c r="G533" s="20" t="s">
        <v>654</v>
      </c>
      <c r="H533" s="29" t="str">
        <f>VLOOKUP(G533,'insumos terrapl'!$C$3:$K$47,2,0)</f>
        <v>2Q  62  10  06  00  00  00</v>
      </c>
      <c r="I533" s="29" t="str">
        <f>VLOOKUP(G533,'insumos terrapl'!$C$3:$K$47,3,0)</f>
        <v>2Q</v>
      </c>
      <c r="J533" s="29">
        <f>VLOOKUP(G533,'insumos terrapl'!$C$3:$K$47,4,0)</f>
        <v>62</v>
      </c>
      <c r="K533" s="29" t="str">
        <f>VLOOKUP(G533,'insumos terrapl'!$C$3:$K$47,5,0)</f>
        <v>10</v>
      </c>
      <c r="L533" s="29" t="str">
        <f>VLOOKUP(G533,'insumos terrapl'!$C$3:$K$47,6,0)</f>
        <v>06</v>
      </c>
      <c r="M533" s="29" t="str">
        <f>VLOOKUP(G533,'insumos terrapl'!$C$3:$K$47,7,0)</f>
        <v>00</v>
      </c>
      <c r="N533" s="29" t="str">
        <f>VLOOKUP(G533,'insumos terrapl'!$C$3:$K$47,8,0)</f>
        <v>00</v>
      </c>
      <c r="O533" s="97" t="str">
        <f>VLOOKUP(G533,'insumos terrapl'!$C$3:$K$47,9,0)</f>
        <v>00</v>
      </c>
    </row>
    <row r="534" spans="1:15">
      <c r="A534" s="125"/>
      <c r="B534" s="127"/>
      <c r="C534" s="125"/>
      <c r="D534" s="115"/>
      <c r="E534" s="115"/>
      <c r="F534" s="11" t="s">
        <v>605</v>
      </c>
      <c r="G534" s="20" t="s">
        <v>606</v>
      </c>
      <c r="H534" s="29" t="str">
        <f>VLOOKUP(G534,'insumos terrapl'!$C$3:$K$47,2,0)</f>
        <v>2Q  62  30  02  14  00  00</v>
      </c>
      <c r="I534" s="29" t="str">
        <f>VLOOKUP(G534,'insumos terrapl'!$C$3:$K$47,3,0)</f>
        <v>2Q</v>
      </c>
      <c r="J534" s="29">
        <f>VLOOKUP(G534,'insumos terrapl'!$C$3:$K$47,4,0)</f>
        <v>62</v>
      </c>
      <c r="K534" s="29">
        <f>VLOOKUP(G534,'insumos terrapl'!$C$3:$K$47,5,0)</f>
        <v>30</v>
      </c>
      <c r="L534" s="29" t="str">
        <f>VLOOKUP(G534,'insumos terrapl'!$C$3:$K$47,6,0)</f>
        <v>02</v>
      </c>
      <c r="M534" s="29" t="str">
        <f>VLOOKUP(G534,'insumos terrapl'!$C$3:$K$47,7,0)</f>
        <v>14</v>
      </c>
      <c r="N534" s="29" t="str">
        <f>VLOOKUP(G534,'insumos terrapl'!$C$3:$K$47,8,0)</f>
        <v>00</v>
      </c>
      <c r="O534" s="97" t="str">
        <f>VLOOKUP(G534,'insumos terrapl'!$C$3:$K$47,9,0)</f>
        <v>00</v>
      </c>
    </row>
    <row r="535" spans="1:15" ht="30">
      <c r="A535" s="125"/>
      <c r="B535" s="127"/>
      <c r="C535" s="125"/>
      <c r="D535" s="115"/>
      <c r="E535" s="115"/>
      <c r="F535" s="11" t="s">
        <v>657</v>
      </c>
      <c r="G535" s="20" t="s">
        <v>658</v>
      </c>
      <c r="H535" s="29" t="str">
        <f>VLOOKUP(G535,'insumos terrapl'!$C$3:$K$47,2,0)</f>
        <v>2Q  62  30  02  10  00  00</v>
      </c>
      <c r="I535" s="29" t="str">
        <f>VLOOKUP(G535,'insumos terrapl'!$C$3:$K$47,3,0)</f>
        <v>2Q</v>
      </c>
      <c r="J535" s="29">
        <f>VLOOKUP(G535,'insumos terrapl'!$C$3:$K$47,4,0)</f>
        <v>62</v>
      </c>
      <c r="K535" s="29" t="str">
        <f>VLOOKUP(G535,'insumos terrapl'!$C$3:$K$47,5,0)</f>
        <v>30</v>
      </c>
      <c r="L535" s="29" t="str">
        <f>VLOOKUP(G535,'insumos terrapl'!$C$3:$K$47,6,0)</f>
        <v>02</v>
      </c>
      <c r="M535" s="29" t="str">
        <f>VLOOKUP(G535,'insumos terrapl'!$C$3:$K$47,7,0)</f>
        <v>10</v>
      </c>
      <c r="N535" s="29" t="str">
        <f>VLOOKUP(G535,'insumos terrapl'!$C$3:$K$47,8,0)</f>
        <v>00</v>
      </c>
      <c r="O535" s="97" t="str">
        <f>VLOOKUP(G535,'insumos terrapl'!$C$3:$K$47,9,0)</f>
        <v>00</v>
      </c>
    </row>
    <row r="536" spans="1:15">
      <c r="A536" s="125"/>
      <c r="B536" s="127"/>
      <c r="C536" s="125"/>
      <c r="D536" s="115"/>
      <c r="E536" s="115"/>
      <c r="F536" s="11" t="s">
        <v>588</v>
      </c>
      <c r="G536" s="20" t="s">
        <v>589</v>
      </c>
      <c r="H536" s="29" t="str">
        <f>VLOOKUP(G536,'insumos terrapl'!$C$3:$K$47,2,0)</f>
        <v>2N  20  14  08  00  00  00</v>
      </c>
      <c r="I536" s="29" t="str">
        <f>VLOOKUP(G536,'insumos terrapl'!$C$3:$K$47,3,0)</f>
        <v>2N</v>
      </c>
      <c r="J536" s="29">
        <f>VLOOKUP(G536,'insumos terrapl'!$C$3:$K$47,4,0)</f>
        <v>20</v>
      </c>
      <c r="K536" s="29">
        <f>VLOOKUP(G536,'insumos terrapl'!$C$3:$K$47,5,0)</f>
        <v>14</v>
      </c>
      <c r="L536" s="29" t="str">
        <f>VLOOKUP(G536,'insumos terrapl'!$C$3:$K$47,6,0)</f>
        <v>08</v>
      </c>
      <c r="M536" s="29" t="str">
        <f>VLOOKUP(G536,'insumos terrapl'!$C$3:$K$47,7,0)</f>
        <v>00</v>
      </c>
      <c r="N536" s="29" t="str">
        <f>VLOOKUP(G536,'insumos terrapl'!$C$3:$K$47,8,0)</f>
        <v>00</v>
      </c>
      <c r="O536" s="97" t="str">
        <f>VLOOKUP(G536,'insumos terrapl'!$C$3:$K$47,9,0)</f>
        <v>00</v>
      </c>
    </row>
    <row r="537" spans="1:15">
      <c r="A537" s="125"/>
      <c r="B537" s="127"/>
      <c r="C537" s="132"/>
      <c r="D537" s="116"/>
      <c r="E537" s="115"/>
      <c r="F537" s="10"/>
      <c r="G537" s="20"/>
      <c r="H537" s="29"/>
      <c r="I537" s="29"/>
      <c r="J537" s="29"/>
      <c r="K537" s="29"/>
      <c r="L537" s="29"/>
      <c r="M537" s="29"/>
      <c r="N537" s="29"/>
      <c r="O537" s="97"/>
    </row>
    <row r="538" spans="1:15">
      <c r="A538" s="125"/>
      <c r="B538" s="127"/>
      <c r="C538" s="124" t="s">
        <v>135</v>
      </c>
      <c r="D538" s="114" t="str">
        <f>$A$419</f>
        <v>2.6.5</v>
      </c>
      <c r="E538" s="114" t="s">
        <v>447</v>
      </c>
      <c r="F538" s="12" t="s">
        <v>135</v>
      </c>
      <c r="G538" s="19"/>
      <c r="H538" s="28"/>
      <c r="I538" s="28"/>
      <c r="J538" s="28"/>
      <c r="K538" s="28"/>
      <c r="L538" s="28"/>
      <c r="M538" s="28"/>
      <c r="N538" s="28"/>
      <c r="O538" s="99"/>
    </row>
    <row r="539" spans="1:15" ht="30">
      <c r="A539" s="125"/>
      <c r="B539" s="127"/>
      <c r="C539" s="125"/>
      <c r="D539" s="115"/>
      <c r="E539" s="115"/>
      <c r="F539" s="11" t="s">
        <v>651</v>
      </c>
      <c r="G539" s="20" t="s">
        <v>652</v>
      </c>
      <c r="H539" s="29" t="str">
        <f>VLOOKUP(G539,'insumos terrapl'!$C$3:$K$47,2,0)</f>
        <v>2Q  66  10  02  00  00  00</v>
      </c>
      <c r="I539" s="29" t="str">
        <f>VLOOKUP(G539,'insumos terrapl'!$C$3:$K$47,3,0)</f>
        <v>2Q</v>
      </c>
      <c r="J539" s="29">
        <f>VLOOKUP(G539,'insumos terrapl'!$C$3:$K$47,4,0)</f>
        <v>66</v>
      </c>
      <c r="K539" s="29" t="str">
        <f>VLOOKUP(G539,'insumos terrapl'!$C$3:$K$47,5,0)</f>
        <v>10</v>
      </c>
      <c r="L539" s="29" t="str">
        <f>VLOOKUP(G539,'insumos terrapl'!$C$3:$K$47,6,0)</f>
        <v>02</v>
      </c>
      <c r="M539" s="29" t="str">
        <f>VLOOKUP(G539,'insumos terrapl'!$C$3:$K$47,7,0)</f>
        <v>00</v>
      </c>
      <c r="N539" s="29" t="str">
        <f>VLOOKUP(G539,'insumos terrapl'!$C$3:$K$47,8,0)</f>
        <v>00</v>
      </c>
      <c r="O539" s="97" t="str">
        <f>VLOOKUP(G539,'insumos terrapl'!$C$3:$K$47,9,0)</f>
        <v>00</v>
      </c>
    </row>
    <row r="540" spans="1:15" ht="30">
      <c r="A540" s="125"/>
      <c r="B540" s="127"/>
      <c r="C540" s="125"/>
      <c r="D540" s="115"/>
      <c r="E540" s="115"/>
      <c r="F540" s="11" t="s">
        <v>653</v>
      </c>
      <c r="G540" s="20" t="s">
        <v>654</v>
      </c>
      <c r="H540" s="29" t="str">
        <f>VLOOKUP(G540,'insumos terrapl'!$C$3:$K$47,2,0)</f>
        <v>2Q  62  10  06  00  00  00</v>
      </c>
      <c r="I540" s="29" t="str">
        <f>VLOOKUP(G540,'insumos terrapl'!$C$3:$K$47,3,0)</f>
        <v>2Q</v>
      </c>
      <c r="J540" s="29">
        <f>VLOOKUP(G540,'insumos terrapl'!$C$3:$K$47,4,0)</f>
        <v>62</v>
      </c>
      <c r="K540" s="29" t="str">
        <f>VLOOKUP(G540,'insumos terrapl'!$C$3:$K$47,5,0)</f>
        <v>10</v>
      </c>
      <c r="L540" s="29" t="str">
        <f>VLOOKUP(G540,'insumos terrapl'!$C$3:$K$47,6,0)</f>
        <v>06</v>
      </c>
      <c r="M540" s="29" t="str">
        <f>VLOOKUP(G540,'insumos terrapl'!$C$3:$K$47,7,0)</f>
        <v>00</v>
      </c>
      <c r="N540" s="29" t="str">
        <f>VLOOKUP(G540,'insumos terrapl'!$C$3:$K$47,8,0)</f>
        <v>00</v>
      </c>
      <c r="O540" s="97" t="str">
        <f>VLOOKUP(G540,'insumos terrapl'!$C$3:$K$47,9,0)</f>
        <v>00</v>
      </c>
    </row>
    <row r="541" spans="1:15">
      <c r="A541" s="125"/>
      <c r="B541" s="127"/>
      <c r="C541" s="125"/>
      <c r="D541" s="115"/>
      <c r="E541" s="115"/>
      <c r="F541" s="11" t="s">
        <v>605</v>
      </c>
      <c r="G541" s="20" t="s">
        <v>606</v>
      </c>
      <c r="H541" s="29" t="str">
        <f>VLOOKUP(G541,'insumos terrapl'!$C$3:$K$47,2,0)</f>
        <v>2Q  62  30  02  14  00  00</v>
      </c>
      <c r="I541" s="29" t="str">
        <f>VLOOKUP(G541,'insumos terrapl'!$C$3:$K$47,3,0)</f>
        <v>2Q</v>
      </c>
      <c r="J541" s="29">
        <f>VLOOKUP(G541,'insumos terrapl'!$C$3:$K$47,4,0)</f>
        <v>62</v>
      </c>
      <c r="K541" s="29">
        <f>VLOOKUP(G541,'insumos terrapl'!$C$3:$K$47,5,0)</f>
        <v>30</v>
      </c>
      <c r="L541" s="29" t="str">
        <f>VLOOKUP(G541,'insumos terrapl'!$C$3:$K$47,6,0)</f>
        <v>02</v>
      </c>
      <c r="M541" s="29" t="str">
        <f>VLOOKUP(G541,'insumos terrapl'!$C$3:$K$47,7,0)</f>
        <v>14</v>
      </c>
      <c r="N541" s="29" t="str">
        <f>VLOOKUP(G541,'insumos terrapl'!$C$3:$K$47,8,0)</f>
        <v>00</v>
      </c>
      <c r="O541" s="97" t="str">
        <f>VLOOKUP(G541,'insumos terrapl'!$C$3:$K$47,9,0)</f>
        <v>00</v>
      </c>
    </row>
    <row r="542" spans="1:15" ht="30">
      <c r="A542" s="125"/>
      <c r="B542" s="127"/>
      <c r="C542" s="125"/>
      <c r="D542" s="115"/>
      <c r="E542" s="115"/>
      <c r="F542" s="11" t="s">
        <v>657</v>
      </c>
      <c r="G542" s="20" t="s">
        <v>658</v>
      </c>
      <c r="H542" s="29" t="str">
        <f>VLOOKUP(G542,'insumos terrapl'!$C$3:$K$47,2,0)</f>
        <v>2Q  62  30  02  10  00  00</v>
      </c>
      <c r="I542" s="29" t="str">
        <f>VLOOKUP(G542,'insumos terrapl'!$C$3:$K$47,3,0)</f>
        <v>2Q</v>
      </c>
      <c r="J542" s="29">
        <f>VLOOKUP(G542,'insumos terrapl'!$C$3:$K$47,4,0)</f>
        <v>62</v>
      </c>
      <c r="K542" s="29" t="str">
        <f>VLOOKUP(G542,'insumos terrapl'!$C$3:$K$47,5,0)</f>
        <v>30</v>
      </c>
      <c r="L542" s="29" t="str">
        <f>VLOOKUP(G542,'insumos terrapl'!$C$3:$K$47,6,0)</f>
        <v>02</v>
      </c>
      <c r="M542" s="29" t="str">
        <f>VLOOKUP(G542,'insumos terrapl'!$C$3:$K$47,7,0)</f>
        <v>10</v>
      </c>
      <c r="N542" s="29" t="str">
        <f>VLOOKUP(G542,'insumos terrapl'!$C$3:$K$47,8,0)</f>
        <v>00</v>
      </c>
      <c r="O542" s="97" t="str">
        <f>VLOOKUP(G542,'insumos terrapl'!$C$3:$K$47,9,0)</f>
        <v>00</v>
      </c>
    </row>
    <row r="543" spans="1:15">
      <c r="A543" s="125"/>
      <c r="B543" s="127"/>
      <c r="C543" s="125"/>
      <c r="D543" s="115"/>
      <c r="E543" s="115"/>
      <c r="F543" s="11" t="s">
        <v>588</v>
      </c>
      <c r="G543" s="20" t="s">
        <v>589</v>
      </c>
      <c r="H543" s="29" t="str">
        <f>VLOOKUP(G543,'insumos terrapl'!$C$3:$K$47,2,0)</f>
        <v>2N  20  14  08  00  00  00</v>
      </c>
      <c r="I543" s="29" t="str">
        <f>VLOOKUP(G543,'insumos terrapl'!$C$3:$K$47,3,0)</f>
        <v>2N</v>
      </c>
      <c r="J543" s="29">
        <f>VLOOKUP(G543,'insumos terrapl'!$C$3:$K$47,4,0)</f>
        <v>20</v>
      </c>
      <c r="K543" s="29">
        <f>VLOOKUP(G543,'insumos terrapl'!$C$3:$K$47,5,0)</f>
        <v>14</v>
      </c>
      <c r="L543" s="29" t="str">
        <f>VLOOKUP(G543,'insumos terrapl'!$C$3:$K$47,6,0)</f>
        <v>08</v>
      </c>
      <c r="M543" s="29" t="str">
        <f>VLOOKUP(G543,'insumos terrapl'!$C$3:$K$47,7,0)</f>
        <v>00</v>
      </c>
      <c r="N543" s="29" t="str">
        <f>VLOOKUP(G543,'insumos terrapl'!$C$3:$K$47,8,0)</f>
        <v>00</v>
      </c>
      <c r="O543" s="97" t="str">
        <f>VLOOKUP(G543,'insumos terrapl'!$C$3:$K$47,9,0)</f>
        <v>00</v>
      </c>
    </row>
    <row r="544" spans="1:15">
      <c r="A544" s="125"/>
      <c r="B544" s="127"/>
      <c r="C544" s="132"/>
      <c r="D544" s="116"/>
      <c r="E544" s="116"/>
      <c r="F544" s="13"/>
      <c r="G544" s="21"/>
      <c r="H544" s="31"/>
      <c r="I544" s="31"/>
      <c r="J544" s="31"/>
      <c r="K544" s="31"/>
      <c r="L544" s="31"/>
      <c r="M544" s="31"/>
      <c r="N544" s="31"/>
      <c r="O544" s="98"/>
    </row>
    <row r="545" spans="1:15">
      <c r="A545" s="125"/>
      <c r="B545" s="127"/>
      <c r="C545" s="124" t="s">
        <v>136</v>
      </c>
      <c r="D545" s="114" t="str">
        <f>$A$419</f>
        <v>2.6.5</v>
      </c>
      <c r="E545" s="115" t="s">
        <v>449</v>
      </c>
      <c r="F545" s="11" t="s">
        <v>136</v>
      </c>
      <c r="G545" s="20"/>
      <c r="H545" s="29"/>
      <c r="I545" s="29"/>
      <c r="J545" s="29"/>
      <c r="K545" s="29"/>
      <c r="L545" s="29"/>
      <c r="M545" s="29"/>
      <c r="N545" s="29"/>
      <c r="O545" s="97"/>
    </row>
    <row r="546" spans="1:15" ht="30">
      <c r="A546" s="125"/>
      <c r="B546" s="127"/>
      <c r="C546" s="125"/>
      <c r="D546" s="115"/>
      <c r="E546" s="115"/>
      <c r="F546" s="11" t="s">
        <v>651</v>
      </c>
      <c r="G546" s="20" t="s">
        <v>652</v>
      </c>
      <c r="H546" s="29" t="str">
        <f>VLOOKUP(G546,'insumos terrapl'!$C$3:$K$47,2,0)</f>
        <v>2Q  66  10  02  00  00  00</v>
      </c>
      <c r="I546" s="29" t="str">
        <f>VLOOKUP(G546,'insumos terrapl'!$C$3:$K$47,3,0)</f>
        <v>2Q</v>
      </c>
      <c r="J546" s="29">
        <f>VLOOKUP(G546,'insumos terrapl'!$C$3:$K$47,4,0)</f>
        <v>66</v>
      </c>
      <c r="K546" s="29" t="str">
        <f>VLOOKUP(G546,'insumos terrapl'!$C$3:$K$47,5,0)</f>
        <v>10</v>
      </c>
      <c r="L546" s="29" t="str">
        <f>VLOOKUP(G546,'insumos terrapl'!$C$3:$K$47,6,0)</f>
        <v>02</v>
      </c>
      <c r="M546" s="29" t="str">
        <f>VLOOKUP(G546,'insumos terrapl'!$C$3:$K$47,7,0)</f>
        <v>00</v>
      </c>
      <c r="N546" s="29" t="str">
        <f>VLOOKUP(G546,'insumos terrapl'!$C$3:$K$47,8,0)</f>
        <v>00</v>
      </c>
      <c r="O546" s="97" t="str">
        <f>VLOOKUP(G546,'insumos terrapl'!$C$3:$K$47,9,0)</f>
        <v>00</v>
      </c>
    </row>
    <row r="547" spans="1:15" ht="30">
      <c r="A547" s="125"/>
      <c r="B547" s="127"/>
      <c r="C547" s="125"/>
      <c r="D547" s="115"/>
      <c r="E547" s="115"/>
      <c r="F547" s="11" t="s">
        <v>653</v>
      </c>
      <c r="G547" s="20" t="s">
        <v>654</v>
      </c>
      <c r="H547" s="29" t="str">
        <f>VLOOKUP(G547,'insumos terrapl'!$C$3:$K$47,2,0)</f>
        <v>2Q  62  10  06  00  00  00</v>
      </c>
      <c r="I547" s="29" t="str">
        <f>VLOOKUP(G547,'insumos terrapl'!$C$3:$K$47,3,0)</f>
        <v>2Q</v>
      </c>
      <c r="J547" s="29">
        <f>VLOOKUP(G547,'insumos terrapl'!$C$3:$K$47,4,0)</f>
        <v>62</v>
      </c>
      <c r="K547" s="29" t="str">
        <f>VLOOKUP(G547,'insumos terrapl'!$C$3:$K$47,5,0)</f>
        <v>10</v>
      </c>
      <c r="L547" s="29" t="str">
        <f>VLOOKUP(G547,'insumos terrapl'!$C$3:$K$47,6,0)</f>
        <v>06</v>
      </c>
      <c r="M547" s="29" t="str">
        <f>VLOOKUP(G547,'insumos terrapl'!$C$3:$K$47,7,0)</f>
        <v>00</v>
      </c>
      <c r="N547" s="29" t="str">
        <f>VLOOKUP(G547,'insumos terrapl'!$C$3:$K$47,8,0)</f>
        <v>00</v>
      </c>
      <c r="O547" s="97" t="str">
        <f>VLOOKUP(G547,'insumos terrapl'!$C$3:$K$47,9,0)</f>
        <v>00</v>
      </c>
    </row>
    <row r="548" spans="1:15">
      <c r="A548" s="125"/>
      <c r="B548" s="127"/>
      <c r="C548" s="125"/>
      <c r="D548" s="115"/>
      <c r="E548" s="115"/>
      <c r="F548" s="11" t="s">
        <v>605</v>
      </c>
      <c r="G548" s="20" t="s">
        <v>606</v>
      </c>
      <c r="H548" s="29" t="str">
        <f>VLOOKUP(G548,'insumos terrapl'!$C$3:$K$47,2,0)</f>
        <v>2Q  62  30  02  14  00  00</v>
      </c>
      <c r="I548" s="29" t="str">
        <f>VLOOKUP(G548,'insumos terrapl'!$C$3:$K$47,3,0)</f>
        <v>2Q</v>
      </c>
      <c r="J548" s="29">
        <f>VLOOKUP(G548,'insumos terrapl'!$C$3:$K$47,4,0)</f>
        <v>62</v>
      </c>
      <c r="K548" s="29">
        <f>VLOOKUP(G548,'insumos terrapl'!$C$3:$K$47,5,0)</f>
        <v>30</v>
      </c>
      <c r="L548" s="29" t="str">
        <f>VLOOKUP(G548,'insumos terrapl'!$C$3:$K$47,6,0)</f>
        <v>02</v>
      </c>
      <c r="M548" s="29" t="str">
        <f>VLOOKUP(G548,'insumos terrapl'!$C$3:$K$47,7,0)</f>
        <v>14</v>
      </c>
      <c r="N548" s="29" t="str">
        <f>VLOOKUP(G548,'insumos terrapl'!$C$3:$K$47,8,0)</f>
        <v>00</v>
      </c>
      <c r="O548" s="97" t="str">
        <f>VLOOKUP(G548,'insumos terrapl'!$C$3:$K$47,9,0)</f>
        <v>00</v>
      </c>
    </row>
    <row r="549" spans="1:15" ht="30">
      <c r="A549" s="125"/>
      <c r="B549" s="127"/>
      <c r="C549" s="125"/>
      <c r="D549" s="115"/>
      <c r="E549" s="115"/>
      <c r="F549" s="11" t="s">
        <v>657</v>
      </c>
      <c r="G549" s="20" t="s">
        <v>658</v>
      </c>
      <c r="H549" s="29" t="str">
        <f>VLOOKUP(G549,'insumos terrapl'!$C$3:$K$47,2,0)</f>
        <v>2Q  62  30  02  10  00  00</v>
      </c>
      <c r="I549" s="29" t="str">
        <f>VLOOKUP(G549,'insumos terrapl'!$C$3:$K$47,3,0)</f>
        <v>2Q</v>
      </c>
      <c r="J549" s="29">
        <f>VLOOKUP(G549,'insumos terrapl'!$C$3:$K$47,4,0)</f>
        <v>62</v>
      </c>
      <c r="K549" s="29" t="str">
        <f>VLOOKUP(G549,'insumos terrapl'!$C$3:$K$47,5,0)</f>
        <v>30</v>
      </c>
      <c r="L549" s="29" t="str">
        <f>VLOOKUP(G549,'insumos terrapl'!$C$3:$K$47,6,0)</f>
        <v>02</v>
      </c>
      <c r="M549" s="29" t="str">
        <f>VLOOKUP(G549,'insumos terrapl'!$C$3:$K$47,7,0)</f>
        <v>10</v>
      </c>
      <c r="N549" s="29" t="str">
        <f>VLOOKUP(G549,'insumos terrapl'!$C$3:$K$47,8,0)</f>
        <v>00</v>
      </c>
      <c r="O549" s="97" t="str">
        <f>VLOOKUP(G549,'insumos terrapl'!$C$3:$K$47,9,0)</f>
        <v>00</v>
      </c>
    </row>
    <row r="550" spans="1:15">
      <c r="A550" s="125"/>
      <c r="B550" s="127"/>
      <c r="C550" s="125"/>
      <c r="D550" s="115"/>
      <c r="E550" s="115"/>
      <c r="F550" s="11" t="s">
        <v>588</v>
      </c>
      <c r="G550" s="20" t="s">
        <v>589</v>
      </c>
      <c r="H550" s="29" t="str">
        <f>VLOOKUP(G550,'insumos terrapl'!$C$3:$K$47,2,0)</f>
        <v>2N  20  14  08  00  00  00</v>
      </c>
      <c r="I550" s="29" t="str">
        <f>VLOOKUP(G550,'insumos terrapl'!$C$3:$K$47,3,0)</f>
        <v>2N</v>
      </c>
      <c r="J550" s="29">
        <f>VLOOKUP(G550,'insumos terrapl'!$C$3:$K$47,4,0)</f>
        <v>20</v>
      </c>
      <c r="K550" s="29">
        <f>VLOOKUP(G550,'insumos terrapl'!$C$3:$K$47,5,0)</f>
        <v>14</v>
      </c>
      <c r="L550" s="29" t="str">
        <f>VLOOKUP(G550,'insumos terrapl'!$C$3:$K$47,6,0)</f>
        <v>08</v>
      </c>
      <c r="M550" s="29" t="str">
        <f>VLOOKUP(G550,'insumos terrapl'!$C$3:$K$47,7,0)</f>
        <v>00</v>
      </c>
      <c r="N550" s="29" t="str">
        <f>VLOOKUP(G550,'insumos terrapl'!$C$3:$K$47,8,0)</f>
        <v>00</v>
      </c>
      <c r="O550" s="97" t="str">
        <f>VLOOKUP(G550,'insumos terrapl'!$C$3:$K$47,9,0)</f>
        <v>00</v>
      </c>
    </row>
    <row r="551" spans="1:15">
      <c r="A551" s="125"/>
      <c r="B551" s="127"/>
      <c r="C551" s="132"/>
      <c r="D551" s="116"/>
      <c r="E551" s="115"/>
      <c r="F551" s="10"/>
      <c r="G551" s="20"/>
      <c r="H551" s="29"/>
      <c r="I551" s="29"/>
      <c r="J551" s="29"/>
      <c r="K551" s="29"/>
      <c r="L551" s="29"/>
      <c r="M551" s="29"/>
      <c r="N551" s="29"/>
      <c r="O551" s="97"/>
    </row>
    <row r="552" spans="1:15">
      <c r="A552" s="125"/>
      <c r="B552" s="127"/>
      <c r="C552" s="124" t="s">
        <v>137</v>
      </c>
      <c r="D552" s="114" t="str">
        <f>$A$419</f>
        <v>2.6.5</v>
      </c>
      <c r="E552" s="114" t="s">
        <v>451</v>
      </c>
      <c r="F552" s="12" t="s">
        <v>137</v>
      </c>
      <c r="G552" s="19"/>
      <c r="H552" s="28"/>
      <c r="I552" s="28"/>
      <c r="J552" s="28"/>
      <c r="K552" s="28"/>
      <c r="L552" s="28"/>
      <c r="M552" s="28"/>
      <c r="N552" s="28"/>
      <c r="O552" s="99"/>
    </row>
    <row r="553" spans="1:15" ht="30">
      <c r="A553" s="125"/>
      <c r="B553" s="127"/>
      <c r="C553" s="125"/>
      <c r="D553" s="115"/>
      <c r="E553" s="115"/>
      <c r="F553" s="11" t="s">
        <v>651</v>
      </c>
      <c r="G553" s="20" t="s">
        <v>652</v>
      </c>
      <c r="H553" s="29" t="str">
        <f>VLOOKUP(G553,'insumos terrapl'!$C$3:$K$47,2,0)</f>
        <v>2Q  66  10  02  00  00  00</v>
      </c>
      <c r="I553" s="29" t="str">
        <f>VLOOKUP(G553,'insumos terrapl'!$C$3:$K$47,3,0)</f>
        <v>2Q</v>
      </c>
      <c r="J553" s="29">
        <f>VLOOKUP(G553,'insumos terrapl'!$C$3:$K$47,4,0)</f>
        <v>66</v>
      </c>
      <c r="K553" s="29" t="str">
        <f>VLOOKUP(G553,'insumos terrapl'!$C$3:$K$47,5,0)</f>
        <v>10</v>
      </c>
      <c r="L553" s="29" t="str">
        <f>VLOOKUP(G553,'insumos terrapl'!$C$3:$K$47,6,0)</f>
        <v>02</v>
      </c>
      <c r="M553" s="29" t="str">
        <f>VLOOKUP(G553,'insumos terrapl'!$C$3:$K$47,7,0)</f>
        <v>00</v>
      </c>
      <c r="N553" s="29" t="str">
        <f>VLOOKUP(G553,'insumos terrapl'!$C$3:$K$47,8,0)</f>
        <v>00</v>
      </c>
      <c r="O553" s="97" t="str">
        <f>VLOOKUP(G553,'insumos terrapl'!$C$3:$K$47,9,0)</f>
        <v>00</v>
      </c>
    </row>
    <row r="554" spans="1:15" ht="30">
      <c r="A554" s="125"/>
      <c r="B554" s="127"/>
      <c r="C554" s="125"/>
      <c r="D554" s="115"/>
      <c r="E554" s="115"/>
      <c r="F554" s="11" t="s">
        <v>653</v>
      </c>
      <c r="G554" s="20" t="s">
        <v>654</v>
      </c>
      <c r="H554" s="29" t="str">
        <f>VLOOKUP(G554,'insumos terrapl'!$C$3:$K$47,2,0)</f>
        <v>2Q  62  10  06  00  00  00</v>
      </c>
      <c r="I554" s="29" t="str">
        <f>VLOOKUP(G554,'insumos terrapl'!$C$3:$K$47,3,0)</f>
        <v>2Q</v>
      </c>
      <c r="J554" s="29">
        <f>VLOOKUP(G554,'insumos terrapl'!$C$3:$K$47,4,0)</f>
        <v>62</v>
      </c>
      <c r="K554" s="29" t="str">
        <f>VLOOKUP(G554,'insumos terrapl'!$C$3:$K$47,5,0)</f>
        <v>10</v>
      </c>
      <c r="L554" s="29" t="str">
        <f>VLOOKUP(G554,'insumos terrapl'!$C$3:$K$47,6,0)</f>
        <v>06</v>
      </c>
      <c r="M554" s="29" t="str">
        <f>VLOOKUP(G554,'insumos terrapl'!$C$3:$K$47,7,0)</f>
        <v>00</v>
      </c>
      <c r="N554" s="29" t="str">
        <f>VLOOKUP(G554,'insumos terrapl'!$C$3:$K$47,8,0)</f>
        <v>00</v>
      </c>
      <c r="O554" s="97" t="str">
        <f>VLOOKUP(G554,'insumos terrapl'!$C$3:$K$47,9,0)</f>
        <v>00</v>
      </c>
    </row>
    <row r="555" spans="1:15">
      <c r="A555" s="125"/>
      <c r="B555" s="127"/>
      <c r="C555" s="125"/>
      <c r="D555" s="115"/>
      <c r="E555" s="115"/>
      <c r="F555" s="11" t="s">
        <v>605</v>
      </c>
      <c r="G555" s="20" t="s">
        <v>606</v>
      </c>
      <c r="H555" s="29" t="str">
        <f>VLOOKUP(G555,'insumos terrapl'!$C$3:$K$47,2,0)</f>
        <v>2Q  62  30  02  14  00  00</v>
      </c>
      <c r="I555" s="29" t="str">
        <f>VLOOKUP(G555,'insumos terrapl'!$C$3:$K$47,3,0)</f>
        <v>2Q</v>
      </c>
      <c r="J555" s="29">
        <f>VLOOKUP(G555,'insumos terrapl'!$C$3:$K$47,4,0)</f>
        <v>62</v>
      </c>
      <c r="K555" s="29">
        <f>VLOOKUP(G555,'insumos terrapl'!$C$3:$K$47,5,0)</f>
        <v>30</v>
      </c>
      <c r="L555" s="29" t="str">
        <f>VLOOKUP(G555,'insumos terrapl'!$C$3:$K$47,6,0)</f>
        <v>02</v>
      </c>
      <c r="M555" s="29" t="str">
        <f>VLOOKUP(G555,'insumos terrapl'!$C$3:$K$47,7,0)</f>
        <v>14</v>
      </c>
      <c r="N555" s="29" t="str">
        <f>VLOOKUP(G555,'insumos terrapl'!$C$3:$K$47,8,0)</f>
        <v>00</v>
      </c>
      <c r="O555" s="97" t="str">
        <f>VLOOKUP(G555,'insumos terrapl'!$C$3:$K$47,9,0)</f>
        <v>00</v>
      </c>
    </row>
    <row r="556" spans="1:15" ht="30">
      <c r="A556" s="125"/>
      <c r="B556" s="127"/>
      <c r="C556" s="125"/>
      <c r="D556" s="115"/>
      <c r="E556" s="115"/>
      <c r="F556" s="11" t="s">
        <v>657</v>
      </c>
      <c r="G556" s="20" t="s">
        <v>658</v>
      </c>
      <c r="H556" s="29" t="str">
        <f>VLOOKUP(G556,'insumos terrapl'!$C$3:$K$47,2,0)</f>
        <v>2Q  62  30  02  10  00  00</v>
      </c>
      <c r="I556" s="29" t="str">
        <f>VLOOKUP(G556,'insumos terrapl'!$C$3:$K$47,3,0)</f>
        <v>2Q</v>
      </c>
      <c r="J556" s="29">
        <f>VLOOKUP(G556,'insumos terrapl'!$C$3:$K$47,4,0)</f>
        <v>62</v>
      </c>
      <c r="K556" s="29" t="str">
        <f>VLOOKUP(G556,'insumos terrapl'!$C$3:$K$47,5,0)</f>
        <v>30</v>
      </c>
      <c r="L556" s="29" t="str">
        <f>VLOOKUP(G556,'insumos terrapl'!$C$3:$K$47,6,0)</f>
        <v>02</v>
      </c>
      <c r="M556" s="29" t="str">
        <f>VLOOKUP(G556,'insumos terrapl'!$C$3:$K$47,7,0)</f>
        <v>10</v>
      </c>
      <c r="N556" s="29" t="str">
        <f>VLOOKUP(G556,'insumos terrapl'!$C$3:$K$47,8,0)</f>
        <v>00</v>
      </c>
      <c r="O556" s="97" t="str">
        <f>VLOOKUP(G556,'insumos terrapl'!$C$3:$K$47,9,0)</f>
        <v>00</v>
      </c>
    </row>
    <row r="557" spans="1:15">
      <c r="A557" s="125"/>
      <c r="B557" s="127"/>
      <c r="C557" s="125"/>
      <c r="D557" s="115"/>
      <c r="E557" s="115"/>
      <c r="F557" s="11" t="s">
        <v>588</v>
      </c>
      <c r="G557" s="20" t="s">
        <v>589</v>
      </c>
      <c r="H557" s="29" t="str">
        <f>VLOOKUP(G557,'insumos terrapl'!$C$3:$K$47,2,0)</f>
        <v>2N  20  14  08  00  00  00</v>
      </c>
      <c r="I557" s="29" t="str">
        <f>VLOOKUP(G557,'insumos terrapl'!$C$3:$K$47,3,0)</f>
        <v>2N</v>
      </c>
      <c r="J557" s="29">
        <f>VLOOKUP(G557,'insumos terrapl'!$C$3:$K$47,4,0)</f>
        <v>20</v>
      </c>
      <c r="K557" s="29">
        <f>VLOOKUP(G557,'insumos terrapl'!$C$3:$K$47,5,0)</f>
        <v>14</v>
      </c>
      <c r="L557" s="29" t="str">
        <f>VLOOKUP(G557,'insumos terrapl'!$C$3:$K$47,6,0)</f>
        <v>08</v>
      </c>
      <c r="M557" s="29" t="str">
        <f>VLOOKUP(G557,'insumos terrapl'!$C$3:$K$47,7,0)</f>
        <v>00</v>
      </c>
      <c r="N557" s="29" t="str">
        <f>VLOOKUP(G557,'insumos terrapl'!$C$3:$K$47,8,0)</f>
        <v>00</v>
      </c>
      <c r="O557" s="97" t="str">
        <f>VLOOKUP(G557,'insumos terrapl'!$C$3:$K$47,9,0)</f>
        <v>00</v>
      </c>
    </row>
    <row r="558" spans="1:15">
      <c r="A558" s="125"/>
      <c r="B558" s="127"/>
      <c r="C558" s="132"/>
      <c r="D558" s="116"/>
      <c r="E558" s="116"/>
      <c r="F558" s="13"/>
      <c r="G558" s="21"/>
      <c r="H558" s="31"/>
      <c r="I558" s="31"/>
      <c r="J558" s="31"/>
      <c r="K558" s="31"/>
      <c r="L558" s="31"/>
      <c r="M558" s="31"/>
      <c r="N558" s="31"/>
      <c r="O558" s="98"/>
    </row>
    <row r="559" spans="1:15">
      <c r="A559" s="125"/>
      <c r="B559" s="127"/>
      <c r="C559" s="124" t="s">
        <v>138</v>
      </c>
      <c r="D559" s="114" t="str">
        <f>$A$419</f>
        <v>2.6.5</v>
      </c>
      <c r="E559" s="115" t="s">
        <v>453</v>
      </c>
      <c r="F559" s="11" t="s">
        <v>138</v>
      </c>
      <c r="G559" s="20"/>
      <c r="H559" s="29"/>
      <c r="I559" s="29"/>
      <c r="J559" s="29"/>
      <c r="K559" s="29"/>
      <c r="L559" s="29"/>
      <c r="M559" s="29"/>
      <c r="N559" s="29"/>
      <c r="O559" s="97"/>
    </row>
    <row r="560" spans="1:15" ht="30">
      <c r="A560" s="125"/>
      <c r="B560" s="127"/>
      <c r="C560" s="125"/>
      <c r="D560" s="115"/>
      <c r="E560" s="115"/>
      <c r="F560" s="11" t="s">
        <v>651</v>
      </c>
      <c r="G560" s="20" t="s">
        <v>652</v>
      </c>
      <c r="H560" s="29" t="str">
        <f>VLOOKUP(G560,'insumos terrapl'!$C$3:$K$47,2,0)</f>
        <v>2Q  66  10  02  00  00  00</v>
      </c>
      <c r="I560" s="29" t="str">
        <f>VLOOKUP(G560,'insumos terrapl'!$C$3:$K$47,3,0)</f>
        <v>2Q</v>
      </c>
      <c r="J560" s="29">
        <f>VLOOKUP(G560,'insumos terrapl'!$C$3:$K$47,4,0)</f>
        <v>66</v>
      </c>
      <c r="K560" s="29" t="str">
        <f>VLOOKUP(G560,'insumos terrapl'!$C$3:$K$47,5,0)</f>
        <v>10</v>
      </c>
      <c r="L560" s="29" t="str">
        <f>VLOOKUP(G560,'insumos terrapl'!$C$3:$K$47,6,0)</f>
        <v>02</v>
      </c>
      <c r="M560" s="29" t="str">
        <f>VLOOKUP(G560,'insumos terrapl'!$C$3:$K$47,7,0)</f>
        <v>00</v>
      </c>
      <c r="N560" s="29" t="str">
        <f>VLOOKUP(G560,'insumos terrapl'!$C$3:$K$47,8,0)</f>
        <v>00</v>
      </c>
      <c r="O560" s="97" t="str">
        <f>VLOOKUP(G560,'insumos terrapl'!$C$3:$K$47,9,0)</f>
        <v>00</v>
      </c>
    </row>
    <row r="561" spans="1:15" ht="30">
      <c r="A561" s="125"/>
      <c r="B561" s="127"/>
      <c r="C561" s="125"/>
      <c r="D561" s="115"/>
      <c r="E561" s="115"/>
      <c r="F561" s="11" t="s">
        <v>653</v>
      </c>
      <c r="G561" s="20" t="s">
        <v>654</v>
      </c>
      <c r="H561" s="29" t="str">
        <f>VLOOKUP(G561,'insumos terrapl'!$C$3:$K$47,2,0)</f>
        <v>2Q  62  10  06  00  00  00</v>
      </c>
      <c r="I561" s="29" t="str">
        <f>VLOOKUP(G561,'insumos terrapl'!$C$3:$K$47,3,0)</f>
        <v>2Q</v>
      </c>
      <c r="J561" s="29">
        <f>VLOOKUP(G561,'insumos terrapl'!$C$3:$K$47,4,0)</f>
        <v>62</v>
      </c>
      <c r="K561" s="29" t="str">
        <f>VLOOKUP(G561,'insumos terrapl'!$C$3:$K$47,5,0)</f>
        <v>10</v>
      </c>
      <c r="L561" s="29" t="str">
        <f>VLOOKUP(G561,'insumos terrapl'!$C$3:$K$47,6,0)</f>
        <v>06</v>
      </c>
      <c r="M561" s="29" t="str">
        <f>VLOOKUP(G561,'insumos terrapl'!$C$3:$K$47,7,0)</f>
        <v>00</v>
      </c>
      <c r="N561" s="29" t="str">
        <f>VLOOKUP(G561,'insumos terrapl'!$C$3:$K$47,8,0)</f>
        <v>00</v>
      </c>
      <c r="O561" s="97" t="str">
        <f>VLOOKUP(G561,'insumos terrapl'!$C$3:$K$47,9,0)</f>
        <v>00</v>
      </c>
    </row>
    <row r="562" spans="1:15">
      <c r="A562" s="125"/>
      <c r="B562" s="127"/>
      <c r="C562" s="125"/>
      <c r="D562" s="115"/>
      <c r="E562" s="115"/>
      <c r="F562" s="11" t="s">
        <v>605</v>
      </c>
      <c r="G562" s="20" t="s">
        <v>606</v>
      </c>
      <c r="H562" s="29" t="str">
        <f>VLOOKUP(G562,'insumos terrapl'!$C$3:$K$47,2,0)</f>
        <v>2Q  62  30  02  14  00  00</v>
      </c>
      <c r="I562" s="29" t="str">
        <f>VLOOKUP(G562,'insumos terrapl'!$C$3:$K$47,3,0)</f>
        <v>2Q</v>
      </c>
      <c r="J562" s="29">
        <f>VLOOKUP(G562,'insumos terrapl'!$C$3:$K$47,4,0)</f>
        <v>62</v>
      </c>
      <c r="K562" s="29">
        <f>VLOOKUP(G562,'insumos terrapl'!$C$3:$K$47,5,0)</f>
        <v>30</v>
      </c>
      <c r="L562" s="29" t="str">
        <f>VLOOKUP(G562,'insumos terrapl'!$C$3:$K$47,6,0)</f>
        <v>02</v>
      </c>
      <c r="M562" s="29" t="str">
        <f>VLOOKUP(G562,'insumos terrapl'!$C$3:$K$47,7,0)</f>
        <v>14</v>
      </c>
      <c r="N562" s="29" t="str">
        <f>VLOOKUP(G562,'insumos terrapl'!$C$3:$K$47,8,0)</f>
        <v>00</v>
      </c>
      <c r="O562" s="97" t="str">
        <f>VLOOKUP(G562,'insumos terrapl'!$C$3:$K$47,9,0)</f>
        <v>00</v>
      </c>
    </row>
    <row r="563" spans="1:15" ht="30">
      <c r="A563" s="125"/>
      <c r="B563" s="127"/>
      <c r="C563" s="125"/>
      <c r="D563" s="115"/>
      <c r="E563" s="115"/>
      <c r="F563" s="11" t="s">
        <v>657</v>
      </c>
      <c r="G563" s="20" t="s">
        <v>658</v>
      </c>
      <c r="H563" s="29" t="str">
        <f>VLOOKUP(G563,'insumos terrapl'!$C$3:$K$47,2,0)</f>
        <v>2Q  62  30  02  10  00  00</v>
      </c>
      <c r="I563" s="29" t="str">
        <f>VLOOKUP(G563,'insumos terrapl'!$C$3:$K$47,3,0)</f>
        <v>2Q</v>
      </c>
      <c r="J563" s="29">
        <f>VLOOKUP(G563,'insumos terrapl'!$C$3:$K$47,4,0)</f>
        <v>62</v>
      </c>
      <c r="K563" s="29" t="str">
        <f>VLOOKUP(G563,'insumos terrapl'!$C$3:$K$47,5,0)</f>
        <v>30</v>
      </c>
      <c r="L563" s="29" t="str">
        <f>VLOOKUP(G563,'insumos terrapl'!$C$3:$K$47,6,0)</f>
        <v>02</v>
      </c>
      <c r="M563" s="29" t="str">
        <f>VLOOKUP(G563,'insumos terrapl'!$C$3:$K$47,7,0)</f>
        <v>10</v>
      </c>
      <c r="N563" s="29" t="str">
        <f>VLOOKUP(G563,'insumos terrapl'!$C$3:$K$47,8,0)</f>
        <v>00</v>
      </c>
      <c r="O563" s="97" t="str">
        <f>VLOOKUP(G563,'insumos terrapl'!$C$3:$K$47,9,0)</f>
        <v>00</v>
      </c>
    </row>
    <row r="564" spans="1:15">
      <c r="A564" s="125"/>
      <c r="B564" s="127"/>
      <c r="C564" s="125"/>
      <c r="D564" s="115"/>
      <c r="E564" s="115"/>
      <c r="F564" s="11" t="s">
        <v>588</v>
      </c>
      <c r="G564" s="20" t="s">
        <v>589</v>
      </c>
      <c r="H564" s="29" t="str">
        <f>VLOOKUP(G564,'insumos terrapl'!$C$3:$K$47,2,0)</f>
        <v>2N  20  14  08  00  00  00</v>
      </c>
      <c r="I564" s="29" t="str">
        <f>VLOOKUP(G564,'insumos terrapl'!$C$3:$K$47,3,0)</f>
        <v>2N</v>
      </c>
      <c r="J564" s="29">
        <f>VLOOKUP(G564,'insumos terrapl'!$C$3:$K$47,4,0)</f>
        <v>20</v>
      </c>
      <c r="K564" s="29">
        <f>VLOOKUP(G564,'insumos terrapl'!$C$3:$K$47,5,0)</f>
        <v>14</v>
      </c>
      <c r="L564" s="29" t="str">
        <f>VLOOKUP(G564,'insumos terrapl'!$C$3:$K$47,6,0)</f>
        <v>08</v>
      </c>
      <c r="M564" s="29" t="str">
        <f>VLOOKUP(G564,'insumos terrapl'!$C$3:$K$47,7,0)</f>
        <v>00</v>
      </c>
      <c r="N564" s="29" t="str">
        <f>VLOOKUP(G564,'insumos terrapl'!$C$3:$K$47,8,0)</f>
        <v>00</v>
      </c>
      <c r="O564" s="97" t="str">
        <f>VLOOKUP(G564,'insumos terrapl'!$C$3:$K$47,9,0)</f>
        <v>00</v>
      </c>
    </row>
    <row r="565" spans="1:15">
      <c r="A565" s="125"/>
      <c r="B565" s="127"/>
      <c r="C565" s="132"/>
      <c r="D565" s="116"/>
      <c r="E565" s="115"/>
      <c r="F565" s="10"/>
      <c r="G565" s="20"/>
      <c r="H565" s="29"/>
      <c r="I565" s="29"/>
      <c r="J565" s="29"/>
      <c r="K565" s="29"/>
      <c r="L565" s="29"/>
      <c r="M565" s="29"/>
      <c r="N565" s="29"/>
      <c r="O565" s="97"/>
    </row>
    <row r="566" spans="1:15">
      <c r="A566" s="125"/>
      <c r="B566" s="127"/>
      <c r="C566" s="124" t="s">
        <v>139</v>
      </c>
      <c r="D566" s="114" t="str">
        <f>$A$419</f>
        <v>2.6.5</v>
      </c>
      <c r="E566" s="114" t="s">
        <v>455</v>
      </c>
      <c r="F566" s="12" t="s">
        <v>139</v>
      </c>
      <c r="G566" s="19"/>
      <c r="H566" s="28"/>
      <c r="I566" s="28"/>
      <c r="J566" s="28"/>
      <c r="K566" s="28"/>
      <c r="L566" s="28"/>
      <c r="M566" s="28"/>
      <c r="N566" s="28"/>
      <c r="O566" s="99"/>
    </row>
    <row r="567" spans="1:15" ht="30">
      <c r="A567" s="125"/>
      <c r="B567" s="127"/>
      <c r="C567" s="125"/>
      <c r="D567" s="115"/>
      <c r="E567" s="115"/>
      <c r="F567" s="11" t="s">
        <v>651</v>
      </c>
      <c r="G567" s="20" t="s">
        <v>652</v>
      </c>
      <c r="H567" s="29" t="str">
        <f>VLOOKUP(G567,'insumos terrapl'!$C$3:$K$47,2,0)</f>
        <v>2Q  66  10  02  00  00  00</v>
      </c>
      <c r="I567" s="29" t="str">
        <f>VLOOKUP(G567,'insumos terrapl'!$C$3:$K$47,3,0)</f>
        <v>2Q</v>
      </c>
      <c r="J567" s="29">
        <f>VLOOKUP(G567,'insumos terrapl'!$C$3:$K$47,4,0)</f>
        <v>66</v>
      </c>
      <c r="K567" s="29" t="str">
        <f>VLOOKUP(G567,'insumos terrapl'!$C$3:$K$47,5,0)</f>
        <v>10</v>
      </c>
      <c r="L567" s="29" t="str">
        <f>VLOOKUP(G567,'insumos terrapl'!$C$3:$K$47,6,0)</f>
        <v>02</v>
      </c>
      <c r="M567" s="29" t="str">
        <f>VLOOKUP(G567,'insumos terrapl'!$C$3:$K$47,7,0)</f>
        <v>00</v>
      </c>
      <c r="N567" s="29" t="str">
        <f>VLOOKUP(G567,'insumos terrapl'!$C$3:$K$47,8,0)</f>
        <v>00</v>
      </c>
      <c r="O567" s="97" t="str">
        <f>VLOOKUP(G567,'insumos terrapl'!$C$3:$K$47,9,0)</f>
        <v>00</v>
      </c>
    </row>
    <row r="568" spans="1:15" ht="30">
      <c r="A568" s="125"/>
      <c r="B568" s="127"/>
      <c r="C568" s="125"/>
      <c r="D568" s="115"/>
      <c r="E568" s="115"/>
      <c r="F568" s="11" t="s">
        <v>653</v>
      </c>
      <c r="G568" s="20" t="s">
        <v>654</v>
      </c>
      <c r="H568" s="29" t="str">
        <f>VLOOKUP(G568,'insumos terrapl'!$C$3:$K$47,2,0)</f>
        <v>2Q  62  10  06  00  00  00</v>
      </c>
      <c r="I568" s="29" t="str">
        <f>VLOOKUP(G568,'insumos terrapl'!$C$3:$K$47,3,0)</f>
        <v>2Q</v>
      </c>
      <c r="J568" s="29">
        <f>VLOOKUP(G568,'insumos terrapl'!$C$3:$K$47,4,0)</f>
        <v>62</v>
      </c>
      <c r="K568" s="29" t="str">
        <f>VLOOKUP(G568,'insumos terrapl'!$C$3:$K$47,5,0)</f>
        <v>10</v>
      </c>
      <c r="L568" s="29" t="str">
        <f>VLOOKUP(G568,'insumos terrapl'!$C$3:$K$47,6,0)</f>
        <v>06</v>
      </c>
      <c r="M568" s="29" t="str">
        <f>VLOOKUP(G568,'insumos terrapl'!$C$3:$K$47,7,0)</f>
        <v>00</v>
      </c>
      <c r="N568" s="29" t="str">
        <f>VLOOKUP(G568,'insumos terrapl'!$C$3:$K$47,8,0)</f>
        <v>00</v>
      </c>
      <c r="O568" s="97" t="str">
        <f>VLOOKUP(G568,'insumos terrapl'!$C$3:$K$47,9,0)</f>
        <v>00</v>
      </c>
    </row>
    <row r="569" spans="1:15">
      <c r="A569" s="125"/>
      <c r="B569" s="127"/>
      <c r="C569" s="125"/>
      <c r="D569" s="115"/>
      <c r="E569" s="115"/>
      <c r="F569" s="11" t="s">
        <v>605</v>
      </c>
      <c r="G569" s="20" t="s">
        <v>606</v>
      </c>
      <c r="H569" s="29" t="str">
        <f>VLOOKUP(G569,'insumos terrapl'!$C$3:$K$47,2,0)</f>
        <v>2Q  62  30  02  14  00  00</v>
      </c>
      <c r="I569" s="29" t="str">
        <f>VLOOKUP(G569,'insumos terrapl'!$C$3:$K$47,3,0)</f>
        <v>2Q</v>
      </c>
      <c r="J569" s="29">
        <f>VLOOKUP(G569,'insumos terrapl'!$C$3:$K$47,4,0)</f>
        <v>62</v>
      </c>
      <c r="K569" s="29">
        <f>VLOOKUP(G569,'insumos terrapl'!$C$3:$K$47,5,0)</f>
        <v>30</v>
      </c>
      <c r="L569" s="29" t="str">
        <f>VLOOKUP(G569,'insumos terrapl'!$C$3:$K$47,6,0)</f>
        <v>02</v>
      </c>
      <c r="M569" s="29" t="str">
        <f>VLOOKUP(G569,'insumos terrapl'!$C$3:$K$47,7,0)</f>
        <v>14</v>
      </c>
      <c r="N569" s="29" t="str">
        <f>VLOOKUP(G569,'insumos terrapl'!$C$3:$K$47,8,0)</f>
        <v>00</v>
      </c>
      <c r="O569" s="97" t="str">
        <f>VLOOKUP(G569,'insumos terrapl'!$C$3:$K$47,9,0)</f>
        <v>00</v>
      </c>
    </row>
    <row r="570" spans="1:15" ht="30">
      <c r="A570" s="125"/>
      <c r="B570" s="127"/>
      <c r="C570" s="125"/>
      <c r="D570" s="115"/>
      <c r="E570" s="115"/>
      <c r="F570" s="11" t="s">
        <v>657</v>
      </c>
      <c r="G570" s="20" t="s">
        <v>658</v>
      </c>
      <c r="H570" s="29" t="str">
        <f>VLOOKUP(G570,'insumos terrapl'!$C$3:$K$47,2,0)</f>
        <v>2Q  62  30  02  10  00  00</v>
      </c>
      <c r="I570" s="29" t="str">
        <f>VLOOKUP(G570,'insumos terrapl'!$C$3:$K$47,3,0)</f>
        <v>2Q</v>
      </c>
      <c r="J570" s="29">
        <f>VLOOKUP(G570,'insumos terrapl'!$C$3:$K$47,4,0)</f>
        <v>62</v>
      </c>
      <c r="K570" s="29" t="str">
        <f>VLOOKUP(G570,'insumos terrapl'!$C$3:$K$47,5,0)</f>
        <v>30</v>
      </c>
      <c r="L570" s="29" t="str">
        <f>VLOOKUP(G570,'insumos terrapl'!$C$3:$K$47,6,0)</f>
        <v>02</v>
      </c>
      <c r="M570" s="29" t="str">
        <f>VLOOKUP(G570,'insumos terrapl'!$C$3:$K$47,7,0)</f>
        <v>10</v>
      </c>
      <c r="N570" s="29" t="str">
        <f>VLOOKUP(G570,'insumos terrapl'!$C$3:$K$47,8,0)</f>
        <v>00</v>
      </c>
      <c r="O570" s="97" t="str">
        <f>VLOOKUP(G570,'insumos terrapl'!$C$3:$K$47,9,0)</f>
        <v>00</v>
      </c>
    </row>
    <row r="571" spans="1:15">
      <c r="A571" s="125"/>
      <c r="B571" s="127"/>
      <c r="C571" s="125"/>
      <c r="D571" s="115"/>
      <c r="E571" s="115"/>
      <c r="F571" s="11" t="s">
        <v>588</v>
      </c>
      <c r="G571" s="20" t="s">
        <v>589</v>
      </c>
      <c r="H571" s="29" t="str">
        <f>VLOOKUP(G571,'insumos terrapl'!$C$3:$K$47,2,0)</f>
        <v>2N  20  14  08  00  00  00</v>
      </c>
      <c r="I571" s="29" t="str">
        <f>VLOOKUP(G571,'insumos terrapl'!$C$3:$K$47,3,0)</f>
        <v>2N</v>
      </c>
      <c r="J571" s="29">
        <f>VLOOKUP(G571,'insumos terrapl'!$C$3:$K$47,4,0)</f>
        <v>20</v>
      </c>
      <c r="K571" s="29">
        <f>VLOOKUP(G571,'insumos terrapl'!$C$3:$K$47,5,0)</f>
        <v>14</v>
      </c>
      <c r="L571" s="29" t="str">
        <f>VLOOKUP(G571,'insumos terrapl'!$C$3:$K$47,6,0)</f>
        <v>08</v>
      </c>
      <c r="M571" s="29" t="str">
        <f>VLOOKUP(G571,'insumos terrapl'!$C$3:$K$47,7,0)</f>
        <v>00</v>
      </c>
      <c r="N571" s="29" t="str">
        <f>VLOOKUP(G571,'insumos terrapl'!$C$3:$K$47,8,0)</f>
        <v>00</v>
      </c>
      <c r="O571" s="97" t="str">
        <f>VLOOKUP(G571,'insumos terrapl'!$C$3:$K$47,9,0)</f>
        <v>00</v>
      </c>
    </row>
    <row r="572" spans="1:15">
      <c r="A572" s="125"/>
      <c r="B572" s="127"/>
      <c r="C572" s="132"/>
      <c r="D572" s="116"/>
      <c r="E572" s="116"/>
      <c r="F572" s="13"/>
      <c r="G572" s="21"/>
      <c r="H572" s="31"/>
      <c r="I572" s="31"/>
      <c r="J572" s="31"/>
      <c r="K572" s="31"/>
      <c r="L572" s="31"/>
      <c r="M572" s="31"/>
      <c r="N572" s="31"/>
      <c r="O572" s="98"/>
    </row>
    <row r="573" spans="1:15">
      <c r="A573" s="125"/>
      <c r="B573" s="127"/>
      <c r="C573" s="124" t="s">
        <v>140</v>
      </c>
      <c r="D573" s="114" t="str">
        <f>$A$419</f>
        <v>2.6.5</v>
      </c>
      <c r="E573" s="115" t="s">
        <v>457</v>
      </c>
      <c r="F573" s="11" t="s">
        <v>140</v>
      </c>
      <c r="G573" s="20"/>
      <c r="H573" s="29"/>
      <c r="I573" s="29"/>
      <c r="J573" s="29"/>
      <c r="K573" s="29"/>
      <c r="L573" s="29"/>
      <c r="M573" s="29"/>
      <c r="N573" s="29"/>
      <c r="O573" s="97"/>
    </row>
    <row r="574" spans="1:15" ht="30">
      <c r="A574" s="125"/>
      <c r="B574" s="127"/>
      <c r="C574" s="125"/>
      <c r="D574" s="115"/>
      <c r="E574" s="115"/>
      <c r="F574" s="11" t="s">
        <v>651</v>
      </c>
      <c r="G574" s="20" t="s">
        <v>652</v>
      </c>
      <c r="H574" s="29" t="str">
        <f>VLOOKUP(G574,'insumos terrapl'!$C$3:$K$47,2,0)</f>
        <v>2Q  66  10  02  00  00  00</v>
      </c>
      <c r="I574" s="29" t="str">
        <f>VLOOKUP(G574,'insumos terrapl'!$C$3:$K$47,3,0)</f>
        <v>2Q</v>
      </c>
      <c r="J574" s="29">
        <f>VLOOKUP(G574,'insumos terrapl'!$C$3:$K$47,4,0)</f>
        <v>66</v>
      </c>
      <c r="K574" s="29" t="str">
        <f>VLOOKUP(G574,'insumos terrapl'!$C$3:$K$47,5,0)</f>
        <v>10</v>
      </c>
      <c r="L574" s="29" t="str">
        <f>VLOOKUP(G574,'insumos terrapl'!$C$3:$K$47,6,0)</f>
        <v>02</v>
      </c>
      <c r="M574" s="29" t="str">
        <f>VLOOKUP(G574,'insumos terrapl'!$C$3:$K$47,7,0)</f>
        <v>00</v>
      </c>
      <c r="N574" s="29" t="str">
        <f>VLOOKUP(G574,'insumos terrapl'!$C$3:$K$47,8,0)</f>
        <v>00</v>
      </c>
      <c r="O574" s="97" t="str">
        <f>VLOOKUP(G574,'insumos terrapl'!$C$3:$K$47,9,0)</f>
        <v>00</v>
      </c>
    </row>
    <row r="575" spans="1:15" ht="30">
      <c r="A575" s="125"/>
      <c r="B575" s="127"/>
      <c r="C575" s="125"/>
      <c r="D575" s="115"/>
      <c r="E575" s="115"/>
      <c r="F575" s="11" t="s">
        <v>653</v>
      </c>
      <c r="G575" s="20" t="s">
        <v>654</v>
      </c>
      <c r="H575" s="29" t="str">
        <f>VLOOKUP(G575,'insumos terrapl'!$C$3:$K$47,2,0)</f>
        <v>2Q  62  10  06  00  00  00</v>
      </c>
      <c r="I575" s="29" t="str">
        <f>VLOOKUP(G575,'insumos terrapl'!$C$3:$K$47,3,0)</f>
        <v>2Q</v>
      </c>
      <c r="J575" s="29">
        <f>VLOOKUP(G575,'insumos terrapl'!$C$3:$K$47,4,0)</f>
        <v>62</v>
      </c>
      <c r="K575" s="29" t="str">
        <f>VLOOKUP(G575,'insumos terrapl'!$C$3:$K$47,5,0)</f>
        <v>10</v>
      </c>
      <c r="L575" s="29" t="str">
        <f>VLOOKUP(G575,'insumos terrapl'!$C$3:$K$47,6,0)</f>
        <v>06</v>
      </c>
      <c r="M575" s="29" t="str">
        <f>VLOOKUP(G575,'insumos terrapl'!$C$3:$K$47,7,0)</f>
        <v>00</v>
      </c>
      <c r="N575" s="29" t="str">
        <f>VLOOKUP(G575,'insumos terrapl'!$C$3:$K$47,8,0)</f>
        <v>00</v>
      </c>
      <c r="O575" s="97" t="str">
        <f>VLOOKUP(G575,'insumos terrapl'!$C$3:$K$47,9,0)</f>
        <v>00</v>
      </c>
    </row>
    <row r="576" spans="1:15">
      <c r="A576" s="125"/>
      <c r="B576" s="127"/>
      <c r="C576" s="125"/>
      <c r="D576" s="115"/>
      <c r="E576" s="115"/>
      <c r="F576" s="11" t="s">
        <v>605</v>
      </c>
      <c r="G576" s="20" t="s">
        <v>606</v>
      </c>
      <c r="H576" s="29" t="str">
        <f>VLOOKUP(G576,'insumos terrapl'!$C$3:$K$47,2,0)</f>
        <v>2Q  62  30  02  14  00  00</v>
      </c>
      <c r="I576" s="29" t="str">
        <f>VLOOKUP(G576,'insumos terrapl'!$C$3:$K$47,3,0)</f>
        <v>2Q</v>
      </c>
      <c r="J576" s="29">
        <f>VLOOKUP(G576,'insumos terrapl'!$C$3:$K$47,4,0)</f>
        <v>62</v>
      </c>
      <c r="K576" s="29">
        <f>VLOOKUP(G576,'insumos terrapl'!$C$3:$K$47,5,0)</f>
        <v>30</v>
      </c>
      <c r="L576" s="29" t="str">
        <f>VLOOKUP(G576,'insumos terrapl'!$C$3:$K$47,6,0)</f>
        <v>02</v>
      </c>
      <c r="M576" s="29" t="str">
        <f>VLOOKUP(G576,'insumos terrapl'!$C$3:$K$47,7,0)</f>
        <v>14</v>
      </c>
      <c r="N576" s="29" t="str">
        <f>VLOOKUP(G576,'insumos terrapl'!$C$3:$K$47,8,0)</f>
        <v>00</v>
      </c>
      <c r="O576" s="97" t="str">
        <f>VLOOKUP(G576,'insumos terrapl'!$C$3:$K$47,9,0)</f>
        <v>00</v>
      </c>
    </row>
    <row r="577" spans="1:15" ht="30">
      <c r="A577" s="125"/>
      <c r="B577" s="127"/>
      <c r="C577" s="125"/>
      <c r="D577" s="115"/>
      <c r="E577" s="115"/>
      <c r="F577" s="11" t="s">
        <v>657</v>
      </c>
      <c r="G577" s="20" t="s">
        <v>658</v>
      </c>
      <c r="H577" s="29" t="str">
        <f>VLOOKUP(G577,'insumos terrapl'!$C$3:$K$47,2,0)</f>
        <v>2Q  62  30  02  10  00  00</v>
      </c>
      <c r="I577" s="29" t="str">
        <f>VLOOKUP(G577,'insumos terrapl'!$C$3:$K$47,3,0)</f>
        <v>2Q</v>
      </c>
      <c r="J577" s="29">
        <f>VLOOKUP(G577,'insumos terrapl'!$C$3:$K$47,4,0)</f>
        <v>62</v>
      </c>
      <c r="K577" s="29" t="str">
        <f>VLOOKUP(G577,'insumos terrapl'!$C$3:$K$47,5,0)</f>
        <v>30</v>
      </c>
      <c r="L577" s="29" t="str">
        <f>VLOOKUP(G577,'insumos terrapl'!$C$3:$K$47,6,0)</f>
        <v>02</v>
      </c>
      <c r="M577" s="29" t="str">
        <f>VLOOKUP(G577,'insumos terrapl'!$C$3:$K$47,7,0)</f>
        <v>10</v>
      </c>
      <c r="N577" s="29" t="str">
        <f>VLOOKUP(G577,'insumos terrapl'!$C$3:$K$47,8,0)</f>
        <v>00</v>
      </c>
      <c r="O577" s="97" t="str">
        <f>VLOOKUP(G577,'insumos terrapl'!$C$3:$K$47,9,0)</f>
        <v>00</v>
      </c>
    </row>
    <row r="578" spans="1:15">
      <c r="A578" s="125"/>
      <c r="B578" s="127"/>
      <c r="C578" s="125"/>
      <c r="D578" s="115"/>
      <c r="E578" s="115"/>
      <c r="F578" s="11" t="s">
        <v>588</v>
      </c>
      <c r="G578" s="20" t="s">
        <v>589</v>
      </c>
      <c r="H578" s="29" t="str">
        <f>VLOOKUP(G578,'insumos terrapl'!$C$3:$K$47,2,0)</f>
        <v>2N  20  14  08  00  00  00</v>
      </c>
      <c r="I578" s="29" t="str">
        <f>VLOOKUP(G578,'insumos terrapl'!$C$3:$K$47,3,0)</f>
        <v>2N</v>
      </c>
      <c r="J578" s="29">
        <f>VLOOKUP(G578,'insumos terrapl'!$C$3:$K$47,4,0)</f>
        <v>20</v>
      </c>
      <c r="K578" s="29">
        <f>VLOOKUP(G578,'insumos terrapl'!$C$3:$K$47,5,0)</f>
        <v>14</v>
      </c>
      <c r="L578" s="29" t="str">
        <f>VLOOKUP(G578,'insumos terrapl'!$C$3:$K$47,6,0)</f>
        <v>08</v>
      </c>
      <c r="M578" s="29" t="str">
        <f>VLOOKUP(G578,'insumos terrapl'!$C$3:$K$47,7,0)</f>
        <v>00</v>
      </c>
      <c r="N578" s="29" t="str">
        <f>VLOOKUP(G578,'insumos terrapl'!$C$3:$K$47,8,0)</f>
        <v>00</v>
      </c>
      <c r="O578" s="97" t="str">
        <f>VLOOKUP(G578,'insumos terrapl'!$C$3:$K$47,9,0)</f>
        <v>00</v>
      </c>
    </row>
    <row r="579" spans="1:15">
      <c r="A579" s="125"/>
      <c r="B579" s="127"/>
      <c r="C579" s="132"/>
      <c r="D579" s="116"/>
      <c r="E579" s="115"/>
      <c r="F579" s="10"/>
      <c r="G579" s="20"/>
      <c r="H579" s="29"/>
      <c r="I579" s="29"/>
      <c r="J579" s="29"/>
      <c r="K579" s="29"/>
      <c r="L579" s="29"/>
      <c r="M579" s="29"/>
      <c r="N579" s="29"/>
      <c r="O579" s="97"/>
    </row>
    <row r="580" spans="1:15">
      <c r="A580" s="125"/>
      <c r="B580" s="127"/>
      <c r="C580" s="124" t="s">
        <v>141</v>
      </c>
      <c r="D580" s="114" t="str">
        <f>$A$419</f>
        <v>2.6.5</v>
      </c>
      <c r="E580" s="114" t="s">
        <v>459</v>
      </c>
      <c r="F580" s="12" t="s">
        <v>141</v>
      </c>
      <c r="G580" s="19"/>
      <c r="H580" s="28"/>
      <c r="I580" s="28"/>
      <c r="J580" s="28"/>
      <c r="K580" s="28"/>
      <c r="L580" s="28"/>
      <c r="M580" s="28"/>
      <c r="N580" s="28"/>
      <c r="O580" s="99"/>
    </row>
    <row r="581" spans="1:15" ht="30">
      <c r="A581" s="125"/>
      <c r="B581" s="127"/>
      <c r="C581" s="125"/>
      <c r="D581" s="115"/>
      <c r="E581" s="115"/>
      <c r="F581" s="11" t="s">
        <v>651</v>
      </c>
      <c r="G581" s="20" t="s">
        <v>652</v>
      </c>
      <c r="H581" s="29" t="str">
        <f>VLOOKUP(G581,'insumos terrapl'!$C$3:$K$47,2,0)</f>
        <v>2Q  66  10  02  00  00  00</v>
      </c>
      <c r="I581" s="29" t="str">
        <f>VLOOKUP(G581,'insumos terrapl'!$C$3:$K$47,3,0)</f>
        <v>2Q</v>
      </c>
      <c r="J581" s="29">
        <f>VLOOKUP(G581,'insumos terrapl'!$C$3:$K$47,4,0)</f>
        <v>66</v>
      </c>
      <c r="K581" s="29" t="str">
        <f>VLOOKUP(G581,'insumos terrapl'!$C$3:$K$47,5,0)</f>
        <v>10</v>
      </c>
      <c r="L581" s="29" t="str">
        <f>VLOOKUP(G581,'insumos terrapl'!$C$3:$K$47,6,0)</f>
        <v>02</v>
      </c>
      <c r="M581" s="29" t="str">
        <f>VLOOKUP(G581,'insumos terrapl'!$C$3:$K$47,7,0)</f>
        <v>00</v>
      </c>
      <c r="N581" s="29" t="str">
        <f>VLOOKUP(G581,'insumos terrapl'!$C$3:$K$47,8,0)</f>
        <v>00</v>
      </c>
      <c r="O581" s="97" t="str">
        <f>VLOOKUP(G581,'insumos terrapl'!$C$3:$K$47,9,0)</f>
        <v>00</v>
      </c>
    </row>
    <row r="582" spans="1:15" ht="30">
      <c r="A582" s="125"/>
      <c r="B582" s="127"/>
      <c r="C582" s="125"/>
      <c r="D582" s="115"/>
      <c r="E582" s="115"/>
      <c r="F582" s="11" t="s">
        <v>653</v>
      </c>
      <c r="G582" s="20" t="s">
        <v>654</v>
      </c>
      <c r="H582" s="29" t="str">
        <f>VLOOKUP(G582,'insumos terrapl'!$C$3:$K$47,2,0)</f>
        <v>2Q  62  10  06  00  00  00</v>
      </c>
      <c r="I582" s="29" t="str">
        <f>VLOOKUP(G582,'insumos terrapl'!$C$3:$K$47,3,0)</f>
        <v>2Q</v>
      </c>
      <c r="J582" s="29">
        <f>VLOOKUP(G582,'insumos terrapl'!$C$3:$K$47,4,0)</f>
        <v>62</v>
      </c>
      <c r="K582" s="29" t="str">
        <f>VLOOKUP(G582,'insumos terrapl'!$C$3:$K$47,5,0)</f>
        <v>10</v>
      </c>
      <c r="L582" s="29" t="str">
        <f>VLOOKUP(G582,'insumos terrapl'!$C$3:$K$47,6,0)</f>
        <v>06</v>
      </c>
      <c r="M582" s="29" t="str">
        <f>VLOOKUP(G582,'insumos terrapl'!$C$3:$K$47,7,0)</f>
        <v>00</v>
      </c>
      <c r="N582" s="29" t="str">
        <f>VLOOKUP(G582,'insumos terrapl'!$C$3:$K$47,8,0)</f>
        <v>00</v>
      </c>
      <c r="O582" s="97" t="str">
        <f>VLOOKUP(G582,'insumos terrapl'!$C$3:$K$47,9,0)</f>
        <v>00</v>
      </c>
    </row>
    <row r="583" spans="1:15">
      <c r="A583" s="125"/>
      <c r="B583" s="127"/>
      <c r="C583" s="125"/>
      <c r="D583" s="115"/>
      <c r="E583" s="115"/>
      <c r="F583" s="11" t="s">
        <v>605</v>
      </c>
      <c r="G583" s="20" t="s">
        <v>606</v>
      </c>
      <c r="H583" s="29" t="str">
        <f>VLOOKUP(G583,'insumos terrapl'!$C$3:$K$47,2,0)</f>
        <v>2Q  62  30  02  14  00  00</v>
      </c>
      <c r="I583" s="29" t="str">
        <f>VLOOKUP(G583,'insumos terrapl'!$C$3:$K$47,3,0)</f>
        <v>2Q</v>
      </c>
      <c r="J583" s="29">
        <f>VLOOKUP(G583,'insumos terrapl'!$C$3:$K$47,4,0)</f>
        <v>62</v>
      </c>
      <c r="K583" s="29">
        <f>VLOOKUP(G583,'insumos terrapl'!$C$3:$K$47,5,0)</f>
        <v>30</v>
      </c>
      <c r="L583" s="29" t="str">
        <f>VLOOKUP(G583,'insumos terrapl'!$C$3:$K$47,6,0)</f>
        <v>02</v>
      </c>
      <c r="M583" s="29" t="str">
        <f>VLOOKUP(G583,'insumos terrapl'!$C$3:$K$47,7,0)</f>
        <v>14</v>
      </c>
      <c r="N583" s="29" t="str">
        <f>VLOOKUP(G583,'insumos terrapl'!$C$3:$K$47,8,0)</f>
        <v>00</v>
      </c>
      <c r="O583" s="97" t="str">
        <f>VLOOKUP(G583,'insumos terrapl'!$C$3:$K$47,9,0)</f>
        <v>00</v>
      </c>
    </row>
    <row r="584" spans="1:15" ht="30">
      <c r="A584" s="125"/>
      <c r="B584" s="127"/>
      <c r="C584" s="125"/>
      <c r="D584" s="115"/>
      <c r="E584" s="115"/>
      <c r="F584" s="11" t="s">
        <v>657</v>
      </c>
      <c r="G584" s="20" t="s">
        <v>658</v>
      </c>
      <c r="H584" s="29" t="str">
        <f>VLOOKUP(G584,'insumos terrapl'!$C$3:$K$47,2,0)</f>
        <v>2Q  62  30  02  10  00  00</v>
      </c>
      <c r="I584" s="29" t="str">
        <f>VLOOKUP(G584,'insumos terrapl'!$C$3:$K$47,3,0)</f>
        <v>2Q</v>
      </c>
      <c r="J584" s="29">
        <f>VLOOKUP(G584,'insumos terrapl'!$C$3:$K$47,4,0)</f>
        <v>62</v>
      </c>
      <c r="K584" s="29" t="str">
        <f>VLOOKUP(G584,'insumos terrapl'!$C$3:$K$47,5,0)</f>
        <v>30</v>
      </c>
      <c r="L584" s="29" t="str">
        <f>VLOOKUP(G584,'insumos terrapl'!$C$3:$K$47,6,0)</f>
        <v>02</v>
      </c>
      <c r="M584" s="29" t="str">
        <f>VLOOKUP(G584,'insumos terrapl'!$C$3:$K$47,7,0)</f>
        <v>10</v>
      </c>
      <c r="N584" s="29" t="str">
        <f>VLOOKUP(G584,'insumos terrapl'!$C$3:$K$47,8,0)</f>
        <v>00</v>
      </c>
      <c r="O584" s="97" t="str">
        <f>VLOOKUP(G584,'insumos terrapl'!$C$3:$K$47,9,0)</f>
        <v>00</v>
      </c>
    </row>
    <row r="585" spans="1:15">
      <c r="A585" s="125"/>
      <c r="B585" s="127"/>
      <c r="C585" s="125"/>
      <c r="D585" s="115"/>
      <c r="E585" s="115"/>
      <c r="F585" s="11" t="s">
        <v>588</v>
      </c>
      <c r="G585" s="20" t="s">
        <v>589</v>
      </c>
      <c r="H585" s="29" t="str">
        <f>VLOOKUP(G585,'insumos terrapl'!$C$3:$K$47,2,0)</f>
        <v>2N  20  14  08  00  00  00</v>
      </c>
      <c r="I585" s="29" t="str">
        <f>VLOOKUP(G585,'insumos terrapl'!$C$3:$K$47,3,0)</f>
        <v>2N</v>
      </c>
      <c r="J585" s="29">
        <f>VLOOKUP(G585,'insumos terrapl'!$C$3:$K$47,4,0)</f>
        <v>20</v>
      </c>
      <c r="K585" s="29">
        <f>VLOOKUP(G585,'insumos terrapl'!$C$3:$K$47,5,0)</f>
        <v>14</v>
      </c>
      <c r="L585" s="29" t="str">
        <f>VLOOKUP(G585,'insumos terrapl'!$C$3:$K$47,6,0)</f>
        <v>08</v>
      </c>
      <c r="M585" s="29" t="str">
        <f>VLOOKUP(G585,'insumos terrapl'!$C$3:$K$47,7,0)</f>
        <v>00</v>
      </c>
      <c r="N585" s="29" t="str">
        <f>VLOOKUP(G585,'insumos terrapl'!$C$3:$K$47,8,0)</f>
        <v>00</v>
      </c>
      <c r="O585" s="97" t="str">
        <f>VLOOKUP(G585,'insumos terrapl'!$C$3:$K$47,9,0)</f>
        <v>00</v>
      </c>
    </row>
    <row r="586" spans="1:15">
      <c r="A586" s="125"/>
      <c r="B586" s="127"/>
      <c r="C586" s="132"/>
      <c r="D586" s="116"/>
      <c r="E586" s="116"/>
      <c r="F586" s="13"/>
      <c r="G586" s="21"/>
      <c r="H586" s="31"/>
      <c r="I586" s="31"/>
      <c r="J586" s="31"/>
      <c r="K586" s="31"/>
      <c r="L586" s="31"/>
      <c r="M586" s="31"/>
      <c r="N586" s="31"/>
      <c r="O586" s="98"/>
    </row>
    <row r="587" spans="1:15">
      <c r="A587" s="125"/>
      <c r="B587" s="127"/>
      <c r="C587" s="124" t="s">
        <v>142</v>
      </c>
      <c r="D587" s="114" t="str">
        <f>$A$419</f>
        <v>2.6.5</v>
      </c>
      <c r="E587" s="115" t="s">
        <v>461</v>
      </c>
      <c r="F587" s="11" t="s">
        <v>142</v>
      </c>
      <c r="G587" s="20"/>
      <c r="H587" s="29"/>
      <c r="I587" s="29"/>
      <c r="J587" s="29"/>
      <c r="K587" s="29"/>
      <c r="L587" s="29"/>
      <c r="M587" s="29"/>
      <c r="N587" s="29"/>
      <c r="O587" s="97"/>
    </row>
    <row r="588" spans="1:15" ht="30">
      <c r="A588" s="125"/>
      <c r="B588" s="127"/>
      <c r="C588" s="125"/>
      <c r="D588" s="115"/>
      <c r="E588" s="115"/>
      <c r="F588" s="11" t="s">
        <v>651</v>
      </c>
      <c r="G588" s="20" t="s">
        <v>652</v>
      </c>
      <c r="H588" s="29" t="str">
        <f>VLOOKUP(G588,'insumos terrapl'!$C$3:$K$47,2,0)</f>
        <v>2Q  66  10  02  00  00  00</v>
      </c>
      <c r="I588" s="29" t="str">
        <f>VLOOKUP(G588,'insumos terrapl'!$C$3:$K$47,3,0)</f>
        <v>2Q</v>
      </c>
      <c r="J588" s="29">
        <f>VLOOKUP(G588,'insumos terrapl'!$C$3:$K$47,4,0)</f>
        <v>66</v>
      </c>
      <c r="K588" s="29" t="str">
        <f>VLOOKUP(G588,'insumos terrapl'!$C$3:$K$47,5,0)</f>
        <v>10</v>
      </c>
      <c r="L588" s="29" t="str">
        <f>VLOOKUP(G588,'insumos terrapl'!$C$3:$K$47,6,0)</f>
        <v>02</v>
      </c>
      <c r="M588" s="29" t="str">
        <f>VLOOKUP(G588,'insumos terrapl'!$C$3:$K$47,7,0)</f>
        <v>00</v>
      </c>
      <c r="N588" s="29" t="str">
        <f>VLOOKUP(G588,'insumos terrapl'!$C$3:$K$47,8,0)</f>
        <v>00</v>
      </c>
      <c r="O588" s="97" t="str">
        <f>VLOOKUP(G588,'insumos terrapl'!$C$3:$K$47,9,0)</f>
        <v>00</v>
      </c>
    </row>
    <row r="589" spans="1:15" ht="30">
      <c r="A589" s="125"/>
      <c r="B589" s="127"/>
      <c r="C589" s="125"/>
      <c r="D589" s="115"/>
      <c r="E589" s="115"/>
      <c r="F589" s="11" t="s">
        <v>653</v>
      </c>
      <c r="G589" s="20" t="s">
        <v>654</v>
      </c>
      <c r="H589" s="29" t="str">
        <f>VLOOKUP(G589,'insumos terrapl'!$C$3:$K$47,2,0)</f>
        <v>2Q  62  10  06  00  00  00</v>
      </c>
      <c r="I589" s="29" t="str">
        <f>VLOOKUP(G589,'insumos terrapl'!$C$3:$K$47,3,0)</f>
        <v>2Q</v>
      </c>
      <c r="J589" s="29">
        <f>VLOOKUP(G589,'insumos terrapl'!$C$3:$K$47,4,0)</f>
        <v>62</v>
      </c>
      <c r="K589" s="29" t="str">
        <f>VLOOKUP(G589,'insumos terrapl'!$C$3:$K$47,5,0)</f>
        <v>10</v>
      </c>
      <c r="L589" s="29" t="str">
        <f>VLOOKUP(G589,'insumos terrapl'!$C$3:$K$47,6,0)</f>
        <v>06</v>
      </c>
      <c r="M589" s="29" t="str">
        <f>VLOOKUP(G589,'insumos terrapl'!$C$3:$K$47,7,0)</f>
        <v>00</v>
      </c>
      <c r="N589" s="29" t="str">
        <f>VLOOKUP(G589,'insumos terrapl'!$C$3:$K$47,8,0)</f>
        <v>00</v>
      </c>
      <c r="O589" s="97" t="str">
        <f>VLOOKUP(G589,'insumos terrapl'!$C$3:$K$47,9,0)</f>
        <v>00</v>
      </c>
    </row>
    <row r="590" spans="1:15">
      <c r="A590" s="125"/>
      <c r="B590" s="127"/>
      <c r="C590" s="125"/>
      <c r="D590" s="115"/>
      <c r="E590" s="115"/>
      <c r="F590" s="11" t="s">
        <v>605</v>
      </c>
      <c r="G590" s="20" t="s">
        <v>606</v>
      </c>
      <c r="H590" s="29" t="str">
        <f>VLOOKUP(G590,'insumos terrapl'!$C$3:$K$47,2,0)</f>
        <v>2Q  62  30  02  14  00  00</v>
      </c>
      <c r="I590" s="29" t="str">
        <f>VLOOKUP(G590,'insumos terrapl'!$C$3:$K$47,3,0)</f>
        <v>2Q</v>
      </c>
      <c r="J590" s="29">
        <f>VLOOKUP(G590,'insumos terrapl'!$C$3:$K$47,4,0)</f>
        <v>62</v>
      </c>
      <c r="K590" s="29">
        <f>VLOOKUP(G590,'insumos terrapl'!$C$3:$K$47,5,0)</f>
        <v>30</v>
      </c>
      <c r="L590" s="29" t="str">
        <f>VLOOKUP(G590,'insumos terrapl'!$C$3:$K$47,6,0)</f>
        <v>02</v>
      </c>
      <c r="M590" s="29" t="str">
        <f>VLOOKUP(G590,'insumos terrapl'!$C$3:$K$47,7,0)</f>
        <v>14</v>
      </c>
      <c r="N590" s="29" t="str">
        <f>VLOOKUP(G590,'insumos terrapl'!$C$3:$K$47,8,0)</f>
        <v>00</v>
      </c>
      <c r="O590" s="97" t="str">
        <f>VLOOKUP(G590,'insumos terrapl'!$C$3:$K$47,9,0)</f>
        <v>00</v>
      </c>
    </row>
    <row r="591" spans="1:15" ht="30">
      <c r="A591" s="125"/>
      <c r="B591" s="127"/>
      <c r="C591" s="125"/>
      <c r="D591" s="115"/>
      <c r="E591" s="115"/>
      <c r="F591" s="11" t="s">
        <v>657</v>
      </c>
      <c r="G591" s="20" t="s">
        <v>658</v>
      </c>
      <c r="H591" s="29" t="str">
        <f>VLOOKUP(G591,'insumos terrapl'!$C$3:$K$47,2,0)</f>
        <v>2Q  62  30  02  10  00  00</v>
      </c>
      <c r="I591" s="29" t="str">
        <f>VLOOKUP(G591,'insumos terrapl'!$C$3:$K$47,3,0)</f>
        <v>2Q</v>
      </c>
      <c r="J591" s="29">
        <f>VLOOKUP(G591,'insumos terrapl'!$C$3:$K$47,4,0)</f>
        <v>62</v>
      </c>
      <c r="K591" s="29" t="str">
        <f>VLOOKUP(G591,'insumos terrapl'!$C$3:$K$47,5,0)</f>
        <v>30</v>
      </c>
      <c r="L591" s="29" t="str">
        <f>VLOOKUP(G591,'insumos terrapl'!$C$3:$K$47,6,0)</f>
        <v>02</v>
      </c>
      <c r="M591" s="29" t="str">
        <f>VLOOKUP(G591,'insumos terrapl'!$C$3:$K$47,7,0)</f>
        <v>10</v>
      </c>
      <c r="N591" s="29" t="str">
        <f>VLOOKUP(G591,'insumos terrapl'!$C$3:$K$47,8,0)</f>
        <v>00</v>
      </c>
      <c r="O591" s="97" t="str">
        <f>VLOOKUP(G591,'insumos terrapl'!$C$3:$K$47,9,0)</f>
        <v>00</v>
      </c>
    </row>
    <row r="592" spans="1:15">
      <c r="A592" s="125"/>
      <c r="B592" s="127"/>
      <c r="C592" s="125"/>
      <c r="D592" s="115"/>
      <c r="E592" s="115"/>
      <c r="F592" s="11" t="s">
        <v>588</v>
      </c>
      <c r="G592" s="20" t="s">
        <v>589</v>
      </c>
      <c r="H592" s="29" t="str">
        <f>VLOOKUP(G592,'insumos terrapl'!$C$3:$K$47,2,0)</f>
        <v>2N  20  14  08  00  00  00</v>
      </c>
      <c r="I592" s="29" t="str">
        <f>VLOOKUP(G592,'insumos terrapl'!$C$3:$K$47,3,0)</f>
        <v>2N</v>
      </c>
      <c r="J592" s="29">
        <f>VLOOKUP(G592,'insumos terrapl'!$C$3:$K$47,4,0)</f>
        <v>20</v>
      </c>
      <c r="K592" s="29">
        <f>VLOOKUP(G592,'insumos terrapl'!$C$3:$K$47,5,0)</f>
        <v>14</v>
      </c>
      <c r="L592" s="29" t="str">
        <f>VLOOKUP(G592,'insumos terrapl'!$C$3:$K$47,6,0)</f>
        <v>08</v>
      </c>
      <c r="M592" s="29" t="str">
        <f>VLOOKUP(G592,'insumos terrapl'!$C$3:$K$47,7,0)</f>
        <v>00</v>
      </c>
      <c r="N592" s="29" t="str">
        <f>VLOOKUP(G592,'insumos terrapl'!$C$3:$K$47,8,0)</f>
        <v>00</v>
      </c>
      <c r="O592" s="97" t="str">
        <f>VLOOKUP(G592,'insumos terrapl'!$C$3:$K$47,9,0)</f>
        <v>00</v>
      </c>
    </row>
    <row r="593" spans="1:15">
      <c r="A593" s="125"/>
      <c r="B593" s="127"/>
      <c r="C593" s="132"/>
      <c r="D593" s="116"/>
      <c r="E593" s="115"/>
      <c r="F593" s="10"/>
      <c r="G593" s="20"/>
      <c r="H593" s="29"/>
      <c r="I593" s="29"/>
      <c r="J593" s="29"/>
      <c r="K593" s="29"/>
      <c r="L593" s="29"/>
      <c r="M593" s="29"/>
      <c r="N593" s="29"/>
      <c r="O593" s="97"/>
    </row>
    <row r="594" spans="1:15">
      <c r="A594" s="125"/>
      <c r="B594" s="127"/>
      <c r="C594" s="124" t="s">
        <v>143</v>
      </c>
      <c r="D594" s="114" t="str">
        <f>$A$419</f>
        <v>2.6.5</v>
      </c>
      <c r="E594" s="114" t="s">
        <v>463</v>
      </c>
      <c r="F594" s="12" t="s">
        <v>143</v>
      </c>
      <c r="G594" s="19"/>
      <c r="H594" s="28"/>
      <c r="I594" s="28"/>
      <c r="J594" s="28"/>
      <c r="K594" s="28"/>
      <c r="L594" s="28"/>
      <c r="M594" s="28"/>
      <c r="N594" s="28"/>
      <c r="O594" s="99"/>
    </row>
    <row r="595" spans="1:15" ht="30">
      <c r="A595" s="125"/>
      <c r="B595" s="127"/>
      <c r="C595" s="125"/>
      <c r="D595" s="115"/>
      <c r="E595" s="115"/>
      <c r="F595" s="11" t="s">
        <v>651</v>
      </c>
      <c r="G595" s="20" t="s">
        <v>652</v>
      </c>
      <c r="H595" s="29" t="str">
        <f>VLOOKUP(G595,'insumos terrapl'!$C$3:$K$47,2,0)</f>
        <v>2Q  66  10  02  00  00  00</v>
      </c>
      <c r="I595" s="29" t="str">
        <f>VLOOKUP(G595,'insumos terrapl'!$C$3:$K$47,3,0)</f>
        <v>2Q</v>
      </c>
      <c r="J595" s="29">
        <f>VLOOKUP(G595,'insumos terrapl'!$C$3:$K$47,4,0)</f>
        <v>66</v>
      </c>
      <c r="K595" s="29" t="str">
        <f>VLOOKUP(G595,'insumos terrapl'!$C$3:$K$47,5,0)</f>
        <v>10</v>
      </c>
      <c r="L595" s="29" t="str">
        <f>VLOOKUP(G595,'insumos terrapl'!$C$3:$K$47,6,0)</f>
        <v>02</v>
      </c>
      <c r="M595" s="29" t="str">
        <f>VLOOKUP(G595,'insumos terrapl'!$C$3:$K$47,7,0)</f>
        <v>00</v>
      </c>
      <c r="N595" s="29" t="str">
        <f>VLOOKUP(G595,'insumos terrapl'!$C$3:$K$47,8,0)</f>
        <v>00</v>
      </c>
      <c r="O595" s="97" t="str">
        <f>VLOOKUP(G595,'insumos terrapl'!$C$3:$K$47,9,0)</f>
        <v>00</v>
      </c>
    </row>
    <row r="596" spans="1:15" ht="30">
      <c r="A596" s="125"/>
      <c r="B596" s="127"/>
      <c r="C596" s="125"/>
      <c r="D596" s="115"/>
      <c r="E596" s="115"/>
      <c r="F596" s="11" t="s">
        <v>653</v>
      </c>
      <c r="G596" s="20" t="s">
        <v>654</v>
      </c>
      <c r="H596" s="29" t="str">
        <f>VLOOKUP(G596,'insumos terrapl'!$C$3:$K$47,2,0)</f>
        <v>2Q  62  10  06  00  00  00</v>
      </c>
      <c r="I596" s="29" t="str">
        <f>VLOOKUP(G596,'insumos terrapl'!$C$3:$K$47,3,0)</f>
        <v>2Q</v>
      </c>
      <c r="J596" s="29">
        <f>VLOOKUP(G596,'insumos terrapl'!$C$3:$K$47,4,0)</f>
        <v>62</v>
      </c>
      <c r="K596" s="29" t="str">
        <f>VLOOKUP(G596,'insumos terrapl'!$C$3:$K$47,5,0)</f>
        <v>10</v>
      </c>
      <c r="L596" s="29" t="str">
        <f>VLOOKUP(G596,'insumos terrapl'!$C$3:$K$47,6,0)</f>
        <v>06</v>
      </c>
      <c r="M596" s="29" t="str">
        <f>VLOOKUP(G596,'insumos terrapl'!$C$3:$K$47,7,0)</f>
        <v>00</v>
      </c>
      <c r="N596" s="29" t="str">
        <f>VLOOKUP(G596,'insumos terrapl'!$C$3:$K$47,8,0)</f>
        <v>00</v>
      </c>
      <c r="O596" s="97" t="str">
        <f>VLOOKUP(G596,'insumos terrapl'!$C$3:$K$47,9,0)</f>
        <v>00</v>
      </c>
    </row>
    <row r="597" spans="1:15">
      <c r="A597" s="125"/>
      <c r="B597" s="127"/>
      <c r="C597" s="125"/>
      <c r="D597" s="115"/>
      <c r="E597" s="115"/>
      <c r="F597" s="11" t="s">
        <v>605</v>
      </c>
      <c r="G597" s="20" t="s">
        <v>606</v>
      </c>
      <c r="H597" s="29" t="str">
        <f>VLOOKUP(G597,'insumos terrapl'!$C$3:$K$47,2,0)</f>
        <v>2Q  62  30  02  14  00  00</v>
      </c>
      <c r="I597" s="29" t="str">
        <f>VLOOKUP(G597,'insumos terrapl'!$C$3:$K$47,3,0)</f>
        <v>2Q</v>
      </c>
      <c r="J597" s="29">
        <f>VLOOKUP(G597,'insumos terrapl'!$C$3:$K$47,4,0)</f>
        <v>62</v>
      </c>
      <c r="K597" s="29">
        <f>VLOOKUP(G597,'insumos terrapl'!$C$3:$K$47,5,0)</f>
        <v>30</v>
      </c>
      <c r="L597" s="29" t="str">
        <f>VLOOKUP(G597,'insumos terrapl'!$C$3:$K$47,6,0)</f>
        <v>02</v>
      </c>
      <c r="M597" s="29" t="str">
        <f>VLOOKUP(G597,'insumos terrapl'!$C$3:$K$47,7,0)</f>
        <v>14</v>
      </c>
      <c r="N597" s="29" t="str">
        <f>VLOOKUP(G597,'insumos terrapl'!$C$3:$K$47,8,0)</f>
        <v>00</v>
      </c>
      <c r="O597" s="97" t="str">
        <f>VLOOKUP(G597,'insumos terrapl'!$C$3:$K$47,9,0)</f>
        <v>00</v>
      </c>
    </row>
    <row r="598" spans="1:15" ht="30">
      <c r="A598" s="125"/>
      <c r="B598" s="127"/>
      <c r="C598" s="125"/>
      <c r="D598" s="115"/>
      <c r="E598" s="115"/>
      <c r="F598" s="11" t="s">
        <v>657</v>
      </c>
      <c r="G598" s="20" t="s">
        <v>658</v>
      </c>
      <c r="H598" s="29" t="str">
        <f>VLOOKUP(G598,'insumos terrapl'!$C$3:$K$47,2,0)</f>
        <v>2Q  62  30  02  10  00  00</v>
      </c>
      <c r="I598" s="29" t="str">
        <f>VLOOKUP(G598,'insumos terrapl'!$C$3:$K$47,3,0)</f>
        <v>2Q</v>
      </c>
      <c r="J598" s="29">
        <f>VLOOKUP(G598,'insumos terrapl'!$C$3:$K$47,4,0)</f>
        <v>62</v>
      </c>
      <c r="K598" s="29" t="str">
        <f>VLOOKUP(G598,'insumos terrapl'!$C$3:$K$47,5,0)</f>
        <v>30</v>
      </c>
      <c r="L598" s="29" t="str">
        <f>VLOOKUP(G598,'insumos terrapl'!$C$3:$K$47,6,0)</f>
        <v>02</v>
      </c>
      <c r="M598" s="29" t="str">
        <f>VLOOKUP(G598,'insumos terrapl'!$C$3:$K$47,7,0)</f>
        <v>10</v>
      </c>
      <c r="N598" s="29" t="str">
        <f>VLOOKUP(G598,'insumos terrapl'!$C$3:$K$47,8,0)</f>
        <v>00</v>
      </c>
      <c r="O598" s="97" t="str">
        <f>VLOOKUP(G598,'insumos terrapl'!$C$3:$K$47,9,0)</f>
        <v>00</v>
      </c>
    </row>
    <row r="599" spans="1:15">
      <c r="A599" s="125"/>
      <c r="B599" s="127"/>
      <c r="C599" s="125"/>
      <c r="D599" s="115"/>
      <c r="E599" s="115"/>
      <c r="F599" s="11" t="s">
        <v>588</v>
      </c>
      <c r="G599" s="20" t="s">
        <v>589</v>
      </c>
      <c r="H599" s="29" t="str">
        <f>VLOOKUP(G599,'insumos terrapl'!$C$3:$K$47,2,0)</f>
        <v>2N  20  14  08  00  00  00</v>
      </c>
      <c r="I599" s="29" t="str">
        <f>VLOOKUP(G599,'insumos terrapl'!$C$3:$K$47,3,0)</f>
        <v>2N</v>
      </c>
      <c r="J599" s="29">
        <f>VLOOKUP(G599,'insumos terrapl'!$C$3:$K$47,4,0)</f>
        <v>20</v>
      </c>
      <c r="K599" s="29">
        <f>VLOOKUP(G599,'insumos terrapl'!$C$3:$K$47,5,0)</f>
        <v>14</v>
      </c>
      <c r="L599" s="29" t="str">
        <f>VLOOKUP(G599,'insumos terrapl'!$C$3:$K$47,6,0)</f>
        <v>08</v>
      </c>
      <c r="M599" s="29" t="str">
        <f>VLOOKUP(G599,'insumos terrapl'!$C$3:$K$47,7,0)</f>
        <v>00</v>
      </c>
      <c r="N599" s="29" t="str">
        <f>VLOOKUP(G599,'insumos terrapl'!$C$3:$K$47,8,0)</f>
        <v>00</v>
      </c>
      <c r="O599" s="97" t="str">
        <f>VLOOKUP(G599,'insumos terrapl'!$C$3:$K$47,9,0)</f>
        <v>00</v>
      </c>
    </row>
    <row r="600" spans="1:15">
      <c r="A600" s="125"/>
      <c r="B600" s="127"/>
      <c r="C600" s="132"/>
      <c r="D600" s="116"/>
      <c r="E600" s="116"/>
      <c r="F600" s="13"/>
      <c r="G600" s="21"/>
      <c r="H600" s="31"/>
      <c r="I600" s="31"/>
      <c r="J600" s="31"/>
      <c r="K600" s="31"/>
      <c r="L600" s="31"/>
      <c r="M600" s="31"/>
      <c r="N600" s="31"/>
      <c r="O600" s="98"/>
    </row>
    <row r="601" spans="1:15">
      <c r="A601" s="125"/>
      <c r="B601" s="127"/>
      <c r="C601" s="124" t="s">
        <v>144</v>
      </c>
      <c r="D601" s="114" t="str">
        <f>$A$419</f>
        <v>2.6.5</v>
      </c>
      <c r="E601" s="115" t="s">
        <v>465</v>
      </c>
      <c r="F601" s="11" t="s">
        <v>144</v>
      </c>
      <c r="G601" s="20"/>
      <c r="H601" s="29"/>
      <c r="I601" s="29"/>
      <c r="J601" s="29"/>
      <c r="K601" s="29"/>
      <c r="L601" s="29"/>
      <c r="M601" s="29"/>
      <c r="N601" s="29"/>
      <c r="O601" s="97"/>
    </row>
    <row r="602" spans="1:15" ht="30">
      <c r="A602" s="125"/>
      <c r="B602" s="127"/>
      <c r="C602" s="125"/>
      <c r="D602" s="115"/>
      <c r="E602" s="115"/>
      <c r="F602" s="11" t="s">
        <v>651</v>
      </c>
      <c r="G602" s="20" t="s">
        <v>652</v>
      </c>
      <c r="H602" s="29" t="str">
        <f>VLOOKUP(G602,'insumos terrapl'!$C$3:$K$47,2,0)</f>
        <v>2Q  66  10  02  00  00  00</v>
      </c>
      <c r="I602" s="29" t="str">
        <f>VLOOKUP(G602,'insumos terrapl'!$C$3:$K$47,3,0)</f>
        <v>2Q</v>
      </c>
      <c r="J602" s="29">
        <f>VLOOKUP(G602,'insumos terrapl'!$C$3:$K$47,4,0)</f>
        <v>66</v>
      </c>
      <c r="K602" s="29" t="str">
        <f>VLOOKUP(G602,'insumos terrapl'!$C$3:$K$47,5,0)</f>
        <v>10</v>
      </c>
      <c r="L602" s="29" t="str">
        <f>VLOOKUP(G602,'insumos terrapl'!$C$3:$K$47,6,0)</f>
        <v>02</v>
      </c>
      <c r="M602" s="29" t="str">
        <f>VLOOKUP(G602,'insumos terrapl'!$C$3:$K$47,7,0)</f>
        <v>00</v>
      </c>
      <c r="N602" s="29" t="str">
        <f>VLOOKUP(G602,'insumos terrapl'!$C$3:$K$47,8,0)</f>
        <v>00</v>
      </c>
      <c r="O602" s="97" t="str">
        <f>VLOOKUP(G602,'insumos terrapl'!$C$3:$K$47,9,0)</f>
        <v>00</v>
      </c>
    </row>
    <row r="603" spans="1:15" ht="30">
      <c r="A603" s="125"/>
      <c r="B603" s="127"/>
      <c r="C603" s="125"/>
      <c r="D603" s="115"/>
      <c r="E603" s="115"/>
      <c r="F603" s="11" t="s">
        <v>653</v>
      </c>
      <c r="G603" s="20" t="s">
        <v>654</v>
      </c>
      <c r="H603" s="29" t="str">
        <f>VLOOKUP(G603,'insumos terrapl'!$C$3:$K$47,2,0)</f>
        <v>2Q  62  10  06  00  00  00</v>
      </c>
      <c r="I603" s="29" t="str">
        <f>VLOOKUP(G603,'insumos terrapl'!$C$3:$K$47,3,0)</f>
        <v>2Q</v>
      </c>
      <c r="J603" s="29">
        <f>VLOOKUP(G603,'insumos terrapl'!$C$3:$K$47,4,0)</f>
        <v>62</v>
      </c>
      <c r="K603" s="29" t="str">
        <f>VLOOKUP(G603,'insumos terrapl'!$C$3:$K$47,5,0)</f>
        <v>10</v>
      </c>
      <c r="L603" s="29" t="str">
        <f>VLOOKUP(G603,'insumos terrapl'!$C$3:$K$47,6,0)</f>
        <v>06</v>
      </c>
      <c r="M603" s="29" t="str">
        <f>VLOOKUP(G603,'insumos terrapl'!$C$3:$K$47,7,0)</f>
        <v>00</v>
      </c>
      <c r="N603" s="29" t="str">
        <f>VLOOKUP(G603,'insumos terrapl'!$C$3:$K$47,8,0)</f>
        <v>00</v>
      </c>
      <c r="O603" s="97" t="str">
        <f>VLOOKUP(G603,'insumos terrapl'!$C$3:$K$47,9,0)</f>
        <v>00</v>
      </c>
    </row>
    <row r="604" spans="1:15">
      <c r="A604" s="125"/>
      <c r="B604" s="127"/>
      <c r="C604" s="125"/>
      <c r="D604" s="115"/>
      <c r="E604" s="115"/>
      <c r="F604" s="11" t="s">
        <v>605</v>
      </c>
      <c r="G604" s="20" t="s">
        <v>606</v>
      </c>
      <c r="H604" s="29" t="str">
        <f>VLOOKUP(G604,'insumos terrapl'!$C$3:$K$47,2,0)</f>
        <v>2Q  62  30  02  14  00  00</v>
      </c>
      <c r="I604" s="29" t="str">
        <f>VLOOKUP(G604,'insumos terrapl'!$C$3:$K$47,3,0)</f>
        <v>2Q</v>
      </c>
      <c r="J604" s="29">
        <f>VLOOKUP(G604,'insumos terrapl'!$C$3:$K$47,4,0)</f>
        <v>62</v>
      </c>
      <c r="K604" s="29">
        <f>VLOOKUP(G604,'insumos terrapl'!$C$3:$K$47,5,0)</f>
        <v>30</v>
      </c>
      <c r="L604" s="29" t="str">
        <f>VLOOKUP(G604,'insumos terrapl'!$C$3:$K$47,6,0)</f>
        <v>02</v>
      </c>
      <c r="M604" s="29" t="str">
        <f>VLOOKUP(G604,'insumos terrapl'!$C$3:$K$47,7,0)</f>
        <v>14</v>
      </c>
      <c r="N604" s="29" t="str">
        <f>VLOOKUP(G604,'insumos terrapl'!$C$3:$K$47,8,0)</f>
        <v>00</v>
      </c>
      <c r="O604" s="97" t="str">
        <f>VLOOKUP(G604,'insumos terrapl'!$C$3:$K$47,9,0)</f>
        <v>00</v>
      </c>
    </row>
    <row r="605" spans="1:15" ht="30">
      <c r="A605" s="125"/>
      <c r="B605" s="127"/>
      <c r="C605" s="125"/>
      <c r="D605" s="115"/>
      <c r="E605" s="115"/>
      <c r="F605" s="11" t="s">
        <v>657</v>
      </c>
      <c r="G605" s="20" t="s">
        <v>658</v>
      </c>
      <c r="H605" s="29" t="str">
        <f>VLOOKUP(G605,'insumos terrapl'!$C$3:$K$47,2,0)</f>
        <v>2Q  62  30  02  10  00  00</v>
      </c>
      <c r="I605" s="29" t="str">
        <f>VLOOKUP(G605,'insumos terrapl'!$C$3:$K$47,3,0)</f>
        <v>2Q</v>
      </c>
      <c r="J605" s="29">
        <f>VLOOKUP(G605,'insumos terrapl'!$C$3:$K$47,4,0)</f>
        <v>62</v>
      </c>
      <c r="K605" s="29" t="str">
        <f>VLOOKUP(G605,'insumos terrapl'!$C$3:$K$47,5,0)</f>
        <v>30</v>
      </c>
      <c r="L605" s="29" t="str">
        <f>VLOOKUP(G605,'insumos terrapl'!$C$3:$K$47,6,0)</f>
        <v>02</v>
      </c>
      <c r="M605" s="29" t="str">
        <f>VLOOKUP(G605,'insumos terrapl'!$C$3:$K$47,7,0)</f>
        <v>10</v>
      </c>
      <c r="N605" s="29" t="str">
        <f>VLOOKUP(G605,'insumos terrapl'!$C$3:$K$47,8,0)</f>
        <v>00</v>
      </c>
      <c r="O605" s="97" t="str">
        <f>VLOOKUP(G605,'insumos terrapl'!$C$3:$K$47,9,0)</f>
        <v>00</v>
      </c>
    </row>
    <row r="606" spans="1:15">
      <c r="A606" s="125"/>
      <c r="B606" s="127"/>
      <c r="C606" s="125"/>
      <c r="D606" s="115"/>
      <c r="E606" s="115"/>
      <c r="F606" s="11" t="s">
        <v>588</v>
      </c>
      <c r="G606" s="20" t="s">
        <v>589</v>
      </c>
      <c r="H606" s="29" t="str">
        <f>VLOOKUP(G606,'insumos terrapl'!$C$3:$K$47,2,0)</f>
        <v>2N  20  14  08  00  00  00</v>
      </c>
      <c r="I606" s="29" t="str">
        <f>VLOOKUP(G606,'insumos terrapl'!$C$3:$K$47,3,0)</f>
        <v>2N</v>
      </c>
      <c r="J606" s="29">
        <f>VLOOKUP(G606,'insumos terrapl'!$C$3:$K$47,4,0)</f>
        <v>20</v>
      </c>
      <c r="K606" s="29">
        <f>VLOOKUP(G606,'insumos terrapl'!$C$3:$K$47,5,0)</f>
        <v>14</v>
      </c>
      <c r="L606" s="29" t="str">
        <f>VLOOKUP(G606,'insumos terrapl'!$C$3:$K$47,6,0)</f>
        <v>08</v>
      </c>
      <c r="M606" s="29" t="str">
        <f>VLOOKUP(G606,'insumos terrapl'!$C$3:$K$47,7,0)</f>
        <v>00</v>
      </c>
      <c r="N606" s="29" t="str">
        <f>VLOOKUP(G606,'insumos terrapl'!$C$3:$K$47,8,0)</f>
        <v>00</v>
      </c>
      <c r="O606" s="97" t="str">
        <f>VLOOKUP(G606,'insumos terrapl'!$C$3:$K$47,9,0)</f>
        <v>00</v>
      </c>
    </row>
    <row r="607" spans="1:15">
      <c r="A607" s="125"/>
      <c r="B607" s="127"/>
      <c r="C607" s="132"/>
      <c r="D607" s="116"/>
      <c r="E607" s="115"/>
      <c r="F607" s="10"/>
      <c r="G607" s="20"/>
      <c r="H607" s="29"/>
      <c r="I607" s="29"/>
      <c r="J607" s="29"/>
      <c r="K607" s="29"/>
      <c r="L607" s="29"/>
      <c r="M607" s="29"/>
      <c r="N607" s="29"/>
      <c r="O607" s="97"/>
    </row>
    <row r="608" spans="1:15">
      <c r="A608" s="125"/>
      <c r="B608" s="127"/>
      <c r="C608" s="124" t="s">
        <v>145</v>
      </c>
      <c r="D608" s="114" t="str">
        <f>$A$419</f>
        <v>2.6.5</v>
      </c>
      <c r="E608" s="114" t="s">
        <v>467</v>
      </c>
      <c r="F608" s="12" t="s">
        <v>145</v>
      </c>
      <c r="G608" s="19"/>
      <c r="H608" s="28"/>
      <c r="I608" s="28"/>
      <c r="J608" s="28"/>
      <c r="K608" s="28"/>
      <c r="L608" s="28"/>
      <c r="M608" s="28"/>
      <c r="N608" s="28"/>
      <c r="O608" s="99"/>
    </row>
    <row r="609" spans="1:15" ht="30">
      <c r="A609" s="125"/>
      <c r="B609" s="127"/>
      <c r="C609" s="125"/>
      <c r="D609" s="115"/>
      <c r="E609" s="115"/>
      <c r="F609" s="11" t="s">
        <v>651</v>
      </c>
      <c r="G609" s="20" t="s">
        <v>652</v>
      </c>
      <c r="H609" s="29" t="str">
        <f>VLOOKUP(G609,'insumos terrapl'!$C$3:$K$47,2,0)</f>
        <v>2Q  66  10  02  00  00  00</v>
      </c>
      <c r="I609" s="29" t="str">
        <f>VLOOKUP(G609,'insumos terrapl'!$C$3:$K$47,3,0)</f>
        <v>2Q</v>
      </c>
      <c r="J609" s="29">
        <f>VLOOKUP(G609,'insumos terrapl'!$C$3:$K$47,4,0)</f>
        <v>66</v>
      </c>
      <c r="K609" s="29" t="str">
        <f>VLOOKUP(G609,'insumos terrapl'!$C$3:$K$47,5,0)</f>
        <v>10</v>
      </c>
      <c r="L609" s="29" t="str">
        <f>VLOOKUP(G609,'insumos terrapl'!$C$3:$K$47,6,0)</f>
        <v>02</v>
      </c>
      <c r="M609" s="29" t="str">
        <f>VLOOKUP(G609,'insumos terrapl'!$C$3:$K$47,7,0)</f>
        <v>00</v>
      </c>
      <c r="N609" s="29" t="str">
        <f>VLOOKUP(G609,'insumos terrapl'!$C$3:$K$47,8,0)</f>
        <v>00</v>
      </c>
      <c r="O609" s="97" t="str">
        <f>VLOOKUP(G609,'insumos terrapl'!$C$3:$K$47,9,0)</f>
        <v>00</v>
      </c>
    </row>
    <row r="610" spans="1:15" ht="30">
      <c r="A610" s="125"/>
      <c r="B610" s="127"/>
      <c r="C610" s="125"/>
      <c r="D610" s="115"/>
      <c r="E610" s="115"/>
      <c r="F610" s="11" t="s">
        <v>653</v>
      </c>
      <c r="G610" s="20" t="s">
        <v>654</v>
      </c>
      <c r="H610" s="29" t="str">
        <f>VLOOKUP(G610,'insumos terrapl'!$C$3:$K$47,2,0)</f>
        <v>2Q  62  10  06  00  00  00</v>
      </c>
      <c r="I610" s="29" t="str">
        <f>VLOOKUP(G610,'insumos terrapl'!$C$3:$K$47,3,0)</f>
        <v>2Q</v>
      </c>
      <c r="J610" s="29">
        <f>VLOOKUP(G610,'insumos terrapl'!$C$3:$K$47,4,0)</f>
        <v>62</v>
      </c>
      <c r="K610" s="29" t="str">
        <f>VLOOKUP(G610,'insumos terrapl'!$C$3:$K$47,5,0)</f>
        <v>10</v>
      </c>
      <c r="L610" s="29" t="str">
        <f>VLOOKUP(G610,'insumos terrapl'!$C$3:$K$47,6,0)</f>
        <v>06</v>
      </c>
      <c r="M610" s="29" t="str">
        <f>VLOOKUP(G610,'insumos terrapl'!$C$3:$K$47,7,0)</f>
        <v>00</v>
      </c>
      <c r="N610" s="29" t="str">
        <f>VLOOKUP(G610,'insumos terrapl'!$C$3:$K$47,8,0)</f>
        <v>00</v>
      </c>
      <c r="O610" s="97" t="str">
        <f>VLOOKUP(G610,'insumos terrapl'!$C$3:$K$47,9,0)</f>
        <v>00</v>
      </c>
    </row>
    <row r="611" spans="1:15">
      <c r="A611" s="125"/>
      <c r="B611" s="127"/>
      <c r="C611" s="125"/>
      <c r="D611" s="115"/>
      <c r="E611" s="115"/>
      <c r="F611" s="11" t="s">
        <v>605</v>
      </c>
      <c r="G611" s="20" t="s">
        <v>606</v>
      </c>
      <c r="H611" s="29" t="str">
        <f>VLOOKUP(G611,'insumos terrapl'!$C$3:$K$47,2,0)</f>
        <v>2Q  62  30  02  14  00  00</v>
      </c>
      <c r="I611" s="29" t="str">
        <f>VLOOKUP(G611,'insumos terrapl'!$C$3:$K$47,3,0)</f>
        <v>2Q</v>
      </c>
      <c r="J611" s="29">
        <f>VLOOKUP(G611,'insumos terrapl'!$C$3:$K$47,4,0)</f>
        <v>62</v>
      </c>
      <c r="K611" s="29">
        <f>VLOOKUP(G611,'insumos terrapl'!$C$3:$K$47,5,0)</f>
        <v>30</v>
      </c>
      <c r="L611" s="29" t="str">
        <f>VLOOKUP(G611,'insumos terrapl'!$C$3:$K$47,6,0)</f>
        <v>02</v>
      </c>
      <c r="M611" s="29" t="str">
        <f>VLOOKUP(G611,'insumos terrapl'!$C$3:$K$47,7,0)</f>
        <v>14</v>
      </c>
      <c r="N611" s="29" t="str">
        <f>VLOOKUP(G611,'insumos terrapl'!$C$3:$K$47,8,0)</f>
        <v>00</v>
      </c>
      <c r="O611" s="97" t="str">
        <f>VLOOKUP(G611,'insumos terrapl'!$C$3:$K$47,9,0)</f>
        <v>00</v>
      </c>
    </row>
    <row r="612" spans="1:15" ht="30">
      <c r="A612" s="125"/>
      <c r="B612" s="127"/>
      <c r="C612" s="125"/>
      <c r="D612" s="115"/>
      <c r="E612" s="115"/>
      <c r="F612" s="11" t="s">
        <v>657</v>
      </c>
      <c r="G612" s="20" t="s">
        <v>658</v>
      </c>
      <c r="H612" s="29" t="str">
        <f>VLOOKUP(G612,'insumos terrapl'!$C$3:$K$47,2,0)</f>
        <v>2Q  62  30  02  10  00  00</v>
      </c>
      <c r="I612" s="29" t="str">
        <f>VLOOKUP(G612,'insumos terrapl'!$C$3:$K$47,3,0)</f>
        <v>2Q</v>
      </c>
      <c r="J612" s="29">
        <f>VLOOKUP(G612,'insumos terrapl'!$C$3:$K$47,4,0)</f>
        <v>62</v>
      </c>
      <c r="K612" s="29" t="str">
        <f>VLOOKUP(G612,'insumos terrapl'!$C$3:$K$47,5,0)</f>
        <v>30</v>
      </c>
      <c r="L612" s="29" t="str">
        <f>VLOOKUP(G612,'insumos terrapl'!$C$3:$K$47,6,0)</f>
        <v>02</v>
      </c>
      <c r="M612" s="29" t="str">
        <f>VLOOKUP(G612,'insumos terrapl'!$C$3:$K$47,7,0)</f>
        <v>10</v>
      </c>
      <c r="N612" s="29" t="str">
        <f>VLOOKUP(G612,'insumos terrapl'!$C$3:$K$47,8,0)</f>
        <v>00</v>
      </c>
      <c r="O612" s="97" t="str">
        <f>VLOOKUP(G612,'insumos terrapl'!$C$3:$K$47,9,0)</f>
        <v>00</v>
      </c>
    </row>
    <row r="613" spans="1:15">
      <c r="A613" s="125"/>
      <c r="B613" s="127"/>
      <c r="C613" s="125"/>
      <c r="D613" s="115"/>
      <c r="E613" s="115"/>
      <c r="F613" s="11" t="s">
        <v>588</v>
      </c>
      <c r="G613" s="20" t="s">
        <v>589</v>
      </c>
      <c r="H613" s="29" t="str">
        <f>VLOOKUP(G613,'insumos terrapl'!$C$3:$K$47,2,0)</f>
        <v>2N  20  14  08  00  00  00</v>
      </c>
      <c r="I613" s="29" t="str">
        <f>VLOOKUP(G613,'insumos terrapl'!$C$3:$K$47,3,0)</f>
        <v>2N</v>
      </c>
      <c r="J613" s="29">
        <f>VLOOKUP(G613,'insumos terrapl'!$C$3:$K$47,4,0)</f>
        <v>20</v>
      </c>
      <c r="K613" s="29">
        <f>VLOOKUP(G613,'insumos terrapl'!$C$3:$K$47,5,0)</f>
        <v>14</v>
      </c>
      <c r="L613" s="29" t="str">
        <f>VLOOKUP(G613,'insumos terrapl'!$C$3:$K$47,6,0)</f>
        <v>08</v>
      </c>
      <c r="M613" s="29" t="str">
        <f>VLOOKUP(G613,'insumos terrapl'!$C$3:$K$47,7,0)</f>
        <v>00</v>
      </c>
      <c r="N613" s="29" t="str">
        <f>VLOOKUP(G613,'insumos terrapl'!$C$3:$K$47,8,0)</f>
        <v>00</v>
      </c>
      <c r="O613" s="97" t="str">
        <f>VLOOKUP(G613,'insumos terrapl'!$C$3:$K$47,9,0)</f>
        <v>00</v>
      </c>
    </row>
    <row r="614" spans="1:15">
      <c r="A614" s="125"/>
      <c r="B614" s="127"/>
      <c r="C614" s="132"/>
      <c r="D614" s="116"/>
      <c r="E614" s="116"/>
      <c r="F614" s="13"/>
      <c r="G614" s="21"/>
      <c r="H614" s="31"/>
      <c r="I614" s="31"/>
      <c r="J614" s="31"/>
      <c r="K614" s="31"/>
      <c r="L614" s="31"/>
      <c r="M614" s="31"/>
      <c r="N614" s="31"/>
      <c r="O614" s="98"/>
    </row>
    <row r="615" spans="1:15">
      <c r="A615" s="125"/>
      <c r="B615" s="127"/>
      <c r="C615" s="124" t="s">
        <v>146</v>
      </c>
      <c r="D615" s="114" t="str">
        <f>$A$419</f>
        <v>2.6.5</v>
      </c>
      <c r="E615" s="115" t="s">
        <v>469</v>
      </c>
      <c r="F615" s="11" t="s">
        <v>146</v>
      </c>
      <c r="G615" s="20"/>
      <c r="H615" s="29"/>
      <c r="I615" s="29"/>
      <c r="J615" s="29"/>
      <c r="K615" s="29"/>
      <c r="L615" s="29"/>
      <c r="M615" s="29"/>
      <c r="N615" s="29"/>
      <c r="O615" s="97"/>
    </row>
    <row r="616" spans="1:15" ht="30">
      <c r="A616" s="125"/>
      <c r="B616" s="127"/>
      <c r="C616" s="125"/>
      <c r="D616" s="115"/>
      <c r="E616" s="115"/>
      <c r="F616" s="11" t="s">
        <v>651</v>
      </c>
      <c r="G616" s="20" t="s">
        <v>652</v>
      </c>
      <c r="H616" s="29" t="str">
        <f>VLOOKUP(G616,'insumos terrapl'!$C$3:$K$47,2,0)</f>
        <v>2Q  66  10  02  00  00  00</v>
      </c>
      <c r="I616" s="29" t="str">
        <f>VLOOKUP(G616,'insumos terrapl'!$C$3:$K$47,3,0)</f>
        <v>2Q</v>
      </c>
      <c r="J616" s="29">
        <f>VLOOKUP(G616,'insumos terrapl'!$C$3:$K$47,4,0)</f>
        <v>66</v>
      </c>
      <c r="K616" s="29" t="str">
        <f>VLOOKUP(G616,'insumos terrapl'!$C$3:$K$47,5,0)</f>
        <v>10</v>
      </c>
      <c r="L616" s="29" t="str">
        <f>VLOOKUP(G616,'insumos terrapl'!$C$3:$K$47,6,0)</f>
        <v>02</v>
      </c>
      <c r="M616" s="29" t="str">
        <f>VLOOKUP(G616,'insumos terrapl'!$C$3:$K$47,7,0)</f>
        <v>00</v>
      </c>
      <c r="N616" s="29" t="str">
        <f>VLOOKUP(G616,'insumos terrapl'!$C$3:$K$47,8,0)</f>
        <v>00</v>
      </c>
      <c r="O616" s="97" t="str">
        <f>VLOOKUP(G616,'insumos terrapl'!$C$3:$K$47,9,0)</f>
        <v>00</v>
      </c>
    </row>
    <row r="617" spans="1:15" ht="30">
      <c r="A617" s="125"/>
      <c r="B617" s="127"/>
      <c r="C617" s="125"/>
      <c r="D617" s="115"/>
      <c r="E617" s="115"/>
      <c r="F617" s="11" t="s">
        <v>653</v>
      </c>
      <c r="G617" s="20" t="s">
        <v>654</v>
      </c>
      <c r="H617" s="29" t="str">
        <f>VLOOKUP(G617,'insumos terrapl'!$C$3:$K$47,2,0)</f>
        <v>2Q  62  10  06  00  00  00</v>
      </c>
      <c r="I617" s="29" t="str">
        <f>VLOOKUP(G617,'insumos terrapl'!$C$3:$K$47,3,0)</f>
        <v>2Q</v>
      </c>
      <c r="J617" s="29">
        <f>VLOOKUP(G617,'insumos terrapl'!$C$3:$K$47,4,0)</f>
        <v>62</v>
      </c>
      <c r="K617" s="29" t="str">
        <f>VLOOKUP(G617,'insumos terrapl'!$C$3:$K$47,5,0)</f>
        <v>10</v>
      </c>
      <c r="L617" s="29" t="str">
        <f>VLOOKUP(G617,'insumos terrapl'!$C$3:$K$47,6,0)</f>
        <v>06</v>
      </c>
      <c r="M617" s="29" t="str">
        <f>VLOOKUP(G617,'insumos terrapl'!$C$3:$K$47,7,0)</f>
        <v>00</v>
      </c>
      <c r="N617" s="29" t="str">
        <f>VLOOKUP(G617,'insumos terrapl'!$C$3:$K$47,8,0)</f>
        <v>00</v>
      </c>
      <c r="O617" s="97" t="str">
        <f>VLOOKUP(G617,'insumos terrapl'!$C$3:$K$47,9,0)</f>
        <v>00</v>
      </c>
    </row>
    <row r="618" spans="1:15">
      <c r="A618" s="125"/>
      <c r="B618" s="127"/>
      <c r="C618" s="125"/>
      <c r="D618" s="115"/>
      <c r="E618" s="115"/>
      <c r="F618" s="11" t="s">
        <v>605</v>
      </c>
      <c r="G618" s="20" t="s">
        <v>606</v>
      </c>
      <c r="H618" s="29" t="str">
        <f>VLOOKUP(G618,'insumos terrapl'!$C$3:$K$47,2,0)</f>
        <v>2Q  62  30  02  14  00  00</v>
      </c>
      <c r="I618" s="29" t="str">
        <f>VLOOKUP(G618,'insumos terrapl'!$C$3:$K$47,3,0)</f>
        <v>2Q</v>
      </c>
      <c r="J618" s="29">
        <f>VLOOKUP(G618,'insumos terrapl'!$C$3:$K$47,4,0)</f>
        <v>62</v>
      </c>
      <c r="K618" s="29">
        <f>VLOOKUP(G618,'insumos terrapl'!$C$3:$K$47,5,0)</f>
        <v>30</v>
      </c>
      <c r="L618" s="29" t="str">
        <f>VLOOKUP(G618,'insumos terrapl'!$C$3:$K$47,6,0)</f>
        <v>02</v>
      </c>
      <c r="M618" s="29" t="str">
        <f>VLOOKUP(G618,'insumos terrapl'!$C$3:$K$47,7,0)</f>
        <v>14</v>
      </c>
      <c r="N618" s="29" t="str">
        <f>VLOOKUP(G618,'insumos terrapl'!$C$3:$K$47,8,0)</f>
        <v>00</v>
      </c>
      <c r="O618" s="97" t="str">
        <f>VLOOKUP(G618,'insumos terrapl'!$C$3:$K$47,9,0)</f>
        <v>00</v>
      </c>
    </row>
    <row r="619" spans="1:15" ht="30">
      <c r="A619" s="125"/>
      <c r="B619" s="127"/>
      <c r="C619" s="125"/>
      <c r="D619" s="115"/>
      <c r="E619" s="115"/>
      <c r="F619" s="11" t="s">
        <v>657</v>
      </c>
      <c r="G619" s="20" t="s">
        <v>658</v>
      </c>
      <c r="H619" s="29" t="str">
        <f>VLOOKUP(G619,'insumos terrapl'!$C$3:$K$47,2,0)</f>
        <v>2Q  62  30  02  10  00  00</v>
      </c>
      <c r="I619" s="29" t="str">
        <f>VLOOKUP(G619,'insumos terrapl'!$C$3:$K$47,3,0)</f>
        <v>2Q</v>
      </c>
      <c r="J619" s="29">
        <f>VLOOKUP(G619,'insumos terrapl'!$C$3:$K$47,4,0)</f>
        <v>62</v>
      </c>
      <c r="K619" s="29" t="str">
        <f>VLOOKUP(G619,'insumos terrapl'!$C$3:$K$47,5,0)</f>
        <v>30</v>
      </c>
      <c r="L619" s="29" t="str">
        <f>VLOOKUP(G619,'insumos terrapl'!$C$3:$K$47,6,0)</f>
        <v>02</v>
      </c>
      <c r="M619" s="29" t="str">
        <f>VLOOKUP(G619,'insumos terrapl'!$C$3:$K$47,7,0)</f>
        <v>10</v>
      </c>
      <c r="N619" s="29" t="str">
        <f>VLOOKUP(G619,'insumos terrapl'!$C$3:$K$47,8,0)</f>
        <v>00</v>
      </c>
      <c r="O619" s="97" t="str">
        <f>VLOOKUP(G619,'insumos terrapl'!$C$3:$K$47,9,0)</f>
        <v>00</v>
      </c>
    </row>
    <row r="620" spans="1:15">
      <c r="A620" s="125"/>
      <c r="B620" s="127"/>
      <c r="C620" s="125"/>
      <c r="D620" s="115"/>
      <c r="E620" s="115"/>
      <c r="F620" s="11" t="s">
        <v>588</v>
      </c>
      <c r="G620" s="20" t="s">
        <v>589</v>
      </c>
      <c r="H620" s="29" t="str">
        <f>VLOOKUP(G620,'insumos terrapl'!$C$3:$K$47,2,0)</f>
        <v>2N  20  14  08  00  00  00</v>
      </c>
      <c r="I620" s="29" t="str">
        <f>VLOOKUP(G620,'insumos terrapl'!$C$3:$K$47,3,0)</f>
        <v>2N</v>
      </c>
      <c r="J620" s="29">
        <f>VLOOKUP(G620,'insumos terrapl'!$C$3:$K$47,4,0)</f>
        <v>20</v>
      </c>
      <c r="K620" s="29">
        <f>VLOOKUP(G620,'insumos terrapl'!$C$3:$K$47,5,0)</f>
        <v>14</v>
      </c>
      <c r="L620" s="29" t="str">
        <f>VLOOKUP(G620,'insumos terrapl'!$C$3:$K$47,6,0)</f>
        <v>08</v>
      </c>
      <c r="M620" s="29" t="str">
        <f>VLOOKUP(G620,'insumos terrapl'!$C$3:$K$47,7,0)</f>
        <v>00</v>
      </c>
      <c r="N620" s="29" t="str">
        <f>VLOOKUP(G620,'insumos terrapl'!$C$3:$K$47,8,0)</f>
        <v>00</v>
      </c>
      <c r="O620" s="97" t="str">
        <f>VLOOKUP(G620,'insumos terrapl'!$C$3:$K$47,9,0)</f>
        <v>00</v>
      </c>
    </row>
    <row r="621" spans="1:15">
      <c r="A621" s="125"/>
      <c r="B621" s="127"/>
      <c r="C621" s="132"/>
      <c r="D621" s="116"/>
      <c r="E621" s="115"/>
      <c r="F621" s="10"/>
      <c r="G621" s="20"/>
      <c r="H621" s="29"/>
      <c r="I621" s="29"/>
      <c r="J621" s="29"/>
      <c r="K621" s="29"/>
      <c r="L621" s="29"/>
      <c r="M621" s="29"/>
      <c r="N621" s="29"/>
      <c r="O621" s="97"/>
    </row>
    <row r="622" spans="1:15">
      <c r="A622" s="125"/>
      <c r="B622" s="127"/>
      <c r="C622" s="124" t="s">
        <v>147</v>
      </c>
      <c r="D622" s="114" t="str">
        <f>$A$419</f>
        <v>2.6.5</v>
      </c>
      <c r="E622" s="114" t="s">
        <v>471</v>
      </c>
      <c r="F622" s="12" t="s">
        <v>147</v>
      </c>
      <c r="G622" s="19"/>
      <c r="H622" s="28"/>
      <c r="I622" s="28"/>
      <c r="J622" s="28"/>
      <c r="K622" s="28"/>
      <c r="L622" s="28"/>
      <c r="M622" s="28"/>
      <c r="N622" s="28"/>
      <c r="O622" s="99"/>
    </row>
    <row r="623" spans="1:15" ht="30">
      <c r="A623" s="125"/>
      <c r="B623" s="127"/>
      <c r="C623" s="125"/>
      <c r="D623" s="115"/>
      <c r="E623" s="115"/>
      <c r="F623" s="11" t="s">
        <v>651</v>
      </c>
      <c r="G623" s="20" t="s">
        <v>652</v>
      </c>
      <c r="H623" s="29" t="str">
        <f>VLOOKUP(G623,'insumos terrapl'!$C$3:$K$47,2,0)</f>
        <v>2Q  66  10  02  00  00  00</v>
      </c>
      <c r="I623" s="29" t="str">
        <f>VLOOKUP(G623,'insumos terrapl'!$C$3:$K$47,3,0)</f>
        <v>2Q</v>
      </c>
      <c r="J623" s="29">
        <f>VLOOKUP(G623,'insumos terrapl'!$C$3:$K$47,4,0)</f>
        <v>66</v>
      </c>
      <c r="K623" s="29" t="str">
        <f>VLOOKUP(G623,'insumos terrapl'!$C$3:$K$47,5,0)</f>
        <v>10</v>
      </c>
      <c r="L623" s="29" t="str">
        <f>VLOOKUP(G623,'insumos terrapl'!$C$3:$K$47,6,0)</f>
        <v>02</v>
      </c>
      <c r="M623" s="29" t="str">
        <f>VLOOKUP(G623,'insumos terrapl'!$C$3:$K$47,7,0)</f>
        <v>00</v>
      </c>
      <c r="N623" s="29" t="str">
        <f>VLOOKUP(G623,'insumos terrapl'!$C$3:$K$47,8,0)</f>
        <v>00</v>
      </c>
      <c r="O623" s="97" t="str">
        <f>VLOOKUP(G623,'insumos terrapl'!$C$3:$K$47,9,0)</f>
        <v>00</v>
      </c>
    </row>
    <row r="624" spans="1:15" ht="30">
      <c r="A624" s="125"/>
      <c r="B624" s="127"/>
      <c r="C624" s="125"/>
      <c r="D624" s="115"/>
      <c r="E624" s="115"/>
      <c r="F624" s="11" t="s">
        <v>653</v>
      </c>
      <c r="G624" s="20" t="s">
        <v>654</v>
      </c>
      <c r="H624" s="29" t="str">
        <f>VLOOKUP(G624,'insumos terrapl'!$C$3:$K$47,2,0)</f>
        <v>2Q  62  10  06  00  00  00</v>
      </c>
      <c r="I624" s="29" t="str">
        <f>VLOOKUP(G624,'insumos terrapl'!$C$3:$K$47,3,0)</f>
        <v>2Q</v>
      </c>
      <c r="J624" s="29">
        <f>VLOOKUP(G624,'insumos terrapl'!$C$3:$K$47,4,0)</f>
        <v>62</v>
      </c>
      <c r="K624" s="29" t="str">
        <f>VLOOKUP(G624,'insumos terrapl'!$C$3:$K$47,5,0)</f>
        <v>10</v>
      </c>
      <c r="L624" s="29" t="str">
        <f>VLOOKUP(G624,'insumos terrapl'!$C$3:$K$47,6,0)</f>
        <v>06</v>
      </c>
      <c r="M624" s="29" t="str">
        <f>VLOOKUP(G624,'insumos terrapl'!$C$3:$K$47,7,0)</f>
        <v>00</v>
      </c>
      <c r="N624" s="29" t="str">
        <f>VLOOKUP(G624,'insumos terrapl'!$C$3:$K$47,8,0)</f>
        <v>00</v>
      </c>
      <c r="O624" s="97" t="str">
        <f>VLOOKUP(G624,'insumos terrapl'!$C$3:$K$47,9,0)</f>
        <v>00</v>
      </c>
    </row>
    <row r="625" spans="1:15">
      <c r="A625" s="125"/>
      <c r="B625" s="127"/>
      <c r="C625" s="125"/>
      <c r="D625" s="115"/>
      <c r="E625" s="115"/>
      <c r="F625" s="11" t="s">
        <v>605</v>
      </c>
      <c r="G625" s="20" t="s">
        <v>606</v>
      </c>
      <c r="H625" s="29" t="str">
        <f>VLOOKUP(G625,'insumos terrapl'!$C$3:$K$47,2,0)</f>
        <v>2Q  62  30  02  14  00  00</v>
      </c>
      <c r="I625" s="29" t="str">
        <f>VLOOKUP(G625,'insumos terrapl'!$C$3:$K$47,3,0)</f>
        <v>2Q</v>
      </c>
      <c r="J625" s="29">
        <f>VLOOKUP(G625,'insumos terrapl'!$C$3:$K$47,4,0)</f>
        <v>62</v>
      </c>
      <c r="K625" s="29">
        <f>VLOOKUP(G625,'insumos terrapl'!$C$3:$K$47,5,0)</f>
        <v>30</v>
      </c>
      <c r="L625" s="29" t="str">
        <f>VLOOKUP(G625,'insumos terrapl'!$C$3:$K$47,6,0)</f>
        <v>02</v>
      </c>
      <c r="M625" s="29" t="str">
        <f>VLOOKUP(G625,'insumos terrapl'!$C$3:$K$47,7,0)</f>
        <v>14</v>
      </c>
      <c r="N625" s="29" t="str">
        <f>VLOOKUP(G625,'insumos terrapl'!$C$3:$K$47,8,0)</f>
        <v>00</v>
      </c>
      <c r="O625" s="97" t="str">
        <f>VLOOKUP(G625,'insumos terrapl'!$C$3:$K$47,9,0)</f>
        <v>00</v>
      </c>
    </row>
    <row r="626" spans="1:15" ht="30">
      <c r="A626" s="125"/>
      <c r="B626" s="127"/>
      <c r="C626" s="125"/>
      <c r="D626" s="115"/>
      <c r="E626" s="115"/>
      <c r="F626" s="11" t="s">
        <v>657</v>
      </c>
      <c r="G626" s="20" t="s">
        <v>658</v>
      </c>
      <c r="H626" s="29" t="str">
        <f>VLOOKUP(G626,'insumos terrapl'!$C$3:$K$47,2,0)</f>
        <v>2Q  62  30  02  10  00  00</v>
      </c>
      <c r="I626" s="29" t="str">
        <f>VLOOKUP(G626,'insumos terrapl'!$C$3:$K$47,3,0)</f>
        <v>2Q</v>
      </c>
      <c r="J626" s="29">
        <f>VLOOKUP(G626,'insumos terrapl'!$C$3:$K$47,4,0)</f>
        <v>62</v>
      </c>
      <c r="K626" s="29" t="str">
        <f>VLOOKUP(G626,'insumos terrapl'!$C$3:$K$47,5,0)</f>
        <v>30</v>
      </c>
      <c r="L626" s="29" t="str">
        <f>VLOOKUP(G626,'insumos terrapl'!$C$3:$K$47,6,0)</f>
        <v>02</v>
      </c>
      <c r="M626" s="29" t="str">
        <f>VLOOKUP(G626,'insumos terrapl'!$C$3:$K$47,7,0)</f>
        <v>10</v>
      </c>
      <c r="N626" s="29" t="str">
        <f>VLOOKUP(G626,'insumos terrapl'!$C$3:$K$47,8,0)</f>
        <v>00</v>
      </c>
      <c r="O626" s="97" t="str">
        <f>VLOOKUP(G626,'insumos terrapl'!$C$3:$K$47,9,0)</f>
        <v>00</v>
      </c>
    </row>
    <row r="627" spans="1:15">
      <c r="A627" s="125"/>
      <c r="B627" s="127"/>
      <c r="C627" s="125"/>
      <c r="D627" s="115"/>
      <c r="E627" s="115"/>
      <c r="F627" s="11" t="s">
        <v>588</v>
      </c>
      <c r="G627" s="20" t="s">
        <v>589</v>
      </c>
      <c r="H627" s="29" t="str">
        <f>VLOOKUP(G627,'insumos terrapl'!$C$3:$K$47,2,0)</f>
        <v>2N  20  14  08  00  00  00</v>
      </c>
      <c r="I627" s="29" t="str">
        <f>VLOOKUP(G627,'insumos terrapl'!$C$3:$K$47,3,0)</f>
        <v>2N</v>
      </c>
      <c r="J627" s="29">
        <f>VLOOKUP(G627,'insumos terrapl'!$C$3:$K$47,4,0)</f>
        <v>20</v>
      </c>
      <c r="K627" s="29">
        <f>VLOOKUP(G627,'insumos terrapl'!$C$3:$K$47,5,0)</f>
        <v>14</v>
      </c>
      <c r="L627" s="29" t="str">
        <f>VLOOKUP(G627,'insumos terrapl'!$C$3:$K$47,6,0)</f>
        <v>08</v>
      </c>
      <c r="M627" s="29" t="str">
        <f>VLOOKUP(G627,'insumos terrapl'!$C$3:$K$47,7,0)</f>
        <v>00</v>
      </c>
      <c r="N627" s="29" t="str">
        <f>VLOOKUP(G627,'insumos terrapl'!$C$3:$K$47,8,0)</f>
        <v>00</v>
      </c>
      <c r="O627" s="97" t="str">
        <f>VLOOKUP(G627,'insumos terrapl'!$C$3:$K$47,9,0)</f>
        <v>00</v>
      </c>
    </row>
    <row r="628" spans="1:15">
      <c r="A628" s="125"/>
      <c r="B628" s="127"/>
      <c r="C628" s="132"/>
      <c r="D628" s="116"/>
      <c r="E628" s="116"/>
      <c r="F628" s="13"/>
      <c r="G628" s="21"/>
      <c r="H628" s="31"/>
      <c r="I628" s="31"/>
      <c r="J628" s="31"/>
      <c r="K628" s="31"/>
      <c r="L628" s="31"/>
      <c r="M628" s="31"/>
      <c r="N628" s="31"/>
      <c r="O628" s="98"/>
    </row>
    <row r="629" spans="1:15">
      <c r="A629" s="125"/>
      <c r="B629" s="127"/>
      <c r="C629" s="124" t="s">
        <v>148</v>
      </c>
      <c r="D629" s="114" t="str">
        <f>$A$419</f>
        <v>2.6.5</v>
      </c>
      <c r="E629" s="115" t="s">
        <v>474</v>
      </c>
      <c r="F629" s="11" t="s">
        <v>148</v>
      </c>
      <c r="G629" s="20"/>
      <c r="H629" s="29"/>
      <c r="I629" s="29"/>
      <c r="J629" s="29"/>
      <c r="K629" s="29"/>
      <c r="L629" s="29"/>
      <c r="M629" s="29"/>
      <c r="N629" s="29"/>
      <c r="O629" s="97"/>
    </row>
    <row r="630" spans="1:15" ht="30">
      <c r="A630" s="125"/>
      <c r="B630" s="127"/>
      <c r="C630" s="125"/>
      <c r="D630" s="115"/>
      <c r="E630" s="115"/>
      <c r="F630" s="11" t="s">
        <v>651</v>
      </c>
      <c r="G630" s="20" t="s">
        <v>652</v>
      </c>
      <c r="H630" s="29" t="str">
        <f>VLOOKUP(G630,'insumos terrapl'!$C$3:$K$47,2,0)</f>
        <v>2Q  66  10  02  00  00  00</v>
      </c>
      <c r="I630" s="29" t="str">
        <f>VLOOKUP(G630,'insumos terrapl'!$C$3:$K$47,3,0)</f>
        <v>2Q</v>
      </c>
      <c r="J630" s="29">
        <f>VLOOKUP(G630,'insumos terrapl'!$C$3:$K$47,4,0)</f>
        <v>66</v>
      </c>
      <c r="K630" s="29" t="str">
        <f>VLOOKUP(G630,'insumos terrapl'!$C$3:$K$47,5,0)</f>
        <v>10</v>
      </c>
      <c r="L630" s="29" t="str">
        <f>VLOOKUP(G630,'insumos terrapl'!$C$3:$K$47,6,0)</f>
        <v>02</v>
      </c>
      <c r="M630" s="29" t="str">
        <f>VLOOKUP(G630,'insumos terrapl'!$C$3:$K$47,7,0)</f>
        <v>00</v>
      </c>
      <c r="N630" s="29" t="str">
        <f>VLOOKUP(G630,'insumos terrapl'!$C$3:$K$47,8,0)</f>
        <v>00</v>
      </c>
      <c r="O630" s="97" t="str">
        <f>VLOOKUP(G630,'insumos terrapl'!$C$3:$K$47,9,0)</f>
        <v>00</v>
      </c>
    </row>
    <row r="631" spans="1:15" ht="30">
      <c r="A631" s="125"/>
      <c r="B631" s="127"/>
      <c r="C631" s="125"/>
      <c r="D631" s="115"/>
      <c r="E631" s="115"/>
      <c r="F631" s="11" t="s">
        <v>653</v>
      </c>
      <c r="G631" s="20" t="s">
        <v>654</v>
      </c>
      <c r="H631" s="29" t="str">
        <f>VLOOKUP(G631,'insumos terrapl'!$C$3:$K$47,2,0)</f>
        <v>2Q  62  10  06  00  00  00</v>
      </c>
      <c r="I631" s="29" t="str">
        <f>VLOOKUP(G631,'insumos terrapl'!$C$3:$K$47,3,0)</f>
        <v>2Q</v>
      </c>
      <c r="J631" s="29">
        <f>VLOOKUP(G631,'insumos terrapl'!$C$3:$K$47,4,0)</f>
        <v>62</v>
      </c>
      <c r="K631" s="29" t="str">
        <f>VLOOKUP(G631,'insumos terrapl'!$C$3:$K$47,5,0)</f>
        <v>10</v>
      </c>
      <c r="L631" s="29" t="str">
        <f>VLOOKUP(G631,'insumos terrapl'!$C$3:$K$47,6,0)</f>
        <v>06</v>
      </c>
      <c r="M631" s="29" t="str">
        <f>VLOOKUP(G631,'insumos terrapl'!$C$3:$K$47,7,0)</f>
        <v>00</v>
      </c>
      <c r="N631" s="29" t="str">
        <f>VLOOKUP(G631,'insumos terrapl'!$C$3:$K$47,8,0)</f>
        <v>00</v>
      </c>
      <c r="O631" s="97" t="str">
        <f>VLOOKUP(G631,'insumos terrapl'!$C$3:$K$47,9,0)</f>
        <v>00</v>
      </c>
    </row>
    <row r="632" spans="1:15">
      <c r="A632" s="125"/>
      <c r="B632" s="127"/>
      <c r="C632" s="125"/>
      <c r="D632" s="115"/>
      <c r="E632" s="115"/>
      <c r="F632" s="11" t="s">
        <v>605</v>
      </c>
      <c r="G632" s="20" t="s">
        <v>606</v>
      </c>
      <c r="H632" s="29" t="str">
        <f>VLOOKUP(G632,'insumos terrapl'!$C$3:$K$47,2,0)</f>
        <v>2Q  62  30  02  14  00  00</v>
      </c>
      <c r="I632" s="29" t="str">
        <f>VLOOKUP(G632,'insumos terrapl'!$C$3:$K$47,3,0)</f>
        <v>2Q</v>
      </c>
      <c r="J632" s="29">
        <f>VLOOKUP(G632,'insumos terrapl'!$C$3:$K$47,4,0)</f>
        <v>62</v>
      </c>
      <c r="K632" s="29">
        <f>VLOOKUP(G632,'insumos terrapl'!$C$3:$K$47,5,0)</f>
        <v>30</v>
      </c>
      <c r="L632" s="29" t="str">
        <f>VLOOKUP(G632,'insumos terrapl'!$C$3:$K$47,6,0)</f>
        <v>02</v>
      </c>
      <c r="M632" s="29" t="str">
        <f>VLOOKUP(G632,'insumos terrapl'!$C$3:$K$47,7,0)</f>
        <v>14</v>
      </c>
      <c r="N632" s="29" t="str">
        <f>VLOOKUP(G632,'insumos terrapl'!$C$3:$K$47,8,0)</f>
        <v>00</v>
      </c>
      <c r="O632" s="97" t="str">
        <f>VLOOKUP(G632,'insumos terrapl'!$C$3:$K$47,9,0)</f>
        <v>00</v>
      </c>
    </row>
    <row r="633" spans="1:15" ht="30">
      <c r="A633" s="125"/>
      <c r="B633" s="127"/>
      <c r="C633" s="125"/>
      <c r="D633" s="115"/>
      <c r="E633" s="115"/>
      <c r="F633" s="11" t="s">
        <v>657</v>
      </c>
      <c r="G633" s="20" t="s">
        <v>658</v>
      </c>
      <c r="H633" s="29" t="str">
        <f>VLOOKUP(G633,'insumos terrapl'!$C$3:$K$47,2,0)</f>
        <v>2Q  62  30  02  10  00  00</v>
      </c>
      <c r="I633" s="29" t="str">
        <f>VLOOKUP(G633,'insumos terrapl'!$C$3:$K$47,3,0)</f>
        <v>2Q</v>
      </c>
      <c r="J633" s="29">
        <f>VLOOKUP(G633,'insumos terrapl'!$C$3:$K$47,4,0)</f>
        <v>62</v>
      </c>
      <c r="K633" s="29" t="str">
        <f>VLOOKUP(G633,'insumos terrapl'!$C$3:$K$47,5,0)</f>
        <v>30</v>
      </c>
      <c r="L633" s="29" t="str">
        <f>VLOOKUP(G633,'insumos terrapl'!$C$3:$K$47,6,0)</f>
        <v>02</v>
      </c>
      <c r="M633" s="29" t="str">
        <f>VLOOKUP(G633,'insumos terrapl'!$C$3:$K$47,7,0)</f>
        <v>10</v>
      </c>
      <c r="N633" s="29" t="str">
        <f>VLOOKUP(G633,'insumos terrapl'!$C$3:$K$47,8,0)</f>
        <v>00</v>
      </c>
      <c r="O633" s="97" t="str">
        <f>VLOOKUP(G633,'insumos terrapl'!$C$3:$K$47,9,0)</f>
        <v>00</v>
      </c>
    </row>
    <row r="634" spans="1:15">
      <c r="A634" s="125"/>
      <c r="B634" s="127"/>
      <c r="C634" s="125"/>
      <c r="D634" s="115"/>
      <c r="E634" s="115"/>
      <c r="F634" s="11" t="s">
        <v>588</v>
      </c>
      <c r="G634" s="20" t="s">
        <v>589</v>
      </c>
      <c r="H634" s="29" t="str">
        <f>VLOOKUP(G634,'insumos terrapl'!$C$3:$K$47,2,0)</f>
        <v>2N  20  14  08  00  00  00</v>
      </c>
      <c r="I634" s="29" t="str">
        <f>VLOOKUP(G634,'insumos terrapl'!$C$3:$K$47,3,0)</f>
        <v>2N</v>
      </c>
      <c r="J634" s="29">
        <f>VLOOKUP(G634,'insumos terrapl'!$C$3:$K$47,4,0)</f>
        <v>20</v>
      </c>
      <c r="K634" s="29">
        <f>VLOOKUP(G634,'insumos terrapl'!$C$3:$K$47,5,0)</f>
        <v>14</v>
      </c>
      <c r="L634" s="29" t="str">
        <f>VLOOKUP(G634,'insumos terrapl'!$C$3:$K$47,6,0)</f>
        <v>08</v>
      </c>
      <c r="M634" s="29" t="str">
        <f>VLOOKUP(G634,'insumos terrapl'!$C$3:$K$47,7,0)</f>
        <v>00</v>
      </c>
      <c r="N634" s="29" t="str">
        <f>VLOOKUP(G634,'insumos terrapl'!$C$3:$K$47,8,0)</f>
        <v>00</v>
      </c>
      <c r="O634" s="97" t="str">
        <f>VLOOKUP(G634,'insumos terrapl'!$C$3:$K$47,9,0)</f>
        <v>00</v>
      </c>
    </row>
    <row r="635" spans="1:15">
      <c r="A635" s="125"/>
      <c r="B635" s="127"/>
      <c r="C635" s="132"/>
      <c r="D635" s="116"/>
      <c r="E635" s="115"/>
      <c r="F635" s="10"/>
      <c r="G635" s="20"/>
      <c r="H635" s="29"/>
      <c r="I635" s="29"/>
      <c r="J635" s="29"/>
      <c r="K635" s="29"/>
      <c r="L635" s="29"/>
      <c r="M635" s="29"/>
      <c r="N635" s="29"/>
      <c r="O635" s="97"/>
    </row>
    <row r="636" spans="1:15">
      <c r="A636" s="125"/>
      <c r="B636" s="127"/>
      <c r="C636" s="124" t="s">
        <v>149</v>
      </c>
      <c r="D636" s="114" t="str">
        <f>$A$419</f>
        <v>2.6.5</v>
      </c>
      <c r="E636" s="114" t="s">
        <v>476</v>
      </c>
      <c r="F636" s="12" t="s">
        <v>149</v>
      </c>
      <c r="G636" s="19"/>
      <c r="H636" s="28"/>
      <c r="I636" s="28"/>
      <c r="J636" s="28"/>
      <c r="K636" s="28"/>
      <c r="L636" s="28"/>
      <c r="M636" s="28"/>
      <c r="N636" s="28"/>
      <c r="O636" s="99"/>
    </row>
    <row r="637" spans="1:15" ht="30">
      <c r="A637" s="125"/>
      <c r="B637" s="127"/>
      <c r="C637" s="125"/>
      <c r="D637" s="115"/>
      <c r="E637" s="115"/>
      <c r="F637" s="11" t="s">
        <v>651</v>
      </c>
      <c r="G637" s="20" t="s">
        <v>652</v>
      </c>
      <c r="H637" s="29" t="str">
        <f>VLOOKUP(G637,'insumos terrapl'!$C$3:$K$47,2,0)</f>
        <v>2Q  66  10  02  00  00  00</v>
      </c>
      <c r="I637" s="29" t="str">
        <f>VLOOKUP(G637,'insumos terrapl'!$C$3:$K$47,3,0)</f>
        <v>2Q</v>
      </c>
      <c r="J637" s="29">
        <f>VLOOKUP(G637,'insumos terrapl'!$C$3:$K$47,4,0)</f>
        <v>66</v>
      </c>
      <c r="K637" s="29" t="str">
        <f>VLOOKUP(G637,'insumos terrapl'!$C$3:$K$47,5,0)</f>
        <v>10</v>
      </c>
      <c r="L637" s="29" t="str">
        <f>VLOOKUP(G637,'insumos terrapl'!$C$3:$K$47,6,0)</f>
        <v>02</v>
      </c>
      <c r="M637" s="29" t="str">
        <f>VLOOKUP(G637,'insumos terrapl'!$C$3:$K$47,7,0)</f>
        <v>00</v>
      </c>
      <c r="N637" s="29" t="str">
        <f>VLOOKUP(G637,'insumos terrapl'!$C$3:$K$47,8,0)</f>
        <v>00</v>
      </c>
      <c r="O637" s="97" t="str">
        <f>VLOOKUP(G637,'insumos terrapl'!$C$3:$K$47,9,0)</f>
        <v>00</v>
      </c>
    </row>
    <row r="638" spans="1:15" ht="30">
      <c r="A638" s="125"/>
      <c r="B638" s="127"/>
      <c r="C638" s="125"/>
      <c r="D638" s="115"/>
      <c r="E638" s="115"/>
      <c r="F638" s="11" t="s">
        <v>653</v>
      </c>
      <c r="G638" s="20" t="s">
        <v>654</v>
      </c>
      <c r="H638" s="29" t="str">
        <f>VLOOKUP(G638,'insumos terrapl'!$C$3:$K$47,2,0)</f>
        <v>2Q  62  10  06  00  00  00</v>
      </c>
      <c r="I638" s="29" t="str">
        <f>VLOOKUP(G638,'insumos terrapl'!$C$3:$K$47,3,0)</f>
        <v>2Q</v>
      </c>
      <c r="J638" s="29">
        <f>VLOOKUP(G638,'insumos terrapl'!$C$3:$K$47,4,0)</f>
        <v>62</v>
      </c>
      <c r="K638" s="29" t="str">
        <f>VLOOKUP(G638,'insumos terrapl'!$C$3:$K$47,5,0)</f>
        <v>10</v>
      </c>
      <c r="L638" s="29" t="str">
        <f>VLOOKUP(G638,'insumos terrapl'!$C$3:$K$47,6,0)</f>
        <v>06</v>
      </c>
      <c r="M638" s="29" t="str">
        <f>VLOOKUP(G638,'insumos terrapl'!$C$3:$K$47,7,0)</f>
        <v>00</v>
      </c>
      <c r="N638" s="29" t="str">
        <f>VLOOKUP(G638,'insumos terrapl'!$C$3:$K$47,8,0)</f>
        <v>00</v>
      </c>
      <c r="O638" s="97" t="str">
        <f>VLOOKUP(G638,'insumos terrapl'!$C$3:$K$47,9,0)</f>
        <v>00</v>
      </c>
    </row>
    <row r="639" spans="1:15">
      <c r="A639" s="125"/>
      <c r="B639" s="127"/>
      <c r="C639" s="125"/>
      <c r="D639" s="115"/>
      <c r="E639" s="115"/>
      <c r="F639" s="11" t="s">
        <v>605</v>
      </c>
      <c r="G639" s="20" t="s">
        <v>606</v>
      </c>
      <c r="H639" s="29" t="str">
        <f>VLOOKUP(G639,'insumos terrapl'!$C$3:$K$47,2,0)</f>
        <v>2Q  62  30  02  14  00  00</v>
      </c>
      <c r="I639" s="29" t="str">
        <f>VLOOKUP(G639,'insumos terrapl'!$C$3:$K$47,3,0)</f>
        <v>2Q</v>
      </c>
      <c r="J639" s="29">
        <f>VLOOKUP(G639,'insumos terrapl'!$C$3:$K$47,4,0)</f>
        <v>62</v>
      </c>
      <c r="K639" s="29">
        <f>VLOOKUP(G639,'insumos terrapl'!$C$3:$K$47,5,0)</f>
        <v>30</v>
      </c>
      <c r="L639" s="29" t="str">
        <f>VLOOKUP(G639,'insumos terrapl'!$C$3:$K$47,6,0)</f>
        <v>02</v>
      </c>
      <c r="M639" s="29" t="str">
        <f>VLOOKUP(G639,'insumos terrapl'!$C$3:$K$47,7,0)</f>
        <v>14</v>
      </c>
      <c r="N639" s="29" t="str">
        <f>VLOOKUP(G639,'insumos terrapl'!$C$3:$K$47,8,0)</f>
        <v>00</v>
      </c>
      <c r="O639" s="97" t="str">
        <f>VLOOKUP(G639,'insumos terrapl'!$C$3:$K$47,9,0)</f>
        <v>00</v>
      </c>
    </row>
    <row r="640" spans="1:15" ht="30">
      <c r="A640" s="125"/>
      <c r="B640" s="127"/>
      <c r="C640" s="125"/>
      <c r="D640" s="115"/>
      <c r="E640" s="115"/>
      <c r="F640" s="11" t="s">
        <v>657</v>
      </c>
      <c r="G640" s="20" t="s">
        <v>658</v>
      </c>
      <c r="H640" s="29" t="str">
        <f>VLOOKUP(G640,'insumos terrapl'!$C$3:$K$47,2,0)</f>
        <v>2Q  62  30  02  10  00  00</v>
      </c>
      <c r="I640" s="29" t="str">
        <f>VLOOKUP(G640,'insumos terrapl'!$C$3:$K$47,3,0)</f>
        <v>2Q</v>
      </c>
      <c r="J640" s="29">
        <f>VLOOKUP(G640,'insumos terrapl'!$C$3:$K$47,4,0)</f>
        <v>62</v>
      </c>
      <c r="K640" s="29" t="str">
        <f>VLOOKUP(G640,'insumos terrapl'!$C$3:$K$47,5,0)</f>
        <v>30</v>
      </c>
      <c r="L640" s="29" t="str">
        <f>VLOOKUP(G640,'insumos terrapl'!$C$3:$K$47,6,0)</f>
        <v>02</v>
      </c>
      <c r="M640" s="29" t="str">
        <f>VLOOKUP(G640,'insumos terrapl'!$C$3:$K$47,7,0)</f>
        <v>10</v>
      </c>
      <c r="N640" s="29" t="str">
        <f>VLOOKUP(G640,'insumos terrapl'!$C$3:$K$47,8,0)</f>
        <v>00</v>
      </c>
      <c r="O640" s="97" t="str">
        <f>VLOOKUP(G640,'insumos terrapl'!$C$3:$K$47,9,0)</f>
        <v>00</v>
      </c>
    </row>
    <row r="641" spans="1:15">
      <c r="A641" s="125"/>
      <c r="B641" s="127"/>
      <c r="C641" s="125"/>
      <c r="D641" s="115"/>
      <c r="E641" s="115"/>
      <c r="F641" s="11" t="s">
        <v>588</v>
      </c>
      <c r="G641" s="20" t="s">
        <v>589</v>
      </c>
      <c r="H641" s="29" t="str">
        <f>VLOOKUP(G641,'insumos terrapl'!$C$3:$K$47,2,0)</f>
        <v>2N  20  14  08  00  00  00</v>
      </c>
      <c r="I641" s="29" t="str">
        <f>VLOOKUP(G641,'insumos terrapl'!$C$3:$K$47,3,0)</f>
        <v>2N</v>
      </c>
      <c r="J641" s="29">
        <f>VLOOKUP(G641,'insumos terrapl'!$C$3:$K$47,4,0)</f>
        <v>20</v>
      </c>
      <c r="K641" s="29">
        <f>VLOOKUP(G641,'insumos terrapl'!$C$3:$K$47,5,0)</f>
        <v>14</v>
      </c>
      <c r="L641" s="29" t="str">
        <f>VLOOKUP(G641,'insumos terrapl'!$C$3:$K$47,6,0)</f>
        <v>08</v>
      </c>
      <c r="M641" s="29" t="str">
        <f>VLOOKUP(G641,'insumos terrapl'!$C$3:$K$47,7,0)</f>
        <v>00</v>
      </c>
      <c r="N641" s="29" t="str">
        <f>VLOOKUP(G641,'insumos terrapl'!$C$3:$K$47,8,0)</f>
        <v>00</v>
      </c>
      <c r="O641" s="97" t="str">
        <f>VLOOKUP(G641,'insumos terrapl'!$C$3:$K$47,9,0)</f>
        <v>00</v>
      </c>
    </row>
    <row r="642" spans="1:15">
      <c r="A642" s="125"/>
      <c r="B642" s="127"/>
      <c r="C642" s="132"/>
      <c r="D642" s="116"/>
      <c r="E642" s="116"/>
      <c r="F642" s="13"/>
      <c r="G642" s="21"/>
      <c r="H642" s="31"/>
      <c r="I642" s="31"/>
      <c r="J642" s="31"/>
      <c r="K642" s="31"/>
      <c r="L642" s="31"/>
      <c r="M642" s="31"/>
      <c r="N642" s="31"/>
      <c r="O642" s="98"/>
    </row>
    <row r="643" spans="1:15">
      <c r="A643" s="125"/>
      <c r="B643" s="127"/>
      <c r="C643" s="124" t="s">
        <v>150</v>
      </c>
      <c r="D643" s="114" t="str">
        <f>$A$419</f>
        <v>2.6.5</v>
      </c>
      <c r="E643" s="115" t="s">
        <v>478</v>
      </c>
      <c r="F643" s="11" t="s">
        <v>150</v>
      </c>
      <c r="G643" s="20"/>
      <c r="H643" s="29"/>
      <c r="I643" s="29"/>
      <c r="J643" s="29"/>
      <c r="K643" s="29"/>
      <c r="L643" s="29"/>
      <c r="M643" s="29"/>
      <c r="N643" s="29"/>
      <c r="O643" s="97"/>
    </row>
    <row r="644" spans="1:15" ht="30">
      <c r="A644" s="125"/>
      <c r="B644" s="127"/>
      <c r="C644" s="125"/>
      <c r="D644" s="115"/>
      <c r="E644" s="115"/>
      <c r="F644" s="11" t="s">
        <v>651</v>
      </c>
      <c r="G644" s="20" t="s">
        <v>652</v>
      </c>
      <c r="H644" s="29" t="str">
        <f>VLOOKUP(G644,'insumos terrapl'!$C$3:$K$47,2,0)</f>
        <v>2Q  66  10  02  00  00  00</v>
      </c>
      <c r="I644" s="29" t="str">
        <f>VLOOKUP(G644,'insumos terrapl'!$C$3:$K$47,3,0)</f>
        <v>2Q</v>
      </c>
      <c r="J644" s="29">
        <f>VLOOKUP(G644,'insumos terrapl'!$C$3:$K$47,4,0)</f>
        <v>66</v>
      </c>
      <c r="K644" s="29" t="str">
        <f>VLOOKUP(G644,'insumos terrapl'!$C$3:$K$47,5,0)</f>
        <v>10</v>
      </c>
      <c r="L644" s="29" t="str">
        <f>VLOOKUP(G644,'insumos terrapl'!$C$3:$K$47,6,0)</f>
        <v>02</v>
      </c>
      <c r="M644" s="29" t="str">
        <f>VLOOKUP(G644,'insumos terrapl'!$C$3:$K$47,7,0)</f>
        <v>00</v>
      </c>
      <c r="N644" s="29" t="str">
        <f>VLOOKUP(G644,'insumos terrapl'!$C$3:$K$47,8,0)</f>
        <v>00</v>
      </c>
      <c r="O644" s="97" t="str">
        <f>VLOOKUP(G644,'insumos terrapl'!$C$3:$K$47,9,0)</f>
        <v>00</v>
      </c>
    </row>
    <row r="645" spans="1:15" ht="30">
      <c r="A645" s="125"/>
      <c r="B645" s="127"/>
      <c r="C645" s="125"/>
      <c r="D645" s="115"/>
      <c r="E645" s="115"/>
      <c r="F645" s="11" t="s">
        <v>653</v>
      </c>
      <c r="G645" s="20" t="s">
        <v>654</v>
      </c>
      <c r="H645" s="29" t="str">
        <f>VLOOKUP(G645,'insumos terrapl'!$C$3:$K$47,2,0)</f>
        <v>2Q  62  10  06  00  00  00</v>
      </c>
      <c r="I645" s="29" t="str">
        <f>VLOOKUP(G645,'insumos terrapl'!$C$3:$K$47,3,0)</f>
        <v>2Q</v>
      </c>
      <c r="J645" s="29">
        <f>VLOOKUP(G645,'insumos terrapl'!$C$3:$K$47,4,0)</f>
        <v>62</v>
      </c>
      <c r="K645" s="29" t="str">
        <f>VLOOKUP(G645,'insumos terrapl'!$C$3:$K$47,5,0)</f>
        <v>10</v>
      </c>
      <c r="L645" s="29" t="str">
        <f>VLOOKUP(G645,'insumos terrapl'!$C$3:$K$47,6,0)</f>
        <v>06</v>
      </c>
      <c r="M645" s="29" t="str">
        <f>VLOOKUP(G645,'insumos terrapl'!$C$3:$K$47,7,0)</f>
        <v>00</v>
      </c>
      <c r="N645" s="29" t="str">
        <f>VLOOKUP(G645,'insumos terrapl'!$C$3:$K$47,8,0)</f>
        <v>00</v>
      </c>
      <c r="O645" s="97" t="str">
        <f>VLOOKUP(G645,'insumos terrapl'!$C$3:$K$47,9,0)</f>
        <v>00</v>
      </c>
    </row>
    <row r="646" spans="1:15">
      <c r="A646" s="125"/>
      <c r="B646" s="127"/>
      <c r="C646" s="125"/>
      <c r="D646" s="115"/>
      <c r="E646" s="115"/>
      <c r="F646" s="11" t="s">
        <v>605</v>
      </c>
      <c r="G646" s="20" t="s">
        <v>606</v>
      </c>
      <c r="H646" s="29" t="str">
        <f>VLOOKUP(G646,'insumos terrapl'!$C$3:$K$47,2,0)</f>
        <v>2Q  62  30  02  14  00  00</v>
      </c>
      <c r="I646" s="29" t="str">
        <f>VLOOKUP(G646,'insumos terrapl'!$C$3:$K$47,3,0)</f>
        <v>2Q</v>
      </c>
      <c r="J646" s="29">
        <f>VLOOKUP(G646,'insumos terrapl'!$C$3:$K$47,4,0)</f>
        <v>62</v>
      </c>
      <c r="K646" s="29">
        <f>VLOOKUP(G646,'insumos terrapl'!$C$3:$K$47,5,0)</f>
        <v>30</v>
      </c>
      <c r="L646" s="29" t="str">
        <f>VLOOKUP(G646,'insumos terrapl'!$C$3:$K$47,6,0)</f>
        <v>02</v>
      </c>
      <c r="M646" s="29" t="str">
        <f>VLOOKUP(G646,'insumos terrapl'!$C$3:$K$47,7,0)</f>
        <v>14</v>
      </c>
      <c r="N646" s="29" t="str">
        <f>VLOOKUP(G646,'insumos terrapl'!$C$3:$K$47,8,0)</f>
        <v>00</v>
      </c>
      <c r="O646" s="97" t="str">
        <f>VLOOKUP(G646,'insumos terrapl'!$C$3:$K$47,9,0)</f>
        <v>00</v>
      </c>
    </row>
    <row r="647" spans="1:15" ht="30">
      <c r="A647" s="125"/>
      <c r="B647" s="127"/>
      <c r="C647" s="125"/>
      <c r="D647" s="115"/>
      <c r="E647" s="115"/>
      <c r="F647" s="11" t="s">
        <v>657</v>
      </c>
      <c r="G647" s="20" t="s">
        <v>658</v>
      </c>
      <c r="H647" s="29" t="str">
        <f>VLOOKUP(G647,'insumos terrapl'!$C$3:$K$47,2,0)</f>
        <v>2Q  62  30  02  10  00  00</v>
      </c>
      <c r="I647" s="29" t="str">
        <f>VLOOKUP(G647,'insumos terrapl'!$C$3:$K$47,3,0)</f>
        <v>2Q</v>
      </c>
      <c r="J647" s="29">
        <f>VLOOKUP(G647,'insumos terrapl'!$C$3:$K$47,4,0)</f>
        <v>62</v>
      </c>
      <c r="K647" s="29" t="str">
        <f>VLOOKUP(G647,'insumos terrapl'!$C$3:$K$47,5,0)</f>
        <v>30</v>
      </c>
      <c r="L647" s="29" t="str">
        <f>VLOOKUP(G647,'insumos terrapl'!$C$3:$K$47,6,0)</f>
        <v>02</v>
      </c>
      <c r="M647" s="29" t="str">
        <f>VLOOKUP(G647,'insumos terrapl'!$C$3:$K$47,7,0)</f>
        <v>10</v>
      </c>
      <c r="N647" s="29" t="str">
        <f>VLOOKUP(G647,'insumos terrapl'!$C$3:$K$47,8,0)</f>
        <v>00</v>
      </c>
      <c r="O647" s="97" t="str">
        <f>VLOOKUP(G647,'insumos terrapl'!$C$3:$K$47,9,0)</f>
        <v>00</v>
      </c>
    </row>
    <row r="648" spans="1:15">
      <c r="A648" s="125"/>
      <c r="B648" s="127"/>
      <c r="C648" s="125"/>
      <c r="D648" s="115"/>
      <c r="E648" s="115"/>
      <c r="F648" s="11" t="s">
        <v>588</v>
      </c>
      <c r="G648" s="20" t="s">
        <v>589</v>
      </c>
      <c r="H648" s="29" t="str">
        <f>VLOOKUP(G648,'insumos terrapl'!$C$3:$K$47,2,0)</f>
        <v>2N  20  14  08  00  00  00</v>
      </c>
      <c r="I648" s="29" t="str">
        <f>VLOOKUP(G648,'insumos terrapl'!$C$3:$K$47,3,0)</f>
        <v>2N</v>
      </c>
      <c r="J648" s="29">
        <f>VLOOKUP(G648,'insumos terrapl'!$C$3:$K$47,4,0)</f>
        <v>20</v>
      </c>
      <c r="K648" s="29">
        <f>VLOOKUP(G648,'insumos terrapl'!$C$3:$K$47,5,0)</f>
        <v>14</v>
      </c>
      <c r="L648" s="29" t="str">
        <f>VLOOKUP(G648,'insumos terrapl'!$C$3:$K$47,6,0)</f>
        <v>08</v>
      </c>
      <c r="M648" s="29" t="str">
        <f>VLOOKUP(G648,'insumos terrapl'!$C$3:$K$47,7,0)</f>
        <v>00</v>
      </c>
      <c r="N648" s="29" t="str">
        <f>VLOOKUP(G648,'insumos terrapl'!$C$3:$K$47,8,0)</f>
        <v>00</v>
      </c>
      <c r="O648" s="97" t="str">
        <f>VLOOKUP(G648,'insumos terrapl'!$C$3:$K$47,9,0)</f>
        <v>00</v>
      </c>
    </row>
    <row r="649" spans="1:15">
      <c r="A649" s="125"/>
      <c r="B649" s="127"/>
      <c r="C649" s="132"/>
      <c r="D649" s="116"/>
      <c r="E649" s="115"/>
      <c r="F649" s="10"/>
      <c r="G649" s="20"/>
      <c r="H649" s="29"/>
      <c r="I649" s="29"/>
      <c r="J649" s="29"/>
      <c r="K649" s="29"/>
      <c r="L649" s="29"/>
      <c r="M649" s="29"/>
      <c r="N649" s="29"/>
      <c r="O649" s="97"/>
    </row>
    <row r="650" spans="1:15">
      <c r="A650" s="125"/>
      <c r="B650" s="127"/>
      <c r="C650" s="124" t="s">
        <v>151</v>
      </c>
      <c r="D650" s="114" t="str">
        <f>$A$419</f>
        <v>2.6.5</v>
      </c>
      <c r="E650" s="114" t="s">
        <v>480</v>
      </c>
      <c r="F650" s="12" t="s">
        <v>151</v>
      </c>
      <c r="G650" s="19"/>
      <c r="H650" s="28"/>
      <c r="I650" s="28"/>
      <c r="J650" s="28"/>
      <c r="K650" s="28"/>
      <c r="L650" s="28"/>
      <c r="M650" s="28"/>
      <c r="N650" s="28"/>
      <c r="O650" s="99"/>
    </row>
    <row r="651" spans="1:15" ht="30">
      <c r="A651" s="125"/>
      <c r="B651" s="127"/>
      <c r="C651" s="125"/>
      <c r="D651" s="115"/>
      <c r="E651" s="115"/>
      <c r="F651" s="11" t="s">
        <v>651</v>
      </c>
      <c r="G651" s="20" t="s">
        <v>652</v>
      </c>
      <c r="H651" s="29" t="str">
        <f>VLOOKUP(G651,'insumos terrapl'!$C$3:$K$47,2,0)</f>
        <v>2Q  66  10  02  00  00  00</v>
      </c>
      <c r="I651" s="29" t="str">
        <f>VLOOKUP(G651,'insumos terrapl'!$C$3:$K$47,3,0)</f>
        <v>2Q</v>
      </c>
      <c r="J651" s="29">
        <f>VLOOKUP(G651,'insumos terrapl'!$C$3:$K$47,4,0)</f>
        <v>66</v>
      </c>
      <c r="K651" s="29" t="str">
        <f>VLOOKUP(G651,'insumos terrapl'!$C$3:$K$47,5,0)</f>
        <v>10</v>
      </c>
      <c r="L651" s="29" t="str">
        <f>VLOOKUP(G651,'insumos terrapl'!$C$3:$K$47,6,0)</f>
        <v>02</v>
      </c>
      <c r="M651" s="29" t="str">
        <f>VLOOKUP(G651,'insumos terrapl'!$C$3:$K$47,7,0)</f>
        <v>00</v>
      </c>
      <c r="N651" s="29" t="str">
        <f>VLOOKUP(G651,'insumos terrapl'!$C$3:$K$47,8,0)</f>
        <v>00</v>
      </c>
      <c r="O651" s="97" t="str">
        <f>VLOOKUP(G651,'insumos terrapl'!$C$3:$K$47,9,0)</f>
        <v>00</v>
      </c>
    </row>
    <row r="652" spans="1:15" ht="30">
      <c r="A652" s="125"/>
      <c r="B652" s="127"/>
      <c r="C652" s="125"/>
      <c r="D652" s="115"/>
      <c r="E652" s="115"/>
      <c r="F652" s="11" t="s">
        <v>653</v>
      </c>
      <c r="G652" s="20" t="s">
        <v>654</v>
      </c>
      <c r="H652" s="29" t="str">
        <f>VLOOKUP(G652,'insumos terrapl'!$C$3:$K$47,2,0)</f>
        <v>2Q  62  10  06  00  00  00</v>
      </c>
      <c r="I652" s="29" t="str">
        <f>VLOOKUP(G652,'insumos terrapl'!$C$3:$K$47,3,0)</f>
        <v>2Q</v>
      </c>
      <c r="J652" s="29">
        <f>VLOOKUP(G652,'insumos terrapl'!$C$3:$K$47,4,0)</f>
        <v>62</v>
      </c>
      <c r="K652" s="29" t="str">
        <f>VLOOKUP(G652,'insumos terrapl'!$C$3:$K$47,5,0)</f>
        <v>10</v>
      </c>
      <c r="L652" s="29" t="str">
        <f>VLOOKUP(G652,'insumos terrapl'!$C$3:$K$47,6,0)</f>
        <v>06</v>
      </c>
      <c r="M652" s="29" t="str">
        <f>VLOOKUP(G652,'insumos terrapl'!$C$3:$K$47,7,0)</f>
        <v>00</v>
      </c>
      <c r="N652" s="29" t="str">
        <f>VLOOKUP(G652,'insumos terrapl'!$C$3:$K$47,8,0)</f>
        <v>00</v>
      </c>
      <c r="O652" s="97" t="str">
        <f>VLOOKUP(G652,'insumos terrapl'!$C$3:$K$47,9,0)</f>
        <v>00</v>
      </c>
    </row>
    <row r="653" spans="1:15">
      <c r="A653" s="125"/>
      <c r="B653" s="127"/>
      <c r="C653" s="125"/>
      <c r="D653" s="115"/>
      <c r="E653" s="115"/>
      <c r="F653" s="11" t="s">
        <v>605</v>
      </c>
      <c r="G653" s="20" t="s">
        <v>606</v>
      </c>
      <c r="H653" s="29" t="str">
        <f>VLOOKUP(G653,'insumos terrapl'!$C$3:$K$47,2,0)</f>
        <v>2Q  62  30  02  14  00  00</v>
      </c>
      <c r="I653" s="29" t="str">
        <f>VLOOKUP(G653,'insumos terrapl'!$C$3:$K$47,3,0)</f>
        <v>2Q</v>
      </c>
      <c r="J653" s="29">
        <f>VLOOKUP(G653,'insumos terrapl'!$C$3:$K$47,4,0)</f>
        <v>62</v>
      </c>
      <c r="K653" s="29">
        <f>VLOOKUP(G653,'insumos terrapl'!$C$3:$K$47,5,0)</f>
        <v>30</v>
      </c>
      <c r="L653" s="29" t="str">
        <f>VLOOKUP(G653,'insumos terrapl'!$C$3:$K$47,6,0)</f>
        <v>02</v>
      </c>
      <c r="M653" s="29" t="str">
        <f>VLOOKUP(G653,'insumos terrapl'!$C$3:$K$47,7,0)</f>
        <v>14</v>
      </c>
      <c r="N653" s="29" t="str">
        <f>VLOOKUP(G653,'insumos terrapl'!$C$3:$K$47,8,0)</f>
        <v>00</v>
      </c>
      <c r="O653" s="97" t="str">
        <f>VLOOKUP(G653,'insumos terrapl'!$C$3:$K$47,9,0)</f>
        <v>00</v>
      </c>
    </row>
    <row r="654" spans="1:15" ht="30">
      <c r="A654" s="125"/>
      <c r="B654" s="127"/>
      <c r="C654" s="125"/>
      <c r="D654" s="115"/>
      <c r="E654" s="115"/>
      <c r="F654" s="11" t="s">
        <v>657</v>
      </c>
      <c r="G654" s="20" t="s">
        <v>658</v>
      </c>
      <c r="H654" s="29" t="str">
        <f>VLOOKUP(G654,'insumos terrapl'!$C$3:$K$47,2,0)</f>
        <v>2Q  62  30  02  10  00  00</v>
      </c>
      <c r="I654" s="29" t="str">
        <f>VLOOKUP(G654,'insumos terrapl'!$C$3:$K$47,3,0)</f>
        <v>2Q</v>
      </c>
      <c r="J654" s="29">
        <f>VLOOKUP(G654,'insumos terrapl'!$C$3:$K$47,4,0)</f>
        <v>62</v>
      </c>
      <c r="K654" s="29" t="str">
        <f>VLOOKUP(G654,'insumos terrapl'!$C$3:$K$47,5,0)</f>
        <v>30</v>
      </c>
      <c r="L654" s="29" t="str">
        <f>VLOOKUP(G654,'insumos terrapl'!$C$3:$K$47,6,0)</f>
        <v>02</v>
      </c>
      <c r="M654" s="29" t="str">
        <f>VLOOKUP(G654,'insumos terrapl'!$C$3:$K$47,7,0)</f>
        <v>10</v>
      </c>
      <c r="N654" s="29" t="str">
        <f>VLOOKUP(G654,'insumos terrapl'!$C$3:$K$47,8,0)</f>
        <v>00</v>
      </c>
      <c r="O654" s="97" t="str">
        <f>VLOOKUP(G654,'insumos terrapl'!$C$3:$K$47,9,0)</f>
        <v>00</v>
      </c>
    </row>
    <row r="655" spans="1:15">
      <c r="A655" s="125"/>
      <c r="B655" s="127"/>
      <c r="C655" s="125"/>
      <c r="D655" s="115"/>
      <c r="E655" s="115"/>
      <c r="F655" s="11" t="s">
        <v>588</v>
      </c>
      <c r="G655" s="20" t="s">
        <v>589</v>
      </c>
      <c r="H655" s="29" t="str">
        <f>VLOOKUP(G655,'insumos terrapl'!$C$3:$K$47,2,0)</f>
        <v>2N  20  14  08  00  00  00</v>
      </c>
      <c r="I655" s="29" t="str">
        <f>VLOOKUP(G655,'insumos terrapl'!$C$3:$K$47,3,0)</f>
        <v>2N</v>
      </c>
      <c r="J655" s="29">
        <f>VLOOKUP(G655,'insumos terrapl'!$C$3:$K$47,4,0)</f>
        <v>20</v>
      </c>
      <c r="K655" s="29">
        <f>VLOOKUP(G655,'insumos terrapl'!$C$3:$K$47,5,0)</f>
        <v>14</v>
      </c>
      <c r="L655" s="29" t="str">
        <f>VLOOKUP(G655,'insumos terrapl'!$C$3:$K$47,6,0)</f>
        <v>08</v>
      </c>
      <c r="M655" s="29" t="str">
        <f>VLOOKUP(G655,'insumos terrapl'!$C$3:$K$47,7,0)</f>
        <v>00</v>
      </c>
      <c r="N655" s="29" t="str">
        <f>VLOOKUP(G655,'insumos terrapl'!$C$3:$K$47,8,0)</f>
        <v>00</v>
      </c>
      <c r="O655" s="97" t="str">
        <f>VLOOKUP(G655,'insumos terrapl'!$C$3:$K$47,9,0)</f>
        <v>00</v>
      </c>
    </row>
    <row r="656" spans="1:15">
      <c r="A656" s="125"/>
      <c r="B656" s="127"/>
      <c r="C656" s="132"/>
      <c r="D656" s="116"/>
      <c r="E656" s="116"/>
      <c r="F656" s="13"/>
      <c r="G656" s="21"/>
      <c r="H656" s="31"/>
      <c r="I656" s="31"/>
      <c r="J656" s="31"/>
      <c r="K656" s="31"/>
      <c r="L656" s="31"/>
      <c r="M656" s="31"/>
      <c r="N656" s="31"/>
      <c r="O656" s="98"/>
    </row>
    <row r="657" spans="1:15">
      <c r="A657" s="125"/>
      <c r="B657" s="127"/>
      <c r="C657" s="124" t="s">
        <v>152</v>
      </c>
      <c r="D657" s="114" t="str">
        <f>$A$419</f>
        <v>2.6.5</v>
      </c>
      <c r="E657" s="115" t="s">
        <v>482</v>
      </c>
      <c r="F657" s="11" t="s">
        <v>152</v>
      </c>
      <c r="G657" s="20"/>
      <c r="H657" s="29"/>
      <c r="I657" s="29"/>
      <c r="J657" s="29"/>
      <c r="K657" s="29"/>
      <c r="L657" s="29"/>
      <c r="M657" s="29"/>
      <c r="N657" s="29"/>
      <c r="O657" s="97"/>
    </row>
    <row r="658" spans="1:15" ht="30">
      <c r="A658" s="125"/>
      <c r="B658" s="127"/>
      <c r="C658" s="125"/>
      <c r="D658" s="115"/>
      <c r="E658" s="115"/>
      <c r="F658" s="11" t="s">
        <v>651</v>
      </c>
      <c r="G658" s="20" t="s">
        <v>652</v>
      </c>
      <c r="H658" s="29" t="str">
        <f>VLOOKUP(G658,'insumos terrapl'!$C$3:$K$47,2,0)</f>
        <v>2Q  66  10  02  00  00  00</v>
      </c>
      <c r="I658" s="29" t="str">
        <f>VLOOKUP(G658,'insumos terrapl'!$C$3:$K$47,3,0)</f>
        <v>2Q</v>
      </c>
      <c r="J658" s="29">
        <f>VLOOKUP(G658,'insumos terrapl'!$C$3:$K$47,4,0)</f>
        <v>66</v>
      </c>
      <c r="K658" s="29" t="str">
        <f>VLOOKUP(G658,'insumos terrapl'!$C$3:$K$47,5,0)</f>
        <v>10</v>
      </c>
      <c r="L658" s="29" t="str">
        <f>VLOOKUP(G658,'insumos terrapl'!$C$3:$K$47,6,0)</f>
        <v>02</v>
      </c>
      <c r="M658" s="29" t="str">
        <f>VLOOKUP(G658,'insumos terrapl'!$C$3:$K$47,7,0)</f>
        <v>00</v>
      </c>
      <c r="N658" s="29" t="str">
        <f>VLOOKUP(G658,'insumos terrapl'!$C$3:$K$47,8,0)</f>
        <v>00</v>
      </c>
      <c r="O658" s="97" t="str">
        <f>VLOOKUP(G658,'insumos terrapl'!$C$3:$K$47,9,0)</f>
        <v>00</v>
      </c>
    </row>
    <row r="659" spans="1:15" ht="30">
      <c r="A659" s="125"/>
      <c r="B659" s="127"/>
      <c r="C659" s="125"/>
      <c r="D659" s="115"/>
      <c r="E659" s="115"/>
      <c r="F659" s="11" t="s">
        <v>653</v>
      </c>
      <c r="G659" s="20" t="s">
        <v>654</v>
      </c>
      <c r="H659" s="29" t="str">
        <f>VLOOKUP(G659,'insumos terrapl'!$C$3:$K$47,2,0)</f>
        <v>2Q  62  10  06  00  00  00</v>
      </c>
      <c r="I659" s="29" t="str">
        <f>VLOOKUP(G659,'insumos terrapl'!$C$3:$K$47,3,0)</f>
        <v>2Q</v>
      </c>
      <c r="J659" s="29">
        <f>VLOOKUP(G659,'insumos terrapl'!$C$3:$K$47,4,0)</f>
        <v>62</v>
      </c>
      <c r="K659" s="29" t="str">
        <f>VLOOKUP(G659,'insumos terrapl'!$C$3:$K$47,5,0)</f>
        <v>10</v>
      </c>
      <c r="L659" s="29" t="str">
        <f>VLOOKUP(G659,'insumos terrapl'!$C$3:$K$47,6,0)</f>
        <v>06</v>
      </c>
      <c r="M659" s="29" t="str">
        <f>VLOOKUP(G659,'insumos terrapl'!$C$3:$K$47,7,0)</f>
        <v>00</v>
      </c>
      <c r="N659" s="29" t="str">
        <f>VLOOKUP(G659,'insumos terrapl'!$C$3:$K$47,8,0)</f>
        <v>00</v>
      </c>
      <c r="O659" s="97" t="str">
        <f>VLOOKUP(G659,'insumos terrapl'!$C$3:$K$47,9,0)</f>
        <v>00</v>
      </c>
    </row>
    <row r="660" spans="1:15">
      <c r="A660" s="125"/>
      <c r="B660" s="127"/>
      <c r="C660" s="125"/>
      <c r="D660" s="115"/>
      <c r="E660" s="115"/>
      <c r="F660" s="11" t="s">
        <v>605</v>
      </c>
      <c r="G660" s="20" t="s">
        <v>606</v>
      </c>
      <c r="H660" s="29" t="str">
        <f>VLOOKUP(G660,'insumos terrapl'!$C$3:$K$47,2,0)</f>
        <v>2Q  62  30  02  14  00  00</v>
      </c>
      <c r="I660" s="29" t="str">
        <f>VLOOKUP(G660,'insumos terrapl'!$C$3:$K$47,3,0)</f>
        <v>2Q</v>
      </c>
      <c r="J660" s="29">
        <f>VLOOKUP(G660,'insumos terrapl'!$C$3:$K$47,4,0)</f>
        <v>62</v>
      </c>
      <c r="K660" s="29">
        <f>VLOOKUP(G660,'insumos terrapl'!$C$3:$K$47,5,0)</f>
        <v>30</v>
      </c>
      <c r="L660" s="29" t="str">
        <f>VLOOKUP(G660,'insumos terrapl'!$C$3:$K$47,6,0)</f>
        <v>02</v>
      </c>
      <c r="M660" s="29" t="str">
        <f>VLOOKUP(G660,'insumos terrapl'!$C$3:$K$47,7,0)</f>
        <v>14</v>
      </c>
      <c r="N660" s="29" t="str">
        <f>VLOOKUP(G660,'insumos terrapl'!$C$3:$K$47,8,0)</f>
        <v>00</v>
      </c>
      <c r="O660" s="97" t="str">
        <f>VLOOKUP(G660,'insumos terrapl'!$C$3:$K$47,9,0)</f>
        <v>00</v>
      </c>
    </row>
    <row r="661" spans="1:15" ht="30">
      <c r="A661" s="125"/>
      <c r="B661" s="127"/>
      <c r="C661" s="125"/>
      <c r="D661" s="115"/>
      <c r="E661" s="115"/>
      <c r="F661" s="11" t="s">
        <v>657</v>
      </c>
      <c r="G661" s="20" t="s">
        <v>658</v>
      </c>
      <c r="H661" s="29" t="str">
        <f>VLOOKUP(G661,'insumos terrapl'!$C$3:$K$47,2,0)</f>
        <v>2Q  62  30  02  10  00  00</v>
      </c>
      <c r="I661" s="29" t="str">
        <f>VLOOKUP(G661,'insumos terrapl'!$C$3:$K$47,3,0)</f>
        <v>2Q</v>
      </c>
      <c r="J661" s="29">
        <f>VLOOKUP(G661,'insumos terrapl'!$C$3:$K$47,4,0)</f>
        <v>62</v>
      </c>
      <c r="K661" s="29" t="str">
        <f>VLOOKUP(G661,'insumos terrapl'!$C$3:$K$47,5,0)</f>
        <v>30</v>
      </c>
      <c r="L661" s="29" t="str">
        <f>VLOOKUP(G661,'insumos terrapl'!$C$3:$K$47,6,0)</f>
        <v>02</v>
      </c>
      <c r="M661" s="29" t="str">
        <f>VLOOKUP(G661,'insumos terrapl'!$C$3:$K$47,7,0)</f>
        <v>10</v>
      </c>
      <c r="N661" s="29" t="str">
        <f>VLOOKUP(G661,'insumos terrapl'!$C$3:$K$47,8,0)</f>
        <v>00</v>
      </c>
      <c r="O661" s="97" t="str">
        <f>VLOOKUP(G661,'insumos terrapl'!$C$3:$K$47,9,0)</f>
        <v>00</v>
      </c>
    </row>
    <row r="662" spans="1:15">
      <c r="A662" s="125"/>
      <c r="B662" s="127"/>
      <c r="C662" s="125"/>
      <c r="D662" s="115"/>
      <c r="E662" s="115"/>
      <c r="F662" s="11" t="s">
        <v>588</v>
      </c>
      <c r="G662" s="20" t="s">
        <v>589</v>
      </c>
      <c r="H662" s="29" t="str">
        <f>VLOOKUP(G662,'insumos terrapl'!$C$3:$K$47,2,0)</f>
        <v>2N  20  14  08  00  00  00</v>
      </c>
      <c r="I662" s="29" t="str">
        <f>VLOOKUP(G662,'insumos terrapl'!$C$3:$K$47,3,0)</f>
        <v>2N</v>
      </c>
      <c r="J662" s="29">
        <f>VLOOKUP(G662,'insumos terrapl'!$C$3:$K$47,4,0)</f>
        <v>20</v>
      </c>
      <c r="K662" s="29">
        <f>VLOOKUP(G662,'insumos terrapl'!$C$3:$K$47,5,0)</f>
        <v>14</v>
      </c>
      <c r="L662" s="29" t="str">
        <f>VLOOKUP(G662,'insumos terrapl'!$C$3:$K$47,6,0)</f>
        <v>08</v>
      </c>
      <c r="M662" s="29" t="str">
        <f>VLOOKUP(G662,'insumos terrapl'!$C$3:$K$47,7,0)</f>
        <v>00</v>
      </c>
      <c r="N662" s="29" t="str">
        <f>VLOOKUP(G662,'insumos terrapl'!$C$3:$K$47,8,0)</f>
        <v>00</v>
      </c>
      <c r="O662" s="97" t="str">
        <f>VLOOKUP(G662,'insumos terrapl'!$C$3:$K$47,9,0)</f>
        <v>00</v>
      </c>
    </row>
    <row r="663" spans="1:15">
      <c r="A663" s="125"/>
      <c r="B663" s="127"/>
      <c r="C663" s="132"/>
      <c r="D663" s="116"/>
      <c r="E663" s="115"/>
      <c r="F663" s="10"/>
      <c r="G663" s="20"/>
      <c r="H663" s="29"/>
      <c r="I663" s="29"/>
      <c r="J663" s="29"/>
      <c r="K663" s="29"/>
      <c r="L663" s="29"/>
      <c r="M663" s="29"/>
      <c r="N663" s="29"/>
      <c r="O663" s="97"/>
    </row>
    <row r="664" spans="1:15">
      <c r="A664" s="125"/>
      <c r="B664" s="127"/>
      <c r="C664" s="124" t="s">
        <v>153</v>
      </c>
      <c r="D664" s="114" t="str">
        <f>$A$419</f>
        <v>2.6.5</v>
      </c>
      <c r="E664" s="114" t="s">
        <v>484</v>
      </c>
      <c r="F664" s="12" t="s">
        <v>153</v>
      </c>
      <c r="G664" s="19"/>
      <c r="H664" s="28"/>
      <c r="I664" s="28"/>
      <c r="J664" s="28"/>
      <c r="K664" s="28"/>
      <c r="L664" s="28"/>
      <c r="M664" s="28"/>
      <c r="N664" s="28"/>
      <c r="O664" s="99"/>
    </row>
    <row r="665" spans="1:15" ht="30">
      <c r="A665" s="125"/>
      <c r="B665" s="127"/>
      <c r="C665" s="125"/>
      <c r="D665" s="115"/>
      <c r="E665" s="115"/>
      <c r="F665" s="11" t="s">
        <v>651</v>
      </c>
      <c r="G665" s="20" t="s">
        <v>652</v>
      </c>
      <c r="H665" s="29" t="str">
        <f>VLOOKUP(G665,'insumos terrapl'!$C$3:$K$47,2,0)</f>
        <v>2Q  66  10  02  00  00  00</v>
      </c>
      <c r="I665" s="29" t="str">
        <f>VLOOKUP(G665,'insumos terrapl'!$C$3:$K$47,3,0)</f>
        <v>2Q</v>
      </c>
      <c r="J665" s="29">
        <f>VLOOKUP(G665,'insumos terrapl'!$C$3:$K$47,4,0)</f>
        <v>66</v>
      </c>
      <c r="K665" s="29" t="str">
        <f>VLOOKUP(G665,'insumos terrapl'!$C$3:$K$47,5,0)</f>
        <v>10</v>
      </c>
      <c r="L665" s="29" t="str">
        <f>VLOOKUP(G665,'insumos terrapl'!$C$3:$K$47,6,0)</f>
        <v>02</v>
      </c>
      <c r="M665" s="29" t="str">
        <f>VLOOKUP(G665,'insumos terrapl'!$C$3:$K$47,7,0)</f>
        <v>00</v>
      </c>
      <c r="N665" s="29" t="str">
        <f>VLOOKUP(G665,'insumos terrapl'!$C$3:$K$47,8,0)</f>
        <v>00</v>
      </c>
      <c r="O665" s="97" t="str">
        <f>VLOOKUP(G665,'insumos terrapl'!$C$3:$K$47,9,0)</f>
        <v>00</v>
      </c>
    </row>
    <row r="666" spans="1:15" ht="30">
      <c r="A666" s="125"/>
      <c r="B666" s="127"/>
      <c r="C666" s="125"/>
      <c r="D666" s="115"/>
      <c r="E666" s="115"/>
      <c r="F666" s="11" t="s">
        <v>653</v>
      </c>
      <c r="G666" s="20" t="s">
        <v>654</v>
      </c>
      <c r="H666" s="29" t="str">
        <f>VLOOKUP(G666,'insumos terrapl'!$C$3:$K$47,2,0)</f>
        <v>2Q  62  10  06  00  00  00</v>
      </c>
      <c r="I666" s="29" t="str">
        <f>VLOOKUP(G666,'insumos terrapl'!$C$3:$K$47,3,0)</f>
        <v>2Q</v>
      </c>
      <c r="J666" s="29">
        <f>VLOOKUP(G666,'insumos terrapl'!$C$3:$K$47,4,0)</f>
        <v>62</v>
      </c>
      <c r="K666" s="29" t="str">
        <f>VLOOKUP(G666,'insumos terrapl'!$C$3:$K$47,5,0)</f>
        <v>10</v>
      </c>
      <c r="L666" s="29" t="str">
        <f>VLOOKUP(G666,'insumos terrapl'!$C$3:$K$47,6,0)</f>
        <v>06</v>
      </c>
      <c r="M666" s="29" t="str">
        <f>VLOOKUP(G666,'insumos terrapl'!$C$3:$K$47,7,0)</f>
        <v>00</v>
      </c>
      <c r="N666" s="29" t="str">
        <f>VLOOKUP(G666,'insumos terrapl'!$C$3:$K$47,8,0)</f>
        <v>00</v>
      </c>
      <c r="O666" s="97" t="str">
        <f>VLOOKUP(G666,'insumos terrapl'!$C$3:$K$47,9,0)</f>
        <v>00</v>
      </c>
    </row>
    <row r="667" spans="1:15">
      <c r="A667" s="125"/>
      <c r="B667" s="127"/>
      <c r="C667" s="125"/>
      <c r="D667" s="115"/>
      <c r="E667" s="115"/>
      <c r="F667" s="11" t="s">
        <v>605</v>
      </c>
      <c r="G667" s="20" t="s">
        <v>606</v>
      </c>
      <c r="H667" s="29" t="str">
        <f>VLOOKUP(G667,'insumos terrapl'!$C$3:$K$47,2,0)</f>
        <v>2Q  62  30  02  14  00  00</v>
      </c>
      <c r="I667" s="29" t="str">
        <f>VLOOKUP(G667,'insumos terrapl'!$C$3:$K$47,3,0)</f>
        <v>2Q</v>
      </c>
      <c r="J667" s="29">
        <f>VLOOKUP(G667,'insumos terrapl'!$C$3:$K$47,4,0)</f>
        <v>62</v>
      </c>
      <c r="K667" s="29">
        <f>VLOOKUP(G667,'insumos terrapl'!$C$3:$K$47,5,0)</f>
        <v>30</v>
      </c>
      <c r="L667" s="29" t="str">
        <f>VLOOKUP(G667,'insumos terrapl'!$C$3:$K$47,6,0)</f>
        <v>02</v>
      </c>
      <c r="M667" s="29" t="str">
        <f>VLOOKUP(G667,'insumos terrapl'!$C$3:$K$47,7,0)</f>
        <v>14</v>
      </c>
      <c r="N667" s="29" t="str">
        <f>VLOOKUP(G667,'insumos terrapl'!$C$3:$K$47,8,0)</f>
        <v>00</v>
      </c>
      <c r="O667" s="97" t="str">
        <f>VLOOKUP(G667,'insumos terrapl'!$C$3:$K$47,9,0)</f>
        <v>00</v>
      </c>
    </row>
    <row r="668" spans="1:15" ht="30">
      <c r="A668" s="125"/>
      <c r="B668" s="127"/>
      <c r="C668" s="125"/>
      <c r="D668" s="115"/>
      <c r="E668" s="115"/>
      <c r="F668" s="11" t="s">
        <v>657</v>
      </c>
      <c r="G668" s="20" t="s">
        <v>658</v>
      </c>
      <c r="H668" s="29" t="str">
        <f>VLOOKUP(G668,'insumos terrapl'!$C$3:$K$47,2,0)</f>
        <v>2Q  62  30  02  10  00  00</v>
      </c>
      <c r="I668" s="29" t="str">
        <f>VLOOKUP(G668,'insumos terrapl'!$C$3:$K$47,3,0)</f>
        <v>2Q</v>
      </c>
      <c r="J668" s="29">
        <f>VLOOKUP(G668,'insumos terrapl'!$C$3:$K$47,4,0)</f>
        <v>62</v>
      </c>
      <c r="K668" s="29" t="str">
        <f>VLOOKUP(G668,'insumos terrapl'!$C$3:$K$47,5,0)</f>
        <v>30</v>
      </c>
      <c r="L668" s="29" t="str">
        <f>VLOOKUP(G668,'insumos terrapl'!$C$3:$K$47,6,0)</f>
        <v>02</v>
      </c>
      <c r="M668" s="29" t="str">
        <f>VLOOKUP(G668,'insumos terrapl'!$C$3:$K$47,7,0)</f>
        <v>10</v>
      </c>
      <c r="N668" s="29" t="str">
        <f>VLOOKUP(G668,'insumos terrapl'!$C$3:$K$47,8,0)</f>
        <v>00</v>
      </c>
      <c r="O668" s="97" t="str">
        <f>VLOOKUP(G668,'insumos terrapl'!$C$3:$K$47,9,0)</f>
        <v>00</v>
      </c>
    </row>
    <row r="669" spans="1:15">
      <c r="A669" s="125"/>
      <c r="B669" s="127"/>
      <c r="C669" s="125"/>
      <c r="D669" s="115"/>
      <c r="E669" s="115"/>
      <c r="F669" s="11" t="s">
        <v>588</v>
      </c>
      <c r="G669" s="20" t="s">
        <v>589</v>
      </c>
      <c r="H669" s="29" t="str">
        <f>VLOOKUP(G669,'insumos terrapl'!$C$3:$K$47,2,0)</f>
        <v>2N  20  14  08  00  00  00</v>
      </c>
      <c r="I669" s="29" t="str">
        <f>VLOOKUP(G669,'insumos terrapl'!$C$3:$K$47,3,0)</f>
        <v>2N</v>
      </c>
      <c r="J669" s="29">
        <f>VLOOKUP(G669,'insumos terrapl'!$C$3:$K$47,4,0)</f>
        <v>20</v>
      </c>
      <c r="K669" s="29">
        <f>VLOOKUP(G669,'insumos terrapl'!$C$3:$K$47,5,0)</f>
        <v>14</v>
      </c>
      <c r="L669" s="29" t="str">
        <f>VLOOKUP(G669,'insumos terrapl'!$C$3:$K$47,6,0)</f>
        <v>08</v>
      </c>
      <c r="M669" s="29" t="str">
        <f>VLOOKUP(G669,'insumos terrapl'!$C$3:$K$47,7,0)</f>
        <v>00</v>
      </c>
      <c r="N669" s="29" t="str">
        <f>VLOOKUP(G669,'insumos terrapl'!$C$3:$K$47,8,0)</f>
        <v>00</v>
      </c>
      <c r="O669" s="97" t="str">
        <f>VLOOKUP(G669,'insumos terrapl'!$C$3:$K$47,9,0)</f>
        <v>00</v>
      </c>
    </row>
    <row r="670" spans="1:15">
      <c r="A670" s="125"/>
      <c r="B670" s="127"/>
      <c r="C670" s="132"/>
      <c r="D670" s="116"/>
      <c r="E670" s="116"/>
      <c r="F670" s="13"/>
      <c r="G670" s="21"/>
      <c r="H670" s="31"/>
      <c r="I670" s="31"/>
      <c r="J670" s="31"/>
      <c r="K670" s="31"/>
      <c r="L670" s="31"/>
      <c r="M670" s="31"/>
      <c r="N670" s="31"/>
      <c r="O670" s="98"/>
    </row>
    <row r="671" spans="1:15">
      <c r="A671" s="125"/>
      <c r="B671" s="127"/>
      <c r="C671" s="124" t="s">
        <v>154</v>
      </c>
      <c r="D671" s="114" t="str">
        <f>$A$419</f>
        <v>2.6.5</v>
      </c>
      <c r="E671" s="115" t="s">
        <v>487</v>
      </c>
      <c r="F671" s="11" t="s">
        <v>154</v>
      </c>
      <c r="G671" s="20"/>
      <c r="H671" s="29"/>
      <c r="I671" s="29"/>
      <c r="J671" s="29"/>
      <c r="K671" s="29"/>
      <c r="L671" s="29"/>
      <c r="M671" s="29"/>
      <c r="N671" s="29"/>
      <c r="O671" s="97"/>
    </row>
    <row r="672" spans="1:15" ht="30">
      <c r="A672" s="125"/>
      <c r="B672" s="127"/>
      <c r="C672" s="125"/>
      <c r="D672" s="115"/>
      <c r="E672" s="115"/>
      <c r="F672" s="11" t="s">
        <v>651</v>
      </c>
      <c r="G672" s="20" t="s">
        <v>652</v>
      </c>
      <c r="H672" s="29" t="str">
        <f>VLOOKUP(G672,'insumos terrapl'!$C$3:$K$47,2,0)</f>
        <v>2Q  66  10  02  00  00  00</v>
      </c>
      <c r="I672" s="29" t="str">
        <f>VLOOKUP(G672,'insumos terrapl'!$C$3:$K$47,3,0)</f>
        <v>2Q</v>
      </c>
      <c r="J672" s="29">
        <f>VLOOKUP(G672,'insumos terrapl'!$C$3:$K$47,4,0)</f>
        <v>66</v>
      </c>
      <c r="K672" s="29" t="str">
        <f>VLOOKUP(G672,'insumos terrapl'!$C$3:$K$47,5,0)</f>
        <v>10</v>
      </c>
      <c r="L672" s="29" t="str">
        <f>VLOOKUP(G672,'insumos terrapl'!$C$3:$K$47,6,0)</f>
        <v>02</v>
      </c>
      <c r="M672" s="29" t="str">
        <f>VLOOKUP(G672,'insumos terrapl'!$C$3:$K$47,7,0)</f>
        <v>00</v>
      </c>
      <c r="N672" s="29" t="str">
        <f>VLOOKUP(G672,'insumos terrapl'!$C$3:$K$47,8,0)</f>
        <v>00</v>
      </c>
      <c r="O672" s="97" t="str">
        <f>VLOOKUP(G672,'insumos terrapl'!$C$3:$K$47,9,0)</f>
        <v>00</v>
      </c>
    </row>
    <row r="673" spans="1:15" ht="30">
      <c r="A673" s="125"/>
      <c r="B673" s="127"/>
      <c r="C673" s="125"/>
      <c r="D673" s="115"/>
      <c r="E673" s="115"/>
      <c r="F673" s="11" t="s">
        <v>653</v>
      </c>
      <c r="G673" s="20" t="s">
        <v>654</v>
      </c>
      <c r="H673" s="29" t="str">
        <f>VLOOKUP(G673,'insumos terrapl'!$C$3:$K$47,2,0)</f>
        <v>2Q  62  10  06  00  00  00</v>
      </c>
      <c r="I673" s="29" t="str">
        <f>VLOOKUP(G673,'insumos terrapl'!$C$3:$K$47,3,0)</f>
        <v>2Q</v>
      </c>
      <c r="J673" s="29">
        <f>VLOOKUP(G673,'insumos terrapl'!$C$3:$K$47,4,0)</f>
        <v>62</v>
      </c>
      <c r="K673" s="29" t="str">
        <f>VLOOKUP(G673,'insumos terrapl'!$C$3:$K$47,5,0)</f>
        <v>10</v>
      </c>
      <c r="L673" s="29" t="str">
        <f>VLOOKUP(G673,'insumos terrapl'!$C$3:$K$47,6,0)</f>
        <v>06</v>
      </c>
      <c r="M673" s="29" t="str">
        <f>VLOOKUP(G673,'insumos terrapl'!$C$3:$K$47,7,0)</f>
        <v>00</v>
      </c>
      <c r="N673" s="29" t="str">
        <f>VLOOKUP(G673,'insumos terrapl'!$C$3:$K$47,8,0)</f>
        <v>00</v>
      </c>
      <c r="O673" s="97" t="str">
        <f>VLOOKUP(G673,'insumos terrapl'!$C$3:$K$47,9,0)</f>
        <v>00</v>
      </c>
    </row>
    <row r="674" spans="1:15">
      <c r="A674" s="125"/>
      <c r="B674" s="127"/>
      <c r="C674" s="125"/>
      <c r="D674" s="115"/>
      <c r="E674" s="115"/>
      <c r="F674" s="11" t="s">
        <v>605</v>
      </c>
      <c r="G674" s="20" t="s">
        <v>606</v>
      </c>
      <c r="H674" s="29" t="str">
        <f>VLOOKUP(G674,'insumos terrapl'!$C$3:$K$47,2,0)</f>
        <v>2Q  62  30  02  14  00  00</v>
      </c>
      <c r="I674" s="29" t="str">
        <f>VLOOKUP(G674,'insumos terrapl'!$C$3:$K$47,3,0)</f>
        <v>2Q</v>
      </c>
      <c r="J674" s="29">
        <f>VLOOKUP(G674,'insumos terrapl'!$C$3:$K$47,4,0)</f>
        <v>62</v>
      </c>
      <c r="K674" s="29">
        <f>VLOOKUP(G674,'insumos terrapl'!$C$3:$K$47,5,0)</f>
        <v>30</v>
      </c>
      <c r="L674" s="29" t="str">
        <f>VLOOKUP(G674,'insumos terrapl'!$C$3:$K$47,6,0)</f>
        <v>02</v>
      </c>
      <c r="M674" s="29" t="str">
        <f>VLOOKUP(G674,'insumos terrapl'!$C$3:$K$47,7,0)</f>
        <v>14</v>
      </c>
      <c r="N674" s="29" t="str">
        <f>VLOOKUP(G674,'insumos terrapl'!$C$3:$K$47,8,0)</f>
        <v>00</v>
      </c>
      <c r="O674" s="97" t="str">
        <f>VLOOKUP(G674,'insumos terrapl'!$C$3:$K$47,9,0)</f>
        <v>00</v>
      </c>
    </row>
    <row r="675" spans="1:15" ht="30">
      <c r="A675" s="125"/>
      <c r="B675" s="127"/>
      <c r="C675" s="125"/>
      <c r="D675" s="115"/>
      <c r="E675" s="115"/>
      <c r="F675" s="11" t="s">
        <v>657</v>
      </c>
      <c r="G675" s="20" t="s">
        <v>658</v>
      </c>
      <c r="H675" s="29" t="str">
        <f>VLOOKUP(G675,'insumos terrapl'!$C$3:$K$47,2,0)</f>
        <v>2Q  62  30  02  10  00  00</v>
      </c>
      <c r="I675" s="29" t="str">
        <f>VLOOKUP(G675,'insumos terrapl'!$C$3:$K$47,3,0)</f>
        <v>2Q</v>
      </c>
      <c r="J675" s="29">
        <f>VLOOKUP(G675,'insumos terrapl'!$C$3:$K$47,4,0)</f>
        <v>62</v>
      </c>
      <c r="K675" s="29" t="str">
        <f>VLOOKUP(G675,'insumos terrapl'!$C$3:$K$47,5,0)</f>
        <v>30</v>
      </c>
      <c r="L675" s="29" t="str">
        <f>VLOOKUP(G675,'insumos terrapl'!$C$3:$K$47,6,0)</f>
        <v>02</v>
      </c>
      <c r="M675" s="29" t="str">
        <f>VLOOKUP(G675,'insumos terrapl'!$C$3:$K$47,7,0)</f>
        <v>10</v>
      </c>
      <c r="N675" s="29" t="str">
        <f>VLOOKUP(G675,'insumos terrapl'!$C$3:$K$47,8,0)</f>
        <v>00</v>
      </c>
      <c r="O675" s="97" t="str">
        <f>VLOOKUP(G675,'insumos terrapl'!$C$3:$K$47,9,0)</f>
        <v>00</v>
      </c>
    </row>
    <row r="676" spans="1:15">
      <c r="A676" s="125"/>
      <c r="B676" s="127"/>
      <c r="C676" s="125"/>
      <c r="D676" s="115"/>
      <c r="E676" s="115"/>
      <c r="F676" s="11" t="s">
        <v>588</v>
      </c>
      <c r="G676" s="20" t="s">
        <v>589</v>
      </c>
      <c r="H676" s="29" t="str">
        <f>VLOOKUP(G676,'insumos terrapl'!$C$3:$K$47,2,0)</f>
        <v>2N  20  14  08  00  00  00</v>
      </c>
      <c r="I676" s="29" t="str">
        <f>VLOOKUP(G676,'insumos terrapl'!$C$3:$K$47,3,0)</f>
        <v>2N</v>
      </c>
      <c r="J676" s="29">
        <f>VLOOKUP(G676,'insumos terrapl'!$C$3:$K$47,4,0)</f>
        <v>20</v>
      </c>
      <c r="K676" s="29">
        <f>VLOOKUP(G676,'insumos terrapl'!$C$3:$K$47,5,0)</f>
        <v>14</v>
      </c>
      <c r="L676" s="29" t="str">
        <f>VLOOKUP(G676,'insumos terrapl'!$C$3:$K$47,6,0)</f>
        <v>08</v>
      </c>
      <c r="M676" s="29" t="str">
        <f>VLOOKUP(G676,'insumos terrapl'!$C$3:$K$47,7,0)</f>
        <v>00</v>
      </c>
      <c r="N676" s="29" t="str">
        <f>VLOOKUP(G676,'insumos terrapl'!$C$3:$K$47,8,0)</f>
        <v>00</v>
      </c>
      <c r="O676" s="97" t="str">
        <f>VLOOKUP(G676,'insumos terrapl'!$C$3:$K$47,9,0)</f>
        <v>00</v>
      </c>
    </row>
    <row r="677" spans="1:15">
      <c r="A677" s="125"/>
      <c r="B677" s="127"/>
      <c r="C677" s="132"/>
      <c r="D677" s="116"/>
      <c r="E677" s="115"/>
      <c r="F677" s="10"/>
      <c r="G677" s="20"/>
      <c r="H677" s="29"/>
      <c r="I677" s="29"/>
      <c r="J677" s="29"/>
      <c r="K677" s="29"/>
      <c r="L677" s="29"/>
      <c r="M677" s="29"/>
      <c r="N677" s="29"/>
      <c r="O677" s="97"/>
    </row>
    <row r="678" spans="1:15">
      <c r="A678" s="125"/>
      <c r="B678" s="127"/>
      <c r="C678" s="124" t="s">
        <v>155</v>
      </c>
      <c r="D678" s="114" t="str">
        <f>A419</f>
        <v>2.6.5</v>
      </c>
      <c r="E678" s="114" t="s">
        <v>489</v>
      </c>
      <c r="F678" s="12" t="s">
        <v>155</v>
      </c>
      <c r="G678" s="19"/>
      <c r="H678" s="28"/>
      <c r="I678" s="28"/>
      <c r="J678" s="28"/>
      <c r="K678" s="28"/>
      <c r="L678" s="28"/>
      <c r="M678" s="28"/>
      <c r="N678" s="28"/>
      <c r="O678" s="99"/>
    </row>
    <row r="679" spans="1:15" ht="30">
      <c r="A679" s="125"/>
      <c r="B679" s="127"/>
      <c r="C679" s="125"/>
      <c r="D679" s="115"/>
      <c r="E679" s="115"/>
      <c r="F679" s="11" t="s">
        <v>651</v>
      </c>
      <c r="G679" s="20" t="s">
        <v>652</v>
      </c>
      <c r="H679" s="29" t="str">
        <f>VLOOKUP(G679,'insumos terrapl'!$C$3:$K$47,2,0)</f>
        <v>2Q  66  10  02  00  00  00</v>
      </c>
      <c r="I679" s="29" t="str">
        <f>VLOOKUP(G679,'insumos terrapl'!$C$3:$K$47,3,0)</f>
        <v>2Q</v>
      </c>
      <c r="J679" s="29">
        <f>VLOOKUP(G679,'insumos terrapl'!$C$3:$K$47,4,0)</f>
        <v>66</v>
      </c>
      <c r="K679" s="29" t="str">
        <f>VLOOKUP(G679,'insumos terrapl'!$C$3:$K$47,5,0)</f>
        <v>10</v>
      </c>
      <c r="L679" s="29" t="str">
        <f>VLOOKUP(G679,'insumos terrapl'!$C$3:$K$47,6,0)</f>
        <v>02</v>
      </c>
      <c r="M679" s="29" t="str">
        <f>VLOOKUP(G679,'insumos terrapl'!$C$3:$K$47,7,0)</f>
        <v>00</v>
      </c>
      <c r="N679" s="29" t="str">
        <f>VLOOKUP(G679,'insumos terrapl'!$C$3:$K$47,8,0)</f>
        <v>00</v>
      </c>
      <c r="O679" s="97" t="str">
        <f>VLOOKUP(G679,'insumos terrapl'!$C$3:$K$47,9,0)</f>
        <v>00</v>
      </c>
    </row>
    <row r="680" spans="1:15" ht="30">
      <c r="A680" s="125"/>
      <c r="B680" s="127"/>
      <c r="C680" s="125"/>
      <c r="D680" s="115"/>
      <c r="E680" s="115"/>
      <c r="F680" s="11" t="s">
        <v>653</v>
      </c>
      <c r="G680" s="20" t="s">
        <v>654</v>
      </c>
      <c r="H680" s="29" t="str">
        <f>VLOOKUP(G680,'insumos terrapl'!$C$3:$K$47,2,0)</f>
        <v>2Q  62  10  06  00  00  00</v>
      </c>
      <c r="I680" s="29" t="str">
        <f>VLOOKUP(G680,'insumos terrapl'!$C$3:$K$47,3,0)</f>
        <v>2Q</v>
      </c>
      <c r="J680" s="29">
        <f>VLOOKUP(G680,'insumos terrapl'!$C$3:$K$47,4,0)</f>
        <v>62</v>
      </c>
      <c r="K680" s="29" t="str">
        <f>VLOOKUP(G680,'insumos terrapl'!$C$3:$K$47,5,0)</f>
        <v>10</v>
      </c>
      <c r="L680" s="29" t="str">
        <f>VLOOKUP(G680,'insumos terrapl'!$C$3:$K$47,6,0)</f>
        <v>06</v>
      </c>
      <c r="M680" s="29" t="str">
        <f>VLOOKUP(G680,'insumos terrapl'!$C$3:$K$47,7,0)</f>
        <v>00</v>
      </c>
      <c r="N680" s="29" t="str">
        <f>VLOOKUP(G680,'insumos terrapl'!$C$3:$K$47,8,0)</f>
        <v>00</v>
      </c>
      <c r="O680" s="97" t="str">
        <f>VLOOKUP(G680,'insumos terrapl'!$C$3:$K$47,9,0)</f>
        <v>00</v>
      </c>
    </row>
    <row r="681" spans="1:15">
      <c r="A681" s="125"/>
      <c r="B681" s="127"/>
      <c r="C681" s="125"/>
      <c r="D681" s="115"/>
      <c r="E681" s="115"/>
      <c r="F681" s="11" t="s">
        <v>605</v>
      </c>
      <c r="G681" s="20" t="s">
        <v>606</v>
      </c>
      <c r="H681" s="29" t="str">
        <f>VLOOKUP(G681,'insumos terrapl'!$C$3:$K$47,2,0)</f>
        <v>2Q  62  30  02  14  00  00</v>
      </c>
      <c r="I681" s="29" t="str">
        <f>VLOOKUP(G681,'insumos terrapl'!$C$3:$K$47,3,0)</f>
        <v>2Q</v>
      </c>
      <c r="J681" s="29">
        <f>VLOOKUP(G681,'insumos terrapl'!$C$3:$K$47,4,0)</f>
        <v>62</v>
      </c>
      <c r="K681" s="29">
        <f>VLOOKUP(G681,'insumos terrapl'!$C$3:$K$47,5,0)</f>
        <v>30</v>
      </c>
      <c r="L681" s="29" t="str">
        <f>VLOOKUP(G681,'insumos terrapl'!$C$3:$K$47,6,0)</f>
        <v>02</v>
      </c>
      <c r="M681" s="29" t="str">
        <f>VLOOKUP(G681,'insumos terrapl'!$C$3:$K$47,7,0)</f>
        <v>14</v>
      </c>
      <c r="N681" s="29" t="str">
        <f>VLOOKUP(G681,'insumos terrapl'!$C$3:$K$47,8,0)</f>
        <v>00</v>
      </c>
      <c r="O681" s="97" t="str">
        <f>VLOOKUP(G681,'insumos terrapl'!$C$3:$K$47,9,0)</f>
        <v>00</v>
      </c>
    </row>
    <row r="682" spans="1:15" ht="30">
      <c r="A682" s="125"/>
      <c r="B682" s="127"/>
      <c r="C682" s="125"/>
      <c r="D682" s="115"/>
      <c r="E682" s="115"/>
      <c r="F682" s="11" t="s">
        <v>657</v>
      </c>
      <c r="G682" s="20" t="s">
        <v>658</v>
      </c>
      <c r="H682" s="29" t="str">
        <f>VLOOKUP(G682,'insumos terrapl'!$C$3:$K$47,2,0)</f>
        <v>2Q  62  30  02  10  00  00</v>
      </c>
      <c r="I682" s="29" t="str">
        <f>VLOOKUP(G682,'insumos terrapl'!$C$3:$K$47,3,0)</f>
        <v>2Q</v>
      </c>
      <c r="J682" s="29">
        <f>VLOOKUP(G682,'insumos terrapl'!$C$3:$K$47,4,0)</f>
        <v>62</v>
      </c>
      <c r="K682" s="29" t="str">
        <f>VLOOKUP(G682,'insumos terrapl'!$C$3:$K$47,5,0)</f>
        <v>30</v>
      </c>
      <c r="L682" s="29" t="str">
        <f>VLOOKUP(G682,'insumos terrapl'!$C$3:$K$47,6,0)</f>
        <v>02</v>
      </c>
      <c r="M682" s="29" t="str">
        <f>VLOOKUP(G682,'insumos terrapl'!$C$3:$K$47,7,0)</f>
        <v>10</v>
      </c>
      <c r="N682" s="29" t="str">
        <f>VLOOKUP(G682,'insumos terrapl'!$C$3:$K$47,8,0)</f>
        <v>00</v>
      </c>
      <c r="O682" s="97" t="str">
        <f>VLOOKUP(G682,'insumos terrapl'!$C$3:$K$47,9,0)</f>
        <v>00</v>
      </c>
    </row>
    <row r="683" spans="1:15">
      <c r="A683" s="125"/>
      <c r="B683" s="127"/>
      <c r="C683" s="125"/>
      <c r="D683" s="115"/>
      <c r="E683" s="115"/>
      <c r="F683" s="11" t="s">
        <v>588</v>
      </c>
      <c r="G683" s="20" t="s">
        <v>589</v>
      </c>
      <c r="H683" s="29" t="str">
        <f>VLOOKUP(G683,'insumos terrapl'!$C$3:$K$47,2,0)</f>
        <v>2N  20  14  08  00  00  00</v>
      </c>
      <c r="I683" s="29" t="str">
        <f>VLOOKUP(G683,'insumos terrapl'!$C$3:$K$47,3,0)</f>
        <v>2N</v>
      </c>
      <c r="J683" s="29">
        <f>VLOOKUP(G683,'insumos terrapl'!$C$3:$K$47,4,0)</f>
        <v>20</v>
      </c>
      <c r="K683" s="29">
        <f>VLOOKUP(G683,'insumos terrapl'!$C$3:$K$47,5,0)</f>
        <v>14</v>
      </c>
      <c r="L683" s="29" t="str">
        <f>VLOOKUP(G683,'insumos terrapl'!$C$3:$K$47,6,0)</f>
        <v>08</v>
      </c>
      <c r="M683" s="29" t="str">
        <f>VLOOKUP(G683,'insumos terrapl'!$C$3:$K$47,7,0)</f>
        <v>00</v>
      </c>
      <c r="N683" s="29" t="str">
        <f>VLOOKUP(G683,'insumos terrapl'!$C$3:$K$47,8,0)</f>
        <v>00</v>
      </c>
      <c r="O683" s="97" t="str">
        <f>VLOOKUP(G683,'insumos terrapl'!$C$3:$K$47,9,0)</f>
        <v>00</v>
      </c>
    </row>
    <row r="684" spans="1:15">
      <c r="A684" s="125"/>
      <c r="B684" s="127"/>
      <c r="C684" s="125"/>
      <c r="D684" s="115"/>
      <c r="E684" s="115"/>
      <c r="F684" s="11"/>
      <c r="G684" s="20"/>
      <c r="H684" s="29"/>
      <c r="I684" s="29"/>
      <c r="J684" s="29"/>
      <c r="K684" s="29"/>
      <c r="L684" s="29"/>
      <c r="M684" s="29"/>
      <c r="N684" s="29"/>
      <c r="O684" s="97"/>
    </row>
    <row r="685" spans="1:15">
      <c r="A685" s="125"/>
      <c r="B685" s="127"/>
      <c r="C685" s="132"/>
      <c r="D685" s="116"/>
      <c r="E685" s="116"/>
      <c r="F685" s="13" t="s">
        <v>156</v>
      </c>
      <c r="G685" s="21"/>
      <c r="H685" s="31"/>
      <c r="I685" s="31"/>
      <c r="J685" s="31"/>
      <c r="K685" s="31"/>
      <c r="L685" s="31"/>
      <c r="M685" s="31"/>
      <c r="N685" s="31"/>
      <c r="O685" s="98"/>
    </row>
    <row r="686" spans="1:15" ht="30">
      <c r="A686" s="125"/>
      <c r="B686" s="127"/>
      <c r="C686" s="124" t="s">
        <v>156</v>
      </c>
      <c r="D686" s="114" t="str">
        <f>A419</f>
        <v>2.6.5</v>
      </c>
      <c r="E686" s="115" t="s">
        <v>491</v>
      </c>
      <c r="F686" s="11" t="s">
        <v>651</v>
      </c>
      <c r="G686" s="20" t="s">
        <v>652</v>
      </c>
      <c r="H686" s="29" t="str">
        <f>VLOOKUP(G686,'insumos terrapl'!$C$3:$K$47,2,0)</f>
        <v>2Q  66  10  02  00  00  00</v>
      </c>
      <c r="I686" s="29" t="str">
        <f>VLOOKUP(G686,'insumos terrapl'!$C$3:$K$47,3,0)</f>
        <v>2Q</v>
      </c>
      <c r="J686" s="29">
        <f>VLOOKUP(G686,'insumos terrapl'!$C$3:$K$47,4,0)</f>
        <v>66</v>
      </c>
      <c r="K686" s="29" t="str">
        <f>VLOOKUP(G686,'insumos terrapl'!$C$3:$K$47,5,0)</f>
        <v>10</v>
      </c>
      <c r="L686" s="29" t="str">
        <f>VLOOKUP(G686,'insumos terrapl'!$C$3:$K$47,6,0)</f>
        <v>02</v>
      </c>
      <c r="M686" s="29" t="str">
        <f>VLOOKUP(G686,'insumos terrapl'!$C$3:$K$47,7,0)</f>
        <v>00</v>
      </c>
      <c r="N686" s="29" t="str">
        <f>VLOOKUP(G686,'insumos terrapl'!$C$3:$K$47,8,0)</f>
        <v>00</v>
      </c>
      <c r="O686" s="97" t="str">
        <f>VLOOKUP(G686,'insumos terrapl'!$C$3:$K$47,9,0)</f>
        <v>00</v>
      </c>
    </row>
    <row r="687" spans="1:15" ht="30">
      <c r="A687" s="125"/>
      <c r="B687" s="127"/>
      <c r="C687" s="125"/>
      <c r="D687" s="115"/>
      <c r="E687" s="115"/>
      <c r="F687" s="11" t="s">
        <v>653</v>
      </c>
      <c r="G687" s="20" t="s">
        <v>654</v>
      </c>
      <c r="H687" s="29" t="str">
        <f>VLOOKUP(G687,'insumos terrapl'!$C$3:$K$47,2,0)</f>
        <v>2Q  62  10  06  00  00  00</v>
      </c>
      <c r="I687" s="29" t="str">
        <f>VLOOKUP(G687,'insumos terrapl'!$C$3:$K$47,3,0)</f>
        <v>2Q</v>
      </c>
      <c r="J687" s="29">
        <f>VLOOKUP(G687,'insumos terrapl'!$C$3:$K$47,4,0)</f>
        <v>62</v>
      </c>
      <c r="K687" s="29" t="str">
        <f>VLOOKUP(G687,'insumos terrapl'!$C$3:$K$47,5,0)</f>
        <v>10</v>
      </c>
      <c r="L687" s="29" t="str">
        <f>VLOOKUP(G687,'insumos terrapl'!$C$3:$K$47,6,0)</f>
        <v>06</v>
      </c>
      <c r="M687" s="29" t="str">
        <f>VLOOKUP(G687,'insumos terrapl'!$C$3:$K$47,7,0)</f>
        <v>00</v>
      </c>
      <c r="N687" s="29" t="str">
        <f>VLOOKUP(G687,'insumos terrapl'!$C$3:$K$47,8,0)</f>
        <v>00</v>
      </c>
      <c r="O687" s="97" t="str">
        <f>VLOOKUP(G687,'insumos terrapl'!$C$3:$K$47,9,0)</f>
        <v>00</v>
      </c>
    </row>
    <row r="688" spans="1:15">
      <c r="A688" s="125"/>
      <c r="B688" s="127"/>
      <c r="C688" s="125"/>
      <c r="D688" s="115"/>
      <c r="E688" s="115"/>
      <c r="F688" s="11" t="s">
        <v>605</v>
      </c>
      <c r="G688" s="20" t="s">
        <v>606</v>
      </c>
      <c r="H688" s="29" t="str">
        <f>VLOOKUP(G688,'insumos terrapl'!$C$3:$K$47,2,0)</f>
        <v>2Q  62  30  02  14  00  00</v>
      </c>
      <c r="I688" s="29" t="str">
        <f>VLOOKUP(G688,'insumos terrapl'!$C$3:$K$47,3,0)</f>
        <v>2Q</v>
      </c>
      <c r="J688" s="29">
        <f>VLOOKUP(G688,'insumos terrapl'!$C$3:$K$47,4,0)</f>
        <v>62</v>
      </c>
      <c r="K688" s="29">
        <f>VLOOKUP(G688,'insumos terrapl'!$C$3:$K$47,5,0)</f>
        <v>30</v>
      </c>
      <c r="L688" s="29" t="str">
        <f>VLOOKUP(G688,'insumos terrapl'!$C$3:$K$47,6,0)</f>
        <v>02</v>
      </c>
      <c r="M688" s="29" t="str">
        <f>VLOOKUP(G688,'insumos terrapl'!$C$3:$K$47,7,0)</f>
        <v>14</v>
      </c>
      <c r="N688" s="29" t="str">
        <f>VLOOKUP(G688,'insumos terrapl'!$C$3:$K$47,8,0)</f>
        <v>00</v>
      </c>
      <c r="O688" s="97" t="str">
        <f>VLOOKUP(G688,'insumos terrapl'!$C$3:$K$47,9,0)</f>
        <v>00</v>
      </c>
    </row>
    <row r="689" spans="1:15" ht="30">
      <c r="A689" s="125"/>
      <c r="B689" s="127"/>
      <c r="C689" s="125"/>
      <c r="D689" s="115"/>
      <c r="E689" s="115"/>
      <c r="F689" s="11" t="s">
        <v>657</v>
      </c>
      <c r="G689" s="20" t="s">
        <v>658</v>
      </c>
      <c r="H689" s="29" t="str">
        <f>VLOOKUP(G689,'insumos terrapl'!$C$3:$K$47,2,0)</f>
        <v>2Q  62  30  02  10  00  00</v>
      </c>
      <c r="I689" s="29" t="str">
        <f>VLOOKUP(G689,'insumos terrapl'!$C$3:$K$47,3,0)</f>
        <v>2Q</v>
      </c>
      <c r="J689" s="29">
        <f>VLOOKUP(G689,'insumos terrapl'!$C$3:$K$47,4,0)</f>
        <v>62</v>
      </c>
      <c r="K689" s="29" t="str">
        <f>VLOOKUP(G689,'insumos terrapl'!$C$3:$K$47,5,0)</f>
        <v>30</v>
      </c>
      <c r="L689" s="29" t="str">
        <f>VLOOKUP(G689,'insumos terrapl'!$C$3:$K$47,6,0)</f>
        <v>02</v>
      </c>
      <c r="M689" s="29" t="str">
        <f>VLOOKUP(G689,'insumos terrapl'!$C$3:$K$47,7,0)</f>
        <v>10</v>
      </c>
      <c r="N689" s="29" t="str">
        <f>VLOOKUP(G689,'insumos terrapl'!$C$3:$K$47,8,0)</f>
        <v>00</v>
      </c>
      <c r="O689" s="97" t="str">
        <f>VLOOKUP(G689,'insumos terrapl'!$C$3:$K$47,9,0)</f>
        <v>00</v>
      </c>
    </row>
    <row r="690" spans="1:15">
      <c r="A690" s="125"/>
      <c r="B690" s="127"/>
      <c r="C690" s="125"/>
      <c r="D690" s="115"/>
      <c r="E690" s="115"/>
      <c r="F690" s="11" t="s">
        <v>588</v>
      </c>
      <c r="G690" s="20" t="s">
        <v>589</v>
      </c>
      <c r="H690" s="29" t="str">
        <f>VLOOKUP(G690,'insumos terrapl'!$C$3:$K$47,2,0)</f>
        <v>2N  20  14  08  00  00  00</v>
      </c>
      <c r="I690" s="29" t="str">
        <f>VLOOKUP(G690,'insumos terrapl'!$C$3:$K$47,3,0)</f>
        <v>2N</v>
      </c>
      <c r="J690" s="29">
        <f>VLOOKUP(G690,'insumos terrapl'!$C$3:$K$47,4,0)</f>
        <v>20</v>
      </c>
      <c r="K690" s="29">
        <f>VLOOKUP(G690,'insumos terrapl'!$C$3:$K$47,5,0)</f>
        <v>14</v>
      </c>
      <c r="L690" s="29" t="str">
        <f>VLOOKUP(G690,'insumos terrapl'!$C$3:$K$47,6,0)</f>
        <v>08</v>
      </c>
      <c r="M690" s="29" t="str">
        <f>VLOOKUP(G690,'insumos terrapl'!$C$3:$K$47,7,0)</f>
        <v>00</v>
      </c>
      <c r="N690" s="29" t="str">
        <f>VLOOKUP(G690,'insumos terrapl'!$C$3:$K$47,8,0)</f>
        <v>00</v>
      </c>
      <c r="O690" s="97" t="str">
        <f>VLOOKUP(G690,'insumos terrapl'!$C$3:$K$47,9,0)</f>
        <v>00</v>
      </c>
    </row>
    <row r="691" spans="1:15">
      <c r="A691" s="132"/>
      <c r="B691" s="131"/>
      <c r="C691" s="132"/>
      <c r="D691" s="116"/>
      <c r="E691" s="115"/>
      <c r="F691" s="10"/>
      <c r="G691" s="20"/>
      <c r="H691" s="29"/>
      <c r="I691" s="29"/>
      <c r="J691" s="29"/>
      <c r="K691" s="29"/>
      <c r="L691" s="29"/>
      <c r="M691" s="29"/>
      <c r="N691" s="29"/>
      <c r="O691" s="97"/>
    </row>
    <row r="692" spans="1:15">
      <c r="A692" s="124" t="s">
        <v>50</v>
      </c>
      <c r="B692" s="126" t="s">
        <v>20</v>
      </c>
      <c r="C692" s="124" t="s">
        <v>157</v>
      </c>
      <c r="D692" s="114" t="str">
        <f>A692</f>
        <v>2.6.6</v>
      </c>
      <c r="E692" s="114" t="s">
        <v>337</v>
      </c>
      <c r="F692" s="12" t="s">
        <v>157</v>
      </c>
      <c r="G692" s="19"/>
      <c r="H692" s="28"/>
      <c r="I692" s="28"/>
      <c r="J692" s="28"/>
      <c r="K692" s="28"/>
      <c r="L692" s="28"/>
      <c r="M692" s="28"/>
      <c r="N692" s="28"/>
      <c r="O692" s="99"/>
    </row>
    <row r="693" spans="1:15" ht="30">
      <c r="A693" s="125"/>
      <c r="B693" s="127"/>
      <c r="C693" s="125"/>
      <c r="D693" s="115"/>
      <c r="E693" s="115"/>
      <c r="F693" s="11" t="s">
        <v>651</v>
      </c>
      <c r="G693" s="20" t="s">
        <v>652</v>
      </c>
      <c r="H693" s="29" t="str">
        <f>VLOOKUP(G693,'insumos terrapl'!$C$3:$K$47,2,0)</f>
        <v>2Q  66  10  02  00  00  00</v>
      </c>
      <c r="I693" s="29" t="str">
        <f>VLOOKUP(G693,'insumos terrapl'!$C$3:$K$47,3,0)</f>
        <v>2Q</v>
      </c>
      <c r="J693" s="29">
        <f>VLOOKUP(G693,'insumos terrapl'!$C$3:$K$47,4,0)</f>
        <v>66</v>
      </c>
      <c r="K693" s="29" t="str">
        <f>VLOOKUP(G693,'insumos terrapl'!$C$3:$K$47,5,0)</f>
        <v>10</v>
      </c>
      <c r="L693" s="29" t="str">
        <f>VLOOKUP(G693,'insumos terrapl'!$C$3:$K$47,6,0)</f>
        <v>02</v>
      </c>
      <c r="M693" s="29" t="str">
        <f>VLOOKUP(G693,'insumos terrapl'!$C$3:$K$47,7,0)</f>
        <v>00</v>
      </c>
      <c r="N693" s="29" t="str">
        <f>VLOOKUP(G693,'insumos terrapl'!$C$3:$K$47,8,0)</f>
        <v>00</v>
      </c>
      <c r="O693" s="97" t="str">
        <f>VLOOKUP(G693,'insumos terrapl'!$C$3:$K$47,9,0)</f>
        <v>00</v>
      </c>
    </row>
    <row r="694" spans="1:15" ht="30">
      <c r="A694" s="125"/>
      <c r="B694" s="127"/>
      <c r="C694" s="125"/>
      <c r="D694" s="115"/>
      <c r="E694" s="115"/>
      <c r="F694" s="11" t="s">
        <v>655</v>
      </c>
      <c r="G694" s="20" t="s">
        <v>656</v>
      </c>
      <c r="H694" s="29" t="str">
        <f>VLOOKUP(G694,'insumos terrapl'!$C$3:$K$47,2,0)</f>
        <v>2Q  62  02  10  00  00  00</v>
      </c>
      <c r="I694" s="29" t="str">
        <f>VLOOKUP(G694,'insumos terrapl'!$C$3:$K$47,3,0)</f>
        <v>2Q</v>
      </c>
      <c r="J694" s="29">
        <f>VLOOKUP(G694,'insumos terrapl'!$C$3:$K$47,4,0)</f>
        <v>62</v>
      </c>
      <c r="K694" s="29" t="str">
        <f>VLOOKUP(G694,'insumos terrapl'!$C$3:$K$47,5,0)</f>
        <v>02</v>
      </c>
      <c r="L694" s="29" t="str">
        <f>VLOOKUP(G694,'insumos terrapl'!$C$3:$K$47,6,0)</f>
        <v>10</v>
      </c>
      <c r="M694" s="29" t="str">
        <f>VLOOKUP(G694,'insumos terrapl'!$C$3:$K$47,7,0)</f>
        <v>00</v>
      </c>
      <c r="N694" s="29" t="str">
        <f>VLOOKUP(G694,'insumos terrapl'!$C$3:$K$47,8,0)</f>
        <v>00</v>
      </c>
      <c r="O694" s="97" t="str">
        <f>VLOOKUP(G694,'insumos terrapl'!$C$3:$K$47,9,0)</f>
        <v>00</v>
      </c>
    </row>
    <row r="695" spans="1:15">
      <c r="A695" s="125"/>
      <c r="B695" s="127"/>
      <c r="C695" s="125"/>
      <c r="D695" s="115"/>
      <c r="E695" s="115"/>
      <c r="F695" s="11" t="s">
        <v>588</v>
      </c>
      <c r="G695" s="20" t="s">
        <v>589</v>
      </c>
      <c r="H695" s="29" t="str">
        <f>VLOOKUP(G695,'insumos terrapl'!$C$3:$K$47,2,0)</f>
        <v>2N  20  14  08  00  00  00</v>
      </c>
      <c r="I695" s="29" t="str">
        <f>VLOOKUP(G695,'insumos terrapl'!$C$3:$K$47,3,0)</f>
        <v>2N</v>
      </c>
      <c r="J695" s="29">
        <f>VLOOKUP(G695,'insumos terrapl'!$C$3:$K$47,4,0)</f>
        <v>20</v>
      </c>
      <c r="K695" s="29">
        <f>VLOOKUP(G695,'insumos terrapl'!$C$3:$K$47,5,0)</f>
        <v>14</v>
      </c>
      <c r="L695" s="29" t="str">
        <f>VLOOKUP(G695,'insumos terrapl'!$C$3:$K$47,6,0)</f>
        <v>08</v>
      </c>
      <c r="M695" s="29" t="str">
        <f>VLOOKUP(G695,'insumos terrapl'!$C$3:$K$47,7,0)</f>
        <v>00</v>
      </c>
      <c r="N695" s="29" t="str">
        <f>VLOOKUP(G695,'insumos terrapl'!$C$3:$K$47,8,0)</f>
        <v>00</v>
      </c>
      <c r="O695" s="97" t="str">
        <f>VLOOKUP(G695,'insumos terrapl'!$C$3:$K$47,9,0)</f>
        <v>00</v>
      </c>
    </row>
    <row r="696" spans="1:15">
      <c r="A696" s="125"/>
      <c r="B696" s="127"/>
      <c r="C696" s="132"/>
      <c r="D696" s="116"/>
      <c r="E696" s="116"/>
      <c r="F696" s="13"/>
      <c r="G696" s="21"/>
      <c r="H696" s="31"/>
      <c r="I696" s="31"/>
      <c r="J696" s="31"/>
      <c r="K696" s="31"/>
      <c r="L696" s="31"/>
      <c r="M696" s="31"/>
      <c r="N696" s="31"/>
      <c r="O696" s="98"/>
    </row>
    <row r="697" spans="1:15">
      <c r="A697" s="125"/>
      <c r="B697" s="127"/>
      <c r="C697" s="124" t="s">
        <v>158</v>
      </c>
      <c r="D697" s="114" t="str">
        <f>$A$692</f>
        <v>2.6.6</v>
      </c>
      <c r="E697" s="115" t="s">
        <v>339</v>
      </c>
      <c r="F697" s="11" t="s">
        <v>158</v>
      </c>
      <c r="G697" s="20"/>
      <c r="H697" s="29"/>
      <c r="I697" s="29"/>
      <c r="J697" s="29"/>
      <c r="K697" s="29"/>
      <c r="L697" s="29"/>
      <c r="M697" s="29"/>
      <c r="N697" s="29"/>
      <c r="O697" s="97"/>
    </row>
    <row r="698" spans="1:15" ht="30">
      <c r="A698" s="125"/>
      <c r="B698" s="127"/>
      <c r="C698" s="125"/>
      <c r="D698" s="115"/>
      <c r="E698" s="115"/>
      <c r="F698" s="11" t="s">
        <v>651</v>
      </c>
      <c r="G698" s="20" t="s">
        <v>652</v>
      </c>
      <c r="H698" s="29" t="str">
        <f>VLOOKUP(G698,'insumos terrapl'!$C$3:$K$47,2,0)</f>
        <v>2Q  66  10  02  00  00  00</v>
      </c>
      <c r="I698" s="29" t="str">
        <f>VLOOKUP(G698,'insumos terrapl'!$C$3:$K$47,3,0)</f>
        <v>2Q</v>
      </c>
      <c r="J698" s="29">
        <f>VLOOKUP(G698,'insumos terrapl'!$C$3:$K$47,4,0)</f>
        <v>66</v>
      </c>
      <c r="K698" s="29" t="str">
        <f>VLOOKUP(G698,'insumos terrapl'!$C$3:$K$47,5,0)</f>
        <v>10</v>
      </c>
      <c r="L698" s="29" t="str">
        <f>VLOOKUP(G698,'insumos terrapl'!$C$3:$K$47,6,0)</f>
        <v>02</v>
      </c>
      <c r="M698" s="29" t="str">
        <f>VLOOKUP(G698,'insumos terrapl'!$C$3:$K$47,7,0)</f>
        <v>00</v>
      </c>
      <c r="N698" s="29" t="str">
        <f>VLOOKUP(G698,'insumos terrapl'!$C$3:$K$47,8,0)</f>
        <v>00</v>
      </c>
      <c r="O698" s="97" t="str">
        <f>VLOOKUP(G698,'insumos terrapl'!$C$3:$K$47,9,0)</f>
        <v>00</v>
      </c>
    </row>
    <row r="699" spans="1:15" ht="30">
      <c r="A699" s="125"/>
      <c r="B699" s="127"/>
      <c r="C699" s="125"/>
      <c r="D699" s="115"/>
      <c r="E699" s="115"/>
      <c r="F699" s="11" t="s">
        <v>655</v>
      </c>
      <c r="G699" s="20" t="s">
        <v>656</v>
      </c>
      <c r="H699" s="29" t="str">
        <f>VLOOKUP(G699,'insumos terrapl'!$C$3:$K$47,2,0)</f>
        <v>2Q  62  02  10  00  00  00</v>
      </c>
      <c r="I699" s="29" t="str">
        <f>VLOOKUP(G699,'insumos terrapl'!$C$3:$K$47,3,0)</f>
        <v>2Q</v>
      </c>
      <c r="J699" s="29">
        <f>VLOOKUP(G699,'insumos terrapl'!$C$3:$K$47,4,0)</f>
        <v>62</v>
      </c>
      <c r="K699" s="29" t="str">
        <f>VLOOKUP(G699,'insumos terrapl'!$C$3:$K$47,5,0)</f>
        <v>02</v>
      </c>
      <c r="L699" s="29" t="str">
        <f>VLOOKUP(G699,'insumos terrapl'!$C$3:$K$47,6,0)</f>
        <v>10</v>
      </c>
      <c r="M699" s="29" t="str">
        <f>VLOOKUP(G699,'insumos terrapl'!$C$3:$K$47,7,0)</f>
        <v>00</v>
      </c>
      <c r="N699" s="29" t="str">
        <f>VLOOKUP(G699,'insumos terrapl'!$C$3:$K$47,8,0)</f>
        <v>00</v>
      </c>
      <c r="O699" s="97" t="str">
        <f>VLOOKUP(G699,'insumos terrapl'!$C$3:$K$47,9,0)</f>
        <v>00</v>
      </c>
    </row>
    <row r="700" spans="1:15">
      <c r="A700" s="125"/>
      <c r="B700" s="127"/>
      <c r="C700" s="125"/>
      <c r="D700" s="115"/>
      <c r="E700" s="115"/>
      <c r="F700" s="11" t="s">
        <v>588</v>
      </c>
      <c r="G700" s="20" t="s">
        <v>589</v>
      </c>
      <c r="H700" s="29" t="str">
        <f>VLOOKUP(G700,'insumos terrapl'!$C$3:$K$47,2,0)</f>
        <v>2N  20  14  08  00  00  00</v>
      </c>
      <c r="I700" s="29" t="str">
        <f>VLOOKUP(G700,'insumos terrapl'!$C$3:$K$47,3,0)</f>
        <v>2N</v>
      </c>
      <c r="J700" s="29">
        <f>VLOOKUP(G700,'insumos terrapl'!$C$3:$K$47,4,0)</f>
        <v>20</v>
      </c>
      <c r="K700" s="29">
        <f>VLOOKUP(G700,'insumos terrapl'!$C$3:$K$47,5,0)</f>
        <v>14</v>
      </c>
      <c r="L700" s="29" t="str">
        <f>VLOOKUP(G700,'insumos terrapl'!$C$3:$K$47,6,0)</f>
        <v>08</v>
      </c>
      <c r="M700" s="29" t="str">
        <f>VLOOKUP(G700,'insumos terrapl'!$C$3:$K$47,7,0)</f>
        <v>00</v>
      </c>
      <c r="N700" s="29" t="str">
        <f>VLOOKUP(G700,'insumos terrapl'!$C$3:$K$47,8,0)</f>
        <v>00</v>
      </c>
      <c r="O700" s="97" t="str">
        <f>VLOOKUP(G700,'insumos terrapl'!$C$3:$K$47,9,0)</f>
        <v>00</v>
      </c>
    </row>
    <row r="701" spans="1:15">
      <c r="A701" s="125"/>
      <c r="B701" s="127"/>
      <c r="C701" s="132"/>
      <c r="D701" s="116"/>
      <c r="E701" s="115"/>
      <c r="F701" s="10"/>
      <c r="G701" s="20"/>
      <c r="H701" s="29"/>
      <c r="I701" s="29"/>
      <c r="J701" s="29"/>
      <c r="K701" s="29"/>
      <c r="L701" s="29"/>
      <c r="M701" s="29"/>
      <c r="N701" s="29"/>
      <c r="O701" s="97"/>
    </row>
    <row r="702" spans="1:15">
      <c r="A702" s="125"/>
      <c r="B702" s="127"/>
      <c r="C702" s="124" t="s">
        <v>159</v>
      </c>
      <c r="D702" s="114" t="str">
        <f>$A$692</f>
        <v>2.6.6</v>
      </c>
      <c r="E702" s="114" t="s">
        <v>341</v>
      </c>
      <c r="F702" s="12" t="s">
        <v>159</v>
      </c>
      <c r="G702" s="19"/>
      <c r="H702" s="28"/>
      <c r="I702" s="28"/>
      <c r="J702" s="28"/>
      <c r="K702" s="28"/>
      <c r="L702" s="28"/>
      <c r="M702" s="28"/>
      <c r="N702" s="28"/>
      <c r="O702" s="99"/>
    </row>
    <row r="703" spans="1:15" ht="30">
      <c r="A703" s="125"/>
      <c r="B703" s="127"/>
      <c r="C703" s="125"/>
      <c r="D703" s="115"/>
      <c r="E703" s="115"/>
      <c r="F703" s="11" t="s">
        <v>651</v>
      </c>
      <c r="G703" s="20" t="s">
        <v>652</v>
      </c>
      <c r="H703" s="29" t="str">
        <f>VLOOKUP(G703,'insumos terrapl'!$C$3:$K$47,2,0)</f>
        <v>2Q  66  10  02  00  00  00</v>
      </c>
      <c r="I703" s="29" t="str">
        <f>VLOOKUP(G703,'insumos terrapl'!$C$3:$K$47,3,0)</f>
        <v>2Q</v>
      </c>
      <c r="J703" s="29">
        <f>VLOOKUP(G703,'insumos terrapl'!$C$3:$K$47,4,0)</f>
        <v>66</v>
      </c>
      <c r="K703" s="29" t="str">
        <f>VLOOKUP(G703,'insumos terrapl'!$C$3:$K$47,5,0)</f>
        <v>10</v>
      </c>
      <c r="L703" s="29" t="str">
        <f>VLOOKUP(G703,'insumos terrapl'!$C$3:$K$47,6,0)</f>
        <v>02</v>
      </c>
      <c r="M703" s="29" t="str">
        <f>VLOOKUP(G703,'insumos terrapl'!$C$3:$K$47,7,0)</f>
        <v>00</v>
      </c>
      <c r="N703" s="29" t="str">
        <f>VLOOKUP(G703,'insumos terrapl'!$C$3:$K$47,8,0)</f>
        <v>00</v>
      </c>
      <c r="O703" s="97" t="str">
        <f>VLOOKUP(G703,'insumos terrapl'!$C$3:$K$47,9,0)</f>
        <v>00</v>
      </c>
    </row>
    <row r="704" spans="1:15" ht="30">
      <c r="A704" s="125"/>
      <c r="B704" s="127"/>
      <c r="C704" s="125"/>
      <c r="D704" s="115"/>
      <c r="E704" s="115"/>
      <c r="F704" s="11" t="s">
        <v>655</v>
      </c>
      <c r="G704" s="20" t="s">
        <v>656</v>
      </c>
      <c r="H704" s="29" t="str">
        <f>VLOOKUP(G704,'insumos terrapl'!$C$3:$K$47,2,0)</f>
        <v>2Q  62  02  10  00  00  00</v>
      </c>
      <c r="I704" s="29" t="str">
        <f>VLOOKUP(G704,'insumos terrapl'!$C$3:$K$47,3,0)</f>
        <v>2Q</v>
      </c>
      <c r="J704" s="29">
        <f>VLOOKUP(G704,'insumos terrapl'!$C$3:$K$47,4,0)</f>
        <v>62</v>
      </c>
      <c r="K704" s="29" t="str">
        <f>VLOOKUP(G704,'insumos terrapl'!$C$3:$K$47,5,0)</f>
        <v>02</v>
      </c>
      <c r="L704" s="29" t="str">
        <f>VLOOKUP(G704,'insumos terrapl'!$C$3:$K$47,6,0)</f>
        <v>10</v>
      </c>
      <c r="M704" s="29" t="str">
        <f>VLOOKUP(G704,'insumos terrapl'!$C$3:$K$47,7,0)</f>
        <v>00</v>
      </c>
      <c r="N704" s="29" t="str">
        <f>VLOOKUP(G704,'insumos terrapl'!$C$3:$K$47,8,0)</f>
        <v>00</v>
      </c>
      <c r="O704" s="97" t="str">
        <f>VLOOKUP(G704,'insumos terrapl'!$C$3:$K$47,9,0)</f>
        <v>00</v>
      </c>
    </row>
    <row r="705" spans="1:15">
      <c r="A705" s="125"/>
      <c r="B705" s="127"/>
      <c r="C705" s="125"/>
      <c r="D705" s="115"/>
      <c r="E705" s="115"/>
      <c r="F705" s="11" t="s">
        <v>588</v>
      </c>
      <c r="G705" s="20" t="s">
        <v>589</v>
      </c>
      <c r="H705" s="29" t="str">
        <f>VLOOKUP(G705,'insumos terrapl'!$C$3:$K$47,2,0)</f>
        <v>2N  20  14  08  00  00  00</v>
      </c>
      <c r="I705" s="29" t="str">
        <f>VLOOKUP(G705,'insumos terrapl'!$C$3:$K$47,3,0)</f>
        <v>2N</v>
      </c>
      <c r="J705" s="29">
        <f>VLOOKUP(G705,'insumos terrapl'!$C$3:$K$47,4,0)</f>
        <v>20</v>
      </c>
      <c r="K705" s="29">
        <f>VLOOKUP(G705,'insumos terrapl'!$C$3:$K$47,5,0)</f>
        <v>14</v>
      </c>
      <c r="L705" s="29" t="str">
        <f>VLOOKUP(G705,'insumos terrapl'!$C$3:$K$47,6,0)</f>
        <v>08</v>
      </c>
      <c r="M705" s="29" t="str">
        <f>VLOOKUP(G705,'insumos terrapl'!$C$3:$K$47,7,0)</f>
        <v>00</v>
      </c>
      <c r="N705" s="29" t="str">
        <f>VLOOKUP(G705,'insumos terrapl'!$C$3:$K$47,8,0)</f>
        <v>00</v>
      </c>
      <c r="O705" s="97" t="str">
        <f>VLOOKUP(G705,'insumos terrapl'!$C$3:$K$47,9,0)</f>
        <v>00</v>
      </c>
    </row>
    <row r="706" spans="1:15">
      <c r="A706" s="125"/>
      <c r="B706" s="127"/>
      <c r="C706" s="132"/>
      <c r="D706" s="116"/>
      <c r="E706" s="116"/>
      <c r="F706" s="13"/>
      <c r="G706" s="21"/>
      <c r="H706" s="31"/>
      <c r="I706" s="31"/>
      <c r="J706" s="31"/>
      <c r="K706" s="31"/>
      <c r="L706" s="31"/>
      <c r="M706" s="31"/>
      <c r="N706" s="31"/>
      <c r="O706" s="98"/>
    </row>
    <row r="707" spans="1:15">
      <c r="A707" s="125"/>
      <c r="B707" s="127"/>
      <c r="C707" s="124" t="s">
        <v>160</v>
      </c>
      <c r="D707" s="114" t="str">
        <f>$A$692</f>
        <v>2.6.6</v>
      </c>
      <c r="E707" s="115" t="s">
        <v>343</v>
      </c>
      <c r="F707" s="11" t="s">
        <v>160</v>
      </c>
      <c r="G707" s="20"/>
      <c r="H707" s="29"/>
      <c r="I707" s="29"/>
      <c r="J707" s="29"/>
      <c r="K707" s="29"/>
      <c r="L707" s="29"/>
      <c r="M707" s="29"/>
      <c r="N707" s="29"/>
      <c r="O707" s="97"/>
    </row>
    <row r="708" spans="1:15" ht="30">
      <c r="A708" s="125"/>
      <c r="B708" s="127"/>
      <c r="C708" s="125"/>
      <c r="D708" s="115"/>
      <c r="E708" s="115"/>
      <c r="F708" s="11" t="s">
        <v>651</v>
      </c>
      <c r="G708" s="20" t="s">
        <v>652</v>
      </c>
      <c r="H708" s="29" t="str">
        <f>VLOOKUP(G708,'insumos terrapl'!$C$3:$K$47,2,0)</f>
        <v>2Q  66  10  02  00  00  00</v>
      </c>
      <c r="I708" s="29" t="str">
        <f>VLOOKUP(G708,'insumos terrapl'!$C$3:$K$47,3,0)</f>
        <v>2Q</v>
      </c>
      <c r="J708" s="29">
        <f>VLOOKUP(G708,'insumos terrapl'!$C$3:$K$47,4,0)</f>
        <v>66</v>
      </c>
      <c r="K708" s="29" t="str">
        <f>VLOOKUP(G708,'insumos terrapl'!$C$3:$K$47,5,0)</f>
        <v>10</v>
      </c>
      <c r="L708" s="29" t="str">
        <f>VLOOKUP(G708,'insumos terrapl'!$C$3:$K$47,6,0)</f>
        <v>02</v>
      </c>
      <c r="M708" s="29" t="str">
        <f>VLOOKUP(G708,'insumos terrapl'!$C$3:$K$47,7,0)</f>
        <v>00</v>
      </c>
      <c r="N708" s="29" t="str">
        <f>VLOOKUP(G708,'insumos terrapl'!$C$3:$K$47,8,0)</f>
        <v>00</v>
      </c>
      <c r="O708" s="97" t="str">
        <f>VLOOKUP(G708,'insumos terrapl'!$C$3:$K$47,9,0)</f>
        <v>00</v>
      </c>
    </row>
    <row r="709" spans="1:15" ht="30">
      <c r="A709" s="125"/>
      <c r="B709" s="127"/>
      <c r="C709" s="125"/>
      <c r="D709" s="115"/>
      <c r="E709" s="115"/>
      <c r="F709" s="11" t="s">
        <v>655</v>
      </c>
      <c r="G709" s="20" t="s">
        <v>656</v>
      </c>
      <c r="H709" s="29" t="str">
        <f>VLOOKUP(G709,'insumos terrapl'!$C$3:$K$47,2,0)</f>
        <v>2Q  62  02  10  00  00  00</v>
      </c>
      <c r="I709" s="29" t="str">
        <f>VLOOKUP(G709,'insumos terrapl'!$C$3:$K$47,3,0)</f>
        <v>2Q</v>
      </c>
      <c r="J709" s="29">
        <f>VLOOKUP(G709,'insumos terrapl'!$C$3:$K$47,4,0)</f>
        <v>62</v>
      </c>
      <c r="K709" s="29" t="str">
        <f>VLOOKUP(G709,'insumos terrapl'!$C$3:$K$47,5,0)</f>
        <v>02</v>
      </c>
      <c r="L709" s="29" t="str">
        <f>VLOOKUP(G709,'insumos terrapl'!$C$3:$K$47,6,0)</f>
        <v>10</v>
      </c>
      <c r="M709" s="29" t="str">
        <f>VLOOKUP(G709,'insumos terrapl'!$C$3:$K$47,7,0)</f>
        <v>00</v>
      </c>
      <c r="N709" s="29" t="str">
        <f>VLOOKUP(G709,'insumos terrapl'!$C$3:$K$47,8,0)</f>
        <v>00</v>
      </c>
      <c r="O709" s="97" t="str">
        <f>VLOOKUP(G709,'insumos terrapl'!$C$3:$K$47,9,0)</f>
        <v>00</v>
      </c>
    </row>
    <row r="710" spans="1:15">
      <c r="A710" s="125"/>
      <c r="B710" s="127"/>
      <c r="C710" s="125"/>
      <c r="D710" s="115"/>
      <c r="E710" s="115"/>
      <c r="F710" s="11" t="s">
        <v>588</v>
      </c>
      <c r="G710" s="20" t="s">
        <v>589</v>
      </c>
      <c r="H710" s="29" t="str">
        <f>VLOOKUP(G710,'insumos terrapl'!$C$3:$K$47,2,0)</f>
        <v>2N  20  14  08  00  00  00</v>
      </c>
      <c r="I710" s="29" t="str">
        <f>VLOOKUP(G710,'insumos terrapl'!$C$3:$K$47,3,0)</f>
        <v>2N</v>
      </c>
      <c r="J710" s="29">
        <f>VLOOKUP(G710,'insumos terrapl'!$C$3:$K$47,4,0)</f>
        <v>20</v>
      </c>
      <c r="K710" s="29">
        <f>VLOOKUP(G710,'insumos terrapl'!$C$3:$K$47,5,0)</f>
        <v>14</v>
      </c>
      <c r="L710" s="29" t="str">
        <f>VLOOKUP(G710,'insumos terrapl'!$C$3:$K$47,6,0)</f>
        <v>08</v>
      </c>
      <c r="M710" s="29" t="str">
        <f>VLOOKUP(G710,'insumos terrapl'!$C$3:$K$47,7,0)</f>
        <v>00</v>
      </c>
      <c r="N710" s="29" t="str">
        <f>VLOOKUP(G710,'insumos terrapl'!$C$3:$K$47,8,0)</f>
        <v>00</v>
      </c>
      <c r="O710" s="97" t="str">
        <f>VLOOKUP(G710,'insumos terrapl'!$C$3:$K$47,9,0)</f>
        <v>00</v>
      </c>
    </row>
    <row r="711" spans="1:15">
      <c r="A711" s="125"/>
      <c r="B711" s="127"/>
      <c r="C711" s="132"/>
      <c r="D711" s="116"/>
      <c r="E711" s="115"/>
      <c r="F711" s="10"/>
      <c r="G711" s="20"/>
      <c r="H711" s="29"/>
      <c r="I711" s="29"/>
      <c r="J711" s="29"/>
      <c r="K711" s="29"/>
      <c r="L711" s="29"/>
      <c r="M711" s="29"/>
      <c r="N711" s="29"/>
      <c r="O711" s="97"/>
    </row>
    <row r="712" spans="1:15">
      <c r="A712" s="125"/>
      <c r="B712" s="127"/>
      <c r="C712" s="124" t="s">
        <v>161</v>
      </c>
      <c r="D712" s="114" t="str">
        <f>$A$692</f>
        <v>2.6.6</v>
      </c>
      <c r="E712" s="114" t="s">
        <v>345</v>
      </c>
      <c r="F712" s="12" t="s">
        <v>161</v>
      </c>
      <c r="G712" s="19"/>
      <c r="H712" s="28"/>
      <c r="I712" s="28"/>
      <c r="J712" s="28"/>
      <c r="K712" s="28"/>
      <c r="L712" s="28"/>
      <c r="M712" s="28"/>
      <c r="N712" s="28"/>
      <c r="O712" s="99"/>
    </row>
    <row r="713" spans="1:15" ht="30">
      <c r="A713" s="125"/>
      <c r="B713" s="127"/>
      <c r="C713" s="125"/>
      <c r="D713" s="115"/>
      <c r="E713" s="115"/>
      <c r="F713" s="11" t="s">
        <v>651</v>
      </c>
      <c r="G713" s="20" t="s">
        <v>652</v>
      </c>
      <c r="H713" s="29" t="str">
        <f>VLOOKUP(G713,'insumos terrapl'!$C$3:$K$47,2,0)</f>
        <v>2Q  66  10  02  00  00  00</v>
      </c>
      <c r="I713" s="29" t="str">
        <f>VLOOKUP(G713,'insumos terrapl'!$C$3:$K$47,3,0)</f>
        <v>2Q</v>
      </c>
      <c r="J713" s="29">
        <f>VLOOKUP(G713,'insumos terrapl'!$C$3:$K$47,4,0)</f>
        <v>66</v>
      </c>
      <c r="K713" s="29" t="str">
        <f>VLOOKUP(G713,'insumos terrapl'!$C$3:$K$47,5,0)</f>
        <v>10</v>
      </c>
      <c r="L713" s="29" t="str">
        <f>VLOOKUP(G713,'insumos terrapl'!$C$3:$K$47,6,0)</f>
        <v>02</v>
      </c>
      <c r="M713" s="29" t="str">
        <f>VLOOKUP(G713,'insumos terrapl'!$C$3:$K$47,7,0)</f>
        <v>00</v>
      </c>
      <c r="N713" s="29" t="str">
        <f>VLOOKUP(G713,'insumos terrapl'!$C$3:$K$47,8,0)</f>
        <v>00</v>
      </c>
      <c r="O713" s="97" t="str">
        <f>VLOOKUP(G713,'insumos terrapl'!$C$3:$K$47,9,0)</f>
        <v>00</v>
      </c>
    </row>
    <row r="714" spans="1:15" ht="30">
      <c r="A714" s="125"/>
      <c r="B714" s="127"/>
      <c r="C714" s="125"/>
      <c r="D714" s="115"/>
      <c r="E714" s="115"/>
      <c r="F714" s="11" t="s">
        <v>655</v>
      </c>
      <c r="G714" s="20" t="s">
        <v>656</v>
      </c>
      <c r="H714" s="29" t="str">
        <f>VLOOKUP(G714,'insumos terrapl'!$C$3:$K$47,2,0)</f>
        <v>2Q  62  02  10  00  00  00</v>
      </c>
      <c r="I714" s="29" t="str">
        <f>VLOOKUP(G714,'insumos terrapl'!$C$3:$K$47,3,0)</f>
        <v>2Q</v>
      </c>
      <c r="J714" s="29">
        <f>VLOOKUP(G714,'insumos terrapl'!$C$3:$K$47,4,0)</f>
        <v>62</v>
      </c>
      <c r="K714" s="29" t="str">
        <f>VLOOKUP(G714,'insumos terrapl'!$C$3:$K$47,5,0)</f>
        <v>02</v>
      </c>
      <c r="L714" s="29" t="str">
        <f>VLOOKUP(G714,'insumos terrapl'!$C$3:$K$47,6,0)</f>
        <v>10</v>
      </c>
      <c r="M714" s="29" t="str">
        <f>VLOOKUP(G714,'insumos terrapl'!$C$3:$K$47,7,0)</f>
        <v>00</v>
      </c>
      <c r="N714" s="29" t="str">
        <f>VLOOKUP(G714,'insumos terrapl'!$C$3:$K$47,8,0)</f>
        <v>00</v>
      </c>
      <c r="O714" s="97" t="str">
        <f>VLOOKUP(G714,'insumos terrapl'!$C$3:$K$47,9,0)</f>
        <v>00</v>
      </c>
    </row>
    <row r="715" spans="1:15">
      <c r="A715" s="125"/>
      <c r="B715" s="127"/>
      <c r="C715" s="125"/>
      <c r="D715" s="115"/>
      <c r="E715" s="115"/>
      <c r="F715" s="11" t="s">
        <v>588</v>
      </c>
      <c r="G715" s="20" t="s">
        <v>589</v>
      </c>
      <c r="H715" s="29" t="str">
        <f>VLOOKUP(G715,'insumos terrapl'!$C$3:$K$47,2,0)</f>
        <v>2N  20  14  08  00  00  00</v>
      </c>
      <c r="I715" s="29" t="str">
        <f>VLOOKUP(G715,'insumos terrapl'!$C$3:$K$47,3,0)</f>
        <v>2N</v>
      </c>
      <c r="J715" s="29">
        <f>VLOOKUP(G715,'insumos terrapl'!$C$3:$K$47,4,0)</f>
        <v>20</v>
      </c>
      <c r="K715" s="29">
        <f>VLOOKUP(G715,'insumos terrapl'!$C$3:$K$47,5,0)</f>
        <v>14</v>
      </c>
      <c r="L715" s="29" t="str">
        <f>VLOOKUP(G715,'insumos terrapl'!$C$3:$K$47,6,0)</f>
        <v>08</v>
      </c>
      <c r="M715" s="29" t="str">
        <f>VLOOKUP(G715,'insumos terrapl'!$C$3:$K$47,7,0)</f>
        <v>00</v>
      </c>
      <c r="N715" s="29" t="str">
        <f>VLOOKUP(G715,'insumos terrapl'!$C$3:$K$47,8,0)</f>
        <v>00</v>
      </c>
      <c r="O715" s="97" t="str">
        <f>VLOOKUP(G715,'insumos terrapl'!$C$3:$K$47,9,0)</f>
        <v>00</v>
      </c>
    </row>
    <row r="716" spans="1:15">
      <c r="A716" s="125"/>
      <c r="B716" s="127"/>
      <c r="C716" s="132"/>
      <c r="D716" s="116"/>
      <c r="E716" s="116"/>
      <c r="F716" s="13"/>
      <c r="G716" s="21"/>
      <c r="H716" s="31"/>
      <c r="I716" s="31"/>
      <c r="J716" s="31"/>
      <c r="K716" s="31"/>
      <c r="L716" s="31"/>
      <c r="M716" s="31"/>
      <c r="N716" s="31"/>
      <c r="O716" s="98"/>
    </row>
    <row r="717" spans="1:15">
      <c r="A717" s="125"/>
      <c r="B717" s="127"/>
      <c r="C717" s="124" t="s">
        <v>162</v>
      </c>
      <c r="D717" s="114" t="str">
        <f>$A$692</f>
        <v>2.6.6</v>
      </c>
      <c r="E717" s="115" t="s">
        <v>347</v>
      </c>
      <c r="F717" s="11" t="s">
        <v>162</v>
      </c>
      <c r="G717" s="20"/>
      <c r="H717" s="29"/>
      <c r="I717" s="29"/>
      <c r="J717" s="29"/>
      <c r="K717" s="29"/>
      <c r="L717" s="29"/>
      <c r="M717" s="29"/>
      <c r="N717" s="29"/>
      <c r="O717" s="97"/>
    </row>
    <row r="718" spans="1:15" ht="30">
      <c r="A718" s="125"/>
      <c r="B718" s="127"/>
      <c r="C718" s="125"/>
      <c r="D718" s="115"/>
      <c r="E718" s="115"/>
      <c r="F718" s="11" t="s">
        <v>651</v>
      </c>
      <c r="G718" s="20" t="s">
        <v>652</v>
      </c>
      <c r="H718" s="29" t="str">
        <f>VLOOKUP(G718,'insumos terrapl'!$C$3:$K$47,2,0)</f>
        <v>2Q  66  10  02  00  00  00</v>
      </c>
      <c r="I718" s="29" t="str">
        <f>VLOOKUP(G718,'insumos terrapl'!$C$3:$K$47,3,0)</f>
        <v>2Q</v>
      </c>
      <c r="J718" s="29">
        <f>VLOOKUP(G718,'insumos terrapl'!$C$3:$K$47,4,0)</f>
        <v>66</v>
      </c>
      <c r="K718" s="29" t="str">
        <f>VLOOKUP(G718,'insumos terrapl'!$C$3:$K$47,5,0)</f>
        <v>10</v>
      </c>
      <c r="L718" s="29" t="str">
        <f>VLOOKUP(G718,'insumos terrapl'!$C$3:$K$47,6,0)</f>
        <v>02</v>
      </c>
      <c r="M718" s="29" t="str">
        <f>VLOOKUP(G718,'insumos terrapl'!$C$3:$K$47,7,0)</f>
        <v>00</v>
      </c>
      <c r="N718" s="29" t="str">
        <f>VLOOKUP(G718,'insumos terrapl'!$C$3:$K$47,8,0)</f>
        <v>00</v>
      </c>
      <c r="O718" s="97" t="str">
        <f>VLOOKUP(G718,'insumos terrapl'!$C$3:$K$47,9,0)</f>
        <v>00</v>
      </c>
    </row>
    <row r="719" spans="1:15" ht="30">
      <c r="A719" s="125"/>
      <c r="B719" s="127"/>
      <c r="C719" s="125"/>
      <c r="D719" s="115"/>
      <c r="E719" s="115"/>
      <c r="F719" s="11" t="s">
        <v>655</v>
      </c>
      <c r="G719" s="20" t="s">
        <v>656</v>
      </c>
      <c r="H719" s="29" t="str">
        <f>VLOOKUP(G719,'insumos terrapl'!$C$3:$K$47,2,0)</f>
        <v>2Q  62  02  10  00  00  00</v>
      </c>
      <c r="I719" s="29" t="str">
        <f>VLOOKUP(G719,'insumos terrapl'!$C$3:$K$47,3,0)</f>
        <v>2Q</v>
      </c>
      <c r="J719" s="29">
        <f>VLOOKUP(G719,'insumos terrapl'!$C$3:$K$47,4,0)</f>
        <v>62</v>
      </c>
      <c r="K719" s="29" t="str">
        <f>VLOOKUP(G719,'insumos terrapl'!$C$3:$K$47,5,0)</f>
        <v>02</v>
      </c>
      <c r="L719" s="29" t="str">
        <f>VLOOKUP(G719,'insumos terrapl'!$C$3:$K$47,6,0)</f>
        <v>10</v>
      </c>
      <c r="M719" s="29" t="str">
        <f>VLOOKUP(G719,'insumos terrapl'!$C$3:$K$47,7,0)</f>
        <v>00</v>
      </c>
      <c r="N719" s="29" t="str">
        <f>VLOOKUP(G719,'insumos terrapl'!$C$3:$K$47,8,0)</f>
        <v>00</v>
      </c>
      <c r="O719" s="97" t="str">
        <f>VLOOKUP(G719,'insumos terrapl'!$C$3:$K$47,9,0)</f>
        <v>00</v>
      </c>
    </row>
    <row r="720" spans="1:15">
      <c r="A720" s="125"/>
      <c r="B720" s="127"/>
      <c r="C720" s="125"/>
      <c r="D720" s="115"/>
      <c r="E720" s="115"/>
      <c r="F720" s="11" t="s">
        <v>588</v>
      </c>
      <c r="G720" s="20" t="s">
        <v>589</v>
      </c>
      <c r="H720" s="29" t="str">
        <f>VLOOKUP(G720,'insumos terrapl'!$C$3:$K$47,2,0)</f>
        <v>2N  20  14  08  00  00  00</v>
      </c>
      <c r="I720" s="29" t="str">
        <f>VLOOKUP(G720,'insumos terrapl'!$C$3:$K$47,3,0)</f>
        <v>2N</v>
      </c>
      <c r="J720" s="29">
        <f>VLOOKUP(G720,'insumos terrapl'!$C$3:$K$47,4,0)</f>
        <v>20</v>
      </c>
      <c r="K720" s="29">
        <f>VLOOKUP(G720,'insumos terrapl'!$C$3:$K$47,5,0)</f>
        <v>14</v>
      </c>
      <c r="L720" s="29" t="str">
        <f>VLOOKUP(G720,'insumos terrapl'!$C$3:$K$47,6,0)</f>
        <v>08</v>
      </c>
      <c r="M720" s="29" t="str">
        <f>VLOOKUP(G720,'insumos terrapl'!$C$3:$K$47,7,0)</f>
        <v>00</v>
      </c>
      <c r="N720" s="29" t="str">
        <f>VLOOKUP(G720,'insumos terrapl'!$C$3:$K$47,8,0)</f>
        <v>00</v>
      </c>
      <c r="O720" s="97" t="str">
        <f>VLOOKUP(G720,'insumos terrapl'!$C$3:$K$47,9,0)</f>
        <v>00</v>
      </c>
    </row>
    <row r="721" spans="1:15">
      <c r="A721" s="125"/>
      <c r="B721" s="127"/>
      <c r="C721" s="132"/>
      <c r="D721" s="116"/>
      <c r="E721" s="115"/>
      <c r="F721" s="10"/>
      <c r="G721" s="20"/>
      <c r="H721" s="29"/>
      <c r="I721" s="29"/>
      <c r="J721" s="29"/>
      <c r="K721" s="29"/>
      <c r="L721" s="29"/>
      <c r="M721" s="29"/>
      <c r="N721" s="29"/>
      <c r="O721" s="97"/>
    </row>
    <row r="722" spans="1:15">
      <c r="A722" s="125"/>
      <c r="B722" s="127"/>
      <c r="C722" s="124" t="s">
        <v>163</v>
      </c>
      <c r="D722" s="114" t="str">
        <f>$A$692</f>
        <v>2.6.6</v>
      </c>
      <c r="E722" s="114" t="s">
        <v>349</v>
      </c>
      <c r="F722" s="12" t="s">
        <v>163</v>
      </c>
      <c r="G722" s="19"/>
      <c r="H722" s="28"/>
      <c r="I722" s="28"/>
      <c r="J722" s="28"/>
      <c r="K722" s="28"/>
      <c r="L722" s="28"/>
      <c r="M722" s="28"/>
      <c r="N722" s="28"/>
      <c r="O722" s="99"/>
    </row>
    <row r="723" spans="1:15" ht="30">
      <c r="A723" s="125"/>
      <c r="B723" s="127"/>
      <c r="C723" s="125"/>
      <c r="D723" s="115"/>
      <c r="E723" s="115"/>
      <c r="F723" s="11" t="s">
        <v>651</v>
      </c>
      <c r="G723" s="20" t="s">
        <v>652</v>
      </c>
      <c r="H723" s="29" t="str">
        <f>VLOOKUP(G723,'insumos terrapl'!$C$3:$K$47,2,0)</f>
        <v>2Q  66  10  02  00  00  00</v>
      </c>
      <c r="I723" s="29" t="str">
        <f>VLOOKUP(G723,'insumos terrapl'!$C$3:$K$47,3,0)</f>
        <v>2Q</v>
      </c>
      <c r="J723" s="29">
        <f>VLOOKUP(G723,'insumos terrapl'!$C$3:$K$47,4,0)</f>
        <v>66</v>
      </c>
      <c r="K723" s="29" t="str">
        <f>VLOOKUP(G723,'insumos terrapl'!$C$3:$K$47,5,0)</f>
        <v>10</v>
      </c>
      <c r="L723" s="29" t="str">
        <f>VLOOKUP(G723,'insumos terrapl'!$C$3:$K$47,6,0)</f>
        <v>02</v>
      </c>
      <c r="M723" s="29" t="str">
        <f>VLOOKUP(G723,'insumos terrapl'!$C$3:$K$47,7,0)</f>
        <v>00</v>
      </c>
      <c r="N723" s="29" t="str">
        <f>VLOOKUP(G723,'insumos terrapl'!$C$3:$K$47,8,0)</f>
        <v>00</v>
      </c>
      <c r="O723" s="97" t="str">
        <f>VLOOKUP(G723,'insumos terrapl'!$C$3:$K$47,9,0)</f>
        <v>00</v>
      </c>
    </row>
    <row r="724" spans="1:15" ht="30">
      <c r="A724" s="125"/>
      <c r="B724" s="127"/>
      <c r="C724" s="125"/>
      <c r="D724" s="115"/>
      <c r="E724" s="115"/>
      <c r="F724" s="11" t="s">
        <v>655</v>
      </c>
      <c r="G724" s="20" t="s">
        <v>656</v>
      </c>
      <c r="H724" s="29" t="str">
        <f>VLOOKUP(G724,'insumos terrapl'!$C$3:$K$47,2,0)</f>
        <v>2Q  62  02  10  00  00  00</v>
      </c>
      <c r="I724" s="29" t="str">
        <f>VLOOKUP(G724,'insumos terrapl'!$C$3:$K$47,3,0)</f>
        <v>2Q</v>
      </c>
      <c r="J724" s="29">
        <f>VLOOKUP(G724,'insumos terrapl'!$C$3:$K$47,4,0)</f>
        <v>62</v>
      </c>
      <c r="K724" s="29" t="str">
        <f>VLOOKUP(G724,'insumos terrapl'!$C$3:$K$47,5,0)</f>
        <v>02</v>
      </c>
      <c r="L724" s="29" t="str">
        <f>VLOOKUP(G724,'insumos terrapl'!$C$3:$K$47,6,0)</f>
        <v>10</v>
      </c>
      <c r="M724" s="29" t="str">
        <f>VLOOKUP(G724,'insumos terrapl'!$C$3:$K$47,7,0)</f>
        <v>00</v>
      </c>
      <c r="N724" s="29" t="str">
        <f>VLOOKUP(G724,'insumos terrapl'!$C$3:$K$47,8,0)</f>
        <v>00</v>
      </c>
      <c r="O724" s="97" t="str">
        <f>VLOOKUP(G724,'insumos terrapl'!$C$3:$K$47,9,0)</f>
        <v>00</v>
      </c>
    </row>
    <row r="725" spans="1:15">
      <c r="A725" s="125"/>
      <c r="B725" s="127"/>
      <c r="C725" s="125"/>
      <c r="D725" s="115"/>
      <c r="E725" s="115"/>
      <c r="F725" s="11" t="s">
        <v>588</v>
      </c>
      <c r="G725" s="20" t="s">
        <v>589</v>
      </c>
      <c r="H725" s="29" t="str">
        <f>VLOOKUP(G725,'insumos terrapl'!$C$3:$K$47,2,0)</f>
        <v>2N  20  14  08  00  00  00</v>
      </c>
      <c r="I725" s="29" t="str">
        <f>VLOOKUP(G725,'insumos terrapl'!$C$3:$K$47,3,0)</f>
        <v>2N</v>
      </c>
      <c r="J725" s="29">
        <f>VLOOKUP(G725,'insumos terrapl'!$C$3:$K$47,4,0)</f>
        <v>20</v>
      </c>
      <c r="K725" s="29">
        <f>VLOOKUP(G725,'insumos terrapl'!$C$3:$K$47,5,0)</f>
        <v>14</v>
      </c>
      <c r="L725" s="29" t="str">
        <f>VLOOKUP(G725,'insumos terrapl'!$C$3:$K$47,6,0)</f>
        <v>08</v>
      </c>
      <c r="M725" s="29" t="str">
        <f>VLOOKUP(G725,'insumos terrapl'!$C$3:$K$47,7,0)</f>
        <v>00</v>
      </c>
      <c r="N725" s="29" t="str">
        <f>VLOOKUP(G725,'insumos terrapl'!$C$3:$K$47,8,0)</f>
        <v>00</v>
      </c>
      <c r="O725" s="97" t="str">
        <f>VLOOKUP(G725,'insumos terrapl'!$C$3:$K$47,9,0)</f>
        <v>00</v>
      </c>
    </row>
    <row r="726" spans="1:15">
      <c r="A726" s="125"/>
      <c r="B726" s="127"/>
      <c r="C726" s="132"/>
      <c r="D726" s="116"/>
      <c r="E726" s="116"/>
      <c r="F726" s="13"/>
      <c r="G726" s="21"/>
      <c r="H726" s="31"/>
      <c r="I726" s="31"/>
      <c r="J726" s="31"/>
      <c r="K726" s="31"/>
      <c r="L726" s="31"/>
      <c r="M726" s="31"/>
      <c r="N726" s="31"/>
      <c r="O726" s="98"/>
    </row>
    <row r="727" spans="1:15">
      <c r="A727" s="125"/>
      <c r="B727" s="127"/>
      <c r="C727" s="124" t="s">
        <v>164</v>
      </c>
      <c r="D727" s="114" t="str">
        <f>$A$692</f>
        <v>2.6.6</v>
      </c>
      <c r="E727" s="115" t="s">
        <v>351</v>
      </c>
      <c r="F727" s="11" t="s">
        <v>164</v>
      </c>
      <c r="G727" s="20"/>
      <c r="H727" s="29"/>
      <c r="I727" s="29"/>
      <c r="J727" s="29"/>
      <c r="K727" s="29"/>
      <c r="L727" s="29"/>
      <c r="M727" s="29"/>
      <c r="N727" s="29"/>
      <c r="O727" s="97"/>
    </row>
    <row r="728" spans="1:15" ht="30">
      <c r="A728" s="125"/>
      <c r="B728" s="127"/>
      <c r="C728" s="125"/>
      <c r="D728" s="115"/>
      <c r="E728" s="115"/>
      <c r="F728" s="11" t="s">
        <v>651</v>
      </c>
      <c r="G728" s="20" t="s">
        <v>652</v>
      </c>
      <c r="H728" s="29" t="str">
        <f>VLOOKUP(G728,'insumos terrapl'!$C$3:$K$47,2,0)</f>
        <v>2Q  66  10  02  00  00  00</v>
      </c>
      <c r="I728" s="29" t="str">
        <f>VLOOKUP(G728,'insumos terrapl'!$C$3:$K$47,3,0)</f>
        <v>2Q</v>
      </c>
      <c r="J728" s="29">
        <f>VLOOKUP(G728,'insumos terrapl'!$C$3:$K$47,4,0)</f>
        <v>66</v>
      </c>
      <c r="K728" s="29" t="str">
        <f>VLOOKUP(G728,'insumos terrapl'!$C$3:$K$47,5,0)</f>
        <v>10</v>
      </c>
      <c r="L728" s="29" t="str">
        <f>VLOOKUP(G728,'insumos terrapl'!$C$3:$K$47,6,0)</f>
        <v>02</v>
      </c>
      <c r="M728" s="29" t="str">
        <f>VLOOKUP(G728,'insumos terrapl'!$C$3:$K$47,7,0)</f>
        <v>00</v>
      </c>
      <c r="N728" s="29" t="str">
        <f>VLOOKUP(G728,'insumos terrapl'!$C$3:$K$47,8,0)</f>
        <v>00</v>
      </c>
      <c r="O728" s="97" t="str">
        <f>VLOOKUP(G728,'insumos terrapl'!$C$3:$K$47,9,0)</f>
        <v>00</v>
      </c>
    </row>
    <row r="729" spans="1:15" ht="30">
      <c r="A729" s="125"/>
      <c r="B729" s="127"/>
      <c r="C729" s="125"/>
      <c r="D729" s="115"/>
      <c r="E729" s="115"/>
      <c r="F729" s="11" t="s">
        <v>655</v>
      </c>
      <c r="G729" s="20" t="s">
        <v>656</v>
      </c>
      <c r="H729" s="29" t="str">
        <f>VLOOKUP(G729,'insumos terrapl'!$C$3:$K$47,2,0)</f>
        <v>2Q  62  02  10  00  00  00</v>
      </c>
      <c r="I729" s="29" t="str">
        <f>VLOOKUP(G729,'insumos terrapl'!$C$3:$K$47,3,0)</f>
        <v>2Q</v>
      </c>
      <c r="J729" s="29">
        <f>VLOOKUP(G729,'insumos terrapl'!$C$3:$K$47,4,0)</f>
        <v>62</v>
      </c>
      <c r="K729" s="29" t="str">
        <f>VLOOKUP(G729,'insumos terrapl'!$C$3:$K$47,5,0)</f>
        <v>02</v>
      </c>
      <c r="L729" s="29" t="str">
        <f>VLOOKUP(G729,'insumos terrapl'!$C$3:$K$47,6,0)</f>
        <v>10</v>
      </c>
      <c r="M729" s="29" t="str">
        <f>VLOOKUP(G729,'insumos terrapl'!$C$3:$K$47,7,0)</f>
        <v>00</v>
      </c>
      <c r="N729" s="29" t="str">
        <f>VLOOKUP(G729,'insumos terrapl'!$C$3:$K$47,8,0)</f>
        <v>00</v>
      </c>
      <c r="O729" s="97" t="str">
        <f>VLOOKUP(G729,'insumos terrapl'!$C$3:$K$47,9,0)</f>
        <v>00</v>
      </c>
    </row>
    <row r="730" spans="1:15">
      <c r="A730" s="125"/>
      <c r="B730" s="127"/>
      <c r="C730" s="125"/>
      <c r="D730" s="115"/>
      <c r="E730" s="115"/>
      <c r="F730" s="11" t="s">
        <v>588</v>
      </c>
      <c r="G730" s="20" t="s">
        <v>589</v>
      </c>
      <c r="H730" s="29" t="str">
        <f>VLOOKUP(G730,'insumos terrapl'!$C$3:$K$47,2,0)</f>
        <v>2N  20  14  08  00  00  00</v>
      </c>
      <c r="I730" s="29" t="str">
        <f>VLOOKUP(G730,'insumos terrapl'!$C$3:$K$47,3,0)</f>
        <v>2N</v>
      </c>
      <c r="J730" s="29">
        <f>VLOOKUP(G730,'insumos terrapl'!$C$3:$K$47,4,0)</f>
        <v>20</v>
      </c>
      <c r="K730" s="29">
        <f>VLOOKUP(G730,'insumos terrapl'!$C$3:$K$47,5,0)</f>
        <v>14</v>
      </c>
      <c r="L730" s="29" t="str">
        <f>VLOOKUP(G730,'insumos terrapl'!$C$3:$K$47,6,0)</f>
        <v>08</v>
      </c>
      <c r="M730" s="29" t="str">
        <f>VLOOKUP(G730,'insumos terrapl'!$C$3:$K$47,7,0)</f>
        <v>00</v>
      </c>
      <c r="N730" s="29" t="str">
        <f>VLOOKUP(G730,'insumos terrapl'!$C$3:$K$47,8,0)</f>
        <v>00</v>
      </c>
      <c r="O730" s="97" t="str">
        <f>VLOOKUP(G730,'insumos terrapl'!$C$3:$K$47,9,0)</f>
        <v>00</v>
      </c>
    </row>
    <row r="731" spans="1:15">
      <c r="A731" s="125"/>
      <c r="B731" s="127"/>
      <c r="C731" s="132"/>
      <c r="D731" s="116"/>
      <c r="E731" s="115"/>
      <c r="F731" s="10"/>
      <c r="G731" s="20"/>
      <c r="H731" s="29"/>
      <c r="I731" s="29"/>
      <c r="J731" s="29"/>
      <c r="K731" s="29"/>
      <c r="L731" s="29"/>
      <c r="M731" s="29"/>
      <c r="N731" s="29"/>
      <c r="O731" s="97"/>
    </row>
    <row r="732" spans="1:15">
      <c r="A732" s="125"/>
      <c r="B732" s="127"/>
      <c r="C732" s="124" t="s">
        <v>165</v>
      </c>
      <c r="D732" s="114" t="str">
        <f>$A$692</f>
        <v>2.6.6</v>
      </c>
      <c r="E732" s="114" t="s">
        <v>353</v>
      </c>
      <c r="F732" s="12" t="s">
        <v>165</v>
      </c>
      <c r="G732" s="19"/>
      <c r="H732" s="28"/>
      <c r="I732" s="28"/>
      <c r="J732" s="28"/>
      <c r="K732" s="28"/>
      <c r="L732" s="28"/>
      <c r="M732" s="28"/>
      <c r="N732" s="28"/>
      <c r="O732" s="99"/>
    </row>
    <row r="733" spans="1:15" ht="30">
      <c r="A733" s="125"/>
      <c r="B733" s="127"/>
      <c r="C733" s="125"/>
      <c r="D733" s="115"/>
      <c r="E733" s="115"/>
      <c r="F733" s="11" t="s">
        <v>651</v>
      </c>
      <c r="G733" s="20" t="s">
        <v>652</v>
      </c>
      <c r="H733" s="29" t="str">
        <f>VLOOKUP(G733,'insumos terrapl'!$C$3:$K$47,2,0)</f>
        <v>2Q  66  10  02  00  00  00</v>
      </c>
      <c r="I733" s="29" t="str">
        <f>VLOOKUP(G733,'insumos terrapl'!$C$3:$K$47,3,0)</f>
        <v>2Q</v>
      </c>
      <c r="J733" s="29">
        <f>VLOOKUP(G733,'insumos terrapl'!$C$3:$K$47,4,0)</f>
        <v>66</v>
      </c>
      <c r="K733" s="29" t="str">
        <f>VLOOKUP(G733,'insumos terrapl'!$C$3:$K$47,5,0)</f>
        <v>10</v>
      </c>
      <c r="L733" s="29" t="str">
        <f>VLOOKUP(G733,'insumos terrapl'!$C$3:$K$47,6,0)</f>
        <v>02</v>
      </c>
      <c r="M733" s="29" t="str">
        <f>VLOOKUP(G733,'insumos terrapl'!$C$3:$K$47,7,0)</f>
        <v>00</v>
      </c>
      <c r="N733" s="29" t="str">
        <f>VLOOKUP(G733,'insumos terrapl'!$C$3:$K$47,8,0)</f>
        <v>00</v>
      </c>
      <c r="O733" s="97" t="str">
        <f>VLOOKUP(G733,'insumos terrapl'!$C$3:$K$47,9,0)</f>
        <v>00</v>
      </c>
    </row>
    <row r="734" spans="1:15" ht="30">
      <c r="A734" s="125"/>
      <c r="B734" s="127"/>
      <c r="C734" s="125"/>
      <c r="D734" s="115"/>
      <c r="E734" s="115"/>
      <c r="F734" s="11" t="s">
        <v>655</v>
      </c>
      <c r="G734" s="20" t="s">
        <v>656</v>
      </c>
      <c r="H734" s="29" t="str">
        <f>VLOOKUP(G734,'insumos terrapl'!$C$3:$K$47,2,0)</f>
        <v>2Q  62  02  10  00  00  00</v>
      </c>
      <c r="I734" s="29" t="str">
        <f>VLOOKUP(G734,'insumos terrapl'!$C$3:$K$47,3,0)</f>
        <v>2Q</v>
      </c>
      <c r="J734" s="29">
        <f>VLOOKUP(G734,'insumos terrapl'!$C$3:$K$47,4,0)</f>
        <v>62</v>
      </c>
      <c r="K734" s="29" t="str">
        <f>VLOOKUP(G734,'insumos terrapl'!$C$3:$K$47,5,0)</f>
        <v>02</v>
      </c>
      <c r="L734" s="29" t="str">
        <f>VLOOKUP(G734,'insumos terrapl'!$C$3:$K$47,6,0)</f>
        <v>10</v>
      </c>
      <c r="M734" s="29" t="str">
        <f>VLOOKUP(G734,'insumos terrapl'!$C$3:$K$47,7,0)</f>
        <v>00</v>
      </c>
      <c r="N734" s="29" t="str">
        <f>VLOOKUP(G734,'insumos terrapl'!$C$3:$K$47,8,0)</f>
        <v>00</v>
      </c>
      <c r="O734" s="97" t="str">
        <f>VLOOKUP(G734,'insumos terrapl'!$C$3:$K$47,9,0)</f>
        <v>00</v>
      </c>
    </row>
    <row r="735" spans="1:15">
      <c r="A735" s="125"/>
      <c r="B735" s="127"/>
      <c r="C735" s="125"/>
      <c r="D735" s="115"/>
      <c r="E735" s="115"/>
      <c r="F735" s="11" t="s">
        <v>588</v>
      </c>
      <c r="G735" s="20" t="s">
        <v>589</v>
      </c>
      <c r="H735" s="29" t="str">
        <f>VLOOKUP(G735,'insumos terrapl'!$C$3:$K$47,2,0)</f>
        <v>2N  20  14  08  00  00  00</v>
      </c>
      <c r="I735" s="29" t="str">
        <f>VLOOKUP(G735,'insumos terrapl'!$C$3:$K$47,3,0)</f>
        <v>2N</v>
      </c>
      <c r="J735" s="29">
        <f>VLOOKUP(G735,'insumos terrapl'!$C$3:$K$47,4,0)</f>
        <v>20</v>
      </c>
      <c r="K735" s="29">
        <f>VLOOKUP(G735,'insumos terrapl'!$C$3:$K$47,5,0)</f>
        <v>14</v>
      </c>
      <c r="L735" s="29" t="str">
        <f>VLOOKUP(G735,'insumos terrapl'!$C$3:$K$47,6,0)</f>
        <v>08</v>
      </c>
      <c r="M735" s="29" t="str">
        <f>VLOOKUP(G735,'insumos terrapl'!$C$3:$K$47,7,0)</f>
        <v>00</v>
      </c>
      <c r="N735" s="29" t="str">
        <f>VLOOKUP(G735,'insumos terrapl'!$C$3:$K$47,8,0)</f>
        <v>00</v>
      </c>
      <c r="O735" s="97" t="str">
        <f>VLOOKUP(G735,'insumos terrapl'!$C$3:$K$47,9,0)</f>
        <v>00</v>
      </c>
    </row>
    <row r="736" spans="1:15">
      <c r="A736" s="125"/>
      <c r="B736" s="127"/>
      <c r="C736" s="132"/>
      <c r="D736" s="116"/>
      <c r="E736" s="116"/>
      <c r="F736" s="13"/>
      <c r="G736" s="21"/>
      <c r="H736" s="31"/>
      <c r="I736" s="31"/>
      <c r="J736" s="31"/>
      <c r="K736" s="31"/>
      <c r="L736" s="31"/>
      <c r="M736" s="31"/>
      <c r="N736" s="31"/>
      <c r="O736" s="98"/>
    </row>
    <row r="737" spans="1:15">
      <c r="A737" s="125"/>
      <c r="B737" s="127"/>
      <c r="C737" s="124" t="s">
        <v>166</v>
      </c>
      <c r="D737" s="114" t="str">
        <f>$A$692</f>
        <v>2.6.6</v>
      </c>
      <c r="E737" s="115" t="s">
        <v>355</v>
      </c>
      <c r="F737" s="11" t="s">
        <v>166</v>
      </c>
      <c r="G737" s="20"/>
      <c r="H737" s="29"/>
      <c r="I737" s="29"/>
      <c r="J737" s="29"/>
      <c r="K737" s="29"/>
      <c r="L737" s="29"/>
      <c r="M737" s="29"/>
      <c r="N737" s="29"/>
      <c r="O737" s="97"/>
    </row>
    <row r="738" spans="1:15" ht="30">
      <c r="A738" s="125"/>
      <c r="B738" s="127"/>
      <c r="C738" s="125"/>
      <c r="D738" s="115"/>
      <c r="E738" s="115"/>
      <c r="F738" s="11" t="s">
        <v>651</v>
      </c>
      <c r="G738" s="20" t="s">
        <v>652</v>
      </c>
      <c r="H738" s="29" t="str">
        <f>VLOOKUP(G738,'insumos terrapl'!$C$3:$K$47,2,0)</f>
        <v>2Q  66  10  02  00  00  00</v>
      </c>
      <c r="I738" s="29" t="str">
        <f>VLOOKUP(G738,'insumos terrapl'!$C$3:$K$47,3,0)</f>
        <v>2Q</v>
      </c>
      <c r="J738" s="29">
        <f>VLOOKUP(G738,'insumos terrapl'!$C$3:$K$47,4,0)</f>
        <v>66</v>
      </c>
      <c r="K738" s="29" t="str">
        <f>VLOOKUP(G738,'insumos terrapl'!$C$3:$K$47,5,0)</f>
        <v>10</v>
      </c>
      <c r="L738" s="29" t="str">
        <f>VLOOKUP(G738,'insumos terrapl'!$C$3:$K$47,6,0)</f>
        <v>02</v>
      </c>
      <c r="M738" s="29" t="str">
        <f>VLOOKUP(G738,'insumos terrapl'!$C$3:$K$47,7,0)</f>
        <v>00</v>
      </c>
      <c r="N738" s="29" t="str">
        <f>VLOOKUP(G738,'insumos terrapl'!$C$3:$K$47,8,0)</f>
        <v>00</v>
      </c>
      <c r="O738" s="97" t="str">
        <f>VLOOKUP(G738,'insumos terrapl'!$C$3:$K$47,9,0)</f>
        <v>00</v>
      </c>
    </row>
    <row r="739" spans="1:15" ht="30">
      <c r="A739" s="125"/>
      <c r="B739" s="127"/>
      <c r="C739" s="125"/>
      <c r="D739" s="115"/>
      <c r="E739" s="115"/>
      <c r="F739" s="11" t="s">
        <v>655</v>
      </c>
      <c r="G739" s="20" t="s">
        <v>656</v>
      </c>
      <c r="H739" s="29" t="str">
        <f>VLOOKUP(G739,'insumos terrapl'!$C$3:$K$47,2,0)</f>
        <v>2Q  62  02  10  00  00  00</v>
      </c>
      <c r="I739" s="29" t="str">
        <f>VLOOKUP(G739,'insumos terrapl'!$C$3:$K$47,3,0)</f>
        <v>2Q</v>
      </c>
      <c r="J739" s="29">
        <f>VLOOKUP(G739,'insumos terrapl'!$C$3:$K$47,4,0)</f>
        <v>62</v>
      </c>
      <c r="K739" s="29" t="str">
        <f>VLOOKUP(G739,'insumos terrapl'!$C$3:$K$47,5,0)</f>
        <v>02</v>
      </c>
      <c r="L739" s="29" t="str">
        <f>VLOOKUP(G739,'insumos terrapl'!$C$3:$K$47,6,0)</f>
        <v>10</v>
      </c>
      <c r="M739" s="29" t="str">
        <f>VLOOKUP(G739,'insumos terrapl'!$C$3:$K$47,7,0)</f>
        <v>00</v>
      </c>
      <c r="N739" s="29" t="str">
        <f>VLOOKUP(G739,'insumos terrapl'!$C$3:$K$47,8,0)</f>
        <v>00</v>
      </c>
      <c r="O739" s="97" t="str">
        <f>VLOOKUP(G739,'insumos terrapl'!$C$3:$K$47,9,0)</f>
        <v>00</v>
      </c>
    </row>
    <row r="740" spans="1:15">
      <c r="A740" s="125"/>
      <c r="B740" s="127"/>
      <c r="C740" s="125"/>
      <c r="D740" s="115"/>
      <c r="E740" s="115"/>
      <c r="F740" s="11" t="s">
        <v>588</v>
      </c>
      <c r="G740" s="20" t="s">
        <v>589</v>
      </c>
      <c r="H740" s="29" t="str">
        <f>VLOOKUP(G740,'insumos terrapl'!$C$3:$K$47,2,0)</f>
        <v>2N  20  14  08  00  00  00</v>
      </c>
      <c r="I740" s="29" t="str">
        <f>VLOOKUP(G740,'insumos terrapl'!$C$3:$K$47,3,0)</f>
        <v>2N</v>
      </c>
      <c r="J740" s="29">
        <f>VLOOKUP(G740,'insumos terrapl'!$C$3:$K$47,4,0)</f>
        <v>20</v>
      </c>
      <c r="K740" s="29">
        <f>VLOOKUP(G740,'insumos terrapl'!$C$3:$K$47,5,0)</f>
        <v>14</v>
      </c>
      <c r="L740" s="29" t="str">
        <f>VLOOKUP(G740,'insumos terrapl'!$C$3:$K$47,6,0)</f>
        <v>08</v>
      </c>
      <c r="M740" s="29" t="str">
        <f>VLOOKUP(G740,'insumos terrapl'!$C$3:$K$47,7,0)</f>
        <v>00</v>
      </c>
      <c r="N740" s="29" t="str">
        <f>VLOOKUP(G740,'insumos terrapl'!$C$3:$K$47,8,0)</f>
        <v>00</v>
      </c>
      <c r="O740" s="97" t="str">
        <f>VLOOKUP(G740,'insumos terrapl'!$C$3:$K$47,9,0)</f>
        <v>00</v>
      </c>
    </row>
    <row r="741" spans="1:15">
      <c r="A741" s="125"/>
      <c r="B741" s="127"/>
      <c r="C741" s="132"/>
      <c r="D741" s="116"/>
      <c r="E741" s="115"/>
      <c r="F741" s="10"/>
      <c r="G741" s="20"/>
      <c r="H741" s="29"/>
      <c r="I741" s="29"/>
      <c r="J741" s="29"/>
      <c r="K741" s="29"/>
      <c r="L741" s="29"/>
      <c r="M741" s="29"/>
      <c r="N741" s="29"/>
      <c r="O741" s="97"/>
    </row>
    <row r="742" spans="1:15">
      <c r="A742" s="125"/>
      <c r="B742" s="127"/>
      <c r="C742" s="124" t="s">
        <v>167</v>
      </c>
      <c r="D742" s="114" t="str">
        <f>$A$692</f>
        <v>2.6.6</v>
      </c>
      <c r="E742" s="114" t="s">
        <v>357</v>
      </c>
      <c r="F742" s="12" t="s">
        <v>167</v>
      </c>
      <c r="G742" s="19"/>
      <c r="H742" s="28"/>
      <c r="I742" s="28"/>
      <c r="J742" s="28"/>
      <c r="K742" s="28"/>
      <c r="L742" s="28"/>
      <c r="M742" s="28"/>
      <c r="N742" s="28"/>
      <c r="O742" s="99"/>
    </row>
    <row r="743" spans="1:15" ht="30">
      <c r="A743" s="125"/>
      <c r="B743" s="127"/>
      <c r="C743" s="125"/>
      <c r="D743" s="115"/>
      <c r="E743" s="115"/>
      <c r="F743" s="11" t="s">
        <v>651</v>
      </c>
      <c r="G743" s="20" t="s">
        <v>652</v>
      </c>
      <c r="H743" s="29" t="str">
        <f>VLOOKUP(G743,'insumos terrapl'!$C$3:$K$47,2,0)</f>
        <v>2Q  66  10  02  00  00  00</v>
      </c>
      <c r="I743" s="29" t="str">
        <f>VLOOKUP(G743,'insumos terrapl'!$C$3:$K$47,3,0)</f>
        <v>2Q</v>
      </c>
      <c r="J743" s="29">
        <f>VLOOKUP(G743,'insumos terrapl'!$C$3:$K$47,4,0)</f>
        <v>66</v>
      </c>
      <c r="K743" s="29" t="str">
        <f>VLOOKUP(G743,'insumos terrapl'!$C$3:$K$47,5,0)</f>
        <v>10</v>
      </c>
      <c r="L743" s="29" t="str">
        <f>VLOOKUP(G743,'insumos terrapl'!$C$3:$K$47,6,0)</f>
        <v>02</v>
      </c>
      <c r="M743" s="29" t="str">
        <f>VLOOKUP(G743,'insumos terrapl'!$C$3:$K$47,7,0)</f>
        <v>00</v>
      </c>
      <c r="N743" s="29" t="str">
        <f>VLOOKUP(G743,'insumos terrapl'!$C$3:$K$47,8,0)</f>
        <v>00</v>
      </c>
      <c r="O743" s="97" t="str">
        <f>VLOOKUP(G743,'insumos terrapl'!$C$3:$K$47,9,0)</f>
        <v>00</v>
      </c>
    </row>
    <row r="744" spans="1:15" ht="30">
      <c r="A744" s="125"/>
      <c r="B744" s="127"/>
      <c r="C744" s="125"/>
      <c r="D744" s="115"/>
      <c r="E744" s="115"/>
      <c r="F744" s="11" t="s">
        <v>655</v>
      </c>
      <c r="G744" s="20" t="s">
        <v>656</v>
      </c>
      <c r="H744" s="29" t="str">
        <f>VLOOKUP(G744,'insumos terrapl'!$C$3:$K$47,2,0)</f>
        <v>2Q  62  02  10  00  00  00</v>
      </c>
      <c r="I744" s="29" t="str">
        <f>VLOOKUP(G744,'insumos terrapl'!$C$3:$K$47,3,0)</f>
        <v>2Q</v>
      </c>
      <c r="J744" s="29">
        <f>VLOOKUP(G744,'insumos terrapl'!$C$3:$K$47,4,0)</f>
        <v>62</v>
      </c>
      <c r="K744" s="29" t="str">
        <f>VLOOKUP(G744,'insumos terrapl'!$C$3:$K$47,5,0)</f>
        <v>02</v>
      </c>
      <c r="L744" s="29" t="str">
        <f>VLOOKUP(G744,'insumos terrapl'!$C$3:$K$47,6,0)</f>
        <v>10</v>
      </c>
      <c r="M744" s="29" t="str">
        <f>VLOOKUP(G744,'insumos terrapl'!$C$3:$K$47,7,0)</f>
        <v>00</v>
      </c>
      <c r="N744" s="29" t="str">
        <f>VLOOKUP(G744,'insumos terrapl'!$C$3:$K$47,8,0)</f>
        <v>00</v>
      </c>
      <c r="O744" s="97" t="str">
        <f>VLOOKUP(G744,'insumos terrapl'!$C$3:$K$47,9,0)</f>
        <v>00</v>
      </c>
    </row>
    <row r="745" spans="1:15">
      <c r="A745" s="125"/>
      <c r="B745" s="127"/>
      <c r="C745" s="125"/>
      <c r="D745" s="115"/>
      <c r="E745" s="115"/>
      <c r="F745" s="11" t="s">
        <v>588</v>
      </c>
      <c r="G745" s="20" t="s">
        <v>589</v>
      </c>
      <c r="H745" s="29" t="str">
        <f>VLOOKUP(G745,'insumos terrapl'!$C$3:$K$47,2,0)</f>
        <v>2N  20  14  08  00  00  00</v>
      </c>
      <c r="I745" s="29" t="str">
        <f>VLOOKUP(G745,'insumos terrapl'!$C$3:$K$47,3,0)</f>
        <v>2N</v>
      </c>
      <c r="J745" s="29">
        <f>VLOOKUP(G745,'insumos terrapl'!$C$3:$K$47,4,0)</f>
        <v>20</v>
      </c>
      <c r="K745" s="29">
        <f>VLOOKUP(G745,'insumos terrapl'!$C$3:$K$47,5,0)</f>
        <v>14</v>
      </c>
      <c r="L745" s="29" t="str">
        <f>VLOOKUP(G745,'insumos terrapl'!$C$3:$K$47,6,0)</f>
        <v>08</v>
      </c>
      <c r="M745" s="29" t="str">
        <f>VLOOKUP(G745,'insumos terrapl'!$C$3:$K$47,7,0)</f>
        <v>00</v>
      </c>
      <c r="N745" s="29" t="str">
        <f>VLOOKUP(G745,'insumos terrapl'!$C$3:$K$47,8,0)</f>
        <v>00</v>
      </c>
      <c r="O745" s="97" t="str">
        <f>VLOOKUP(G745,'insumos terrapl'!$C$3:$K$47,9,0)</f>
        <v>00</v>
      </c>
    </row>
    <row r="746" spans="1:15">
      <c r="A746" s="125"/>
      <c r="B746" s="127"/>
      <c r="C746" s="132"/>
      <c r="D746" s="116"/>
      <c r="E746" s="116"/>
      <c r="F746" s="13"/>
      <c r="G746" s="21"/>
      <c r="H746" s="31"/>
      <c r="I746" s="31"/>
      <c r="J746" s="31"/>
      <c r="K746" s="31"/>
      <c r="L746" s="31"/>
      <c r="M746" s="31"/>
      <c r="N746" s="31"/>
      <c r="O746" s="98"/>
    </row>
    <row r="747" spans="1:15">
      <c r="A747" s="125"/>
      <c r="B747" s="127"/>
      <c r="C747" s="124" t="s">
        <v>168</v>
      </c>
      <c r="D747" s="114" t="str">
        <f>$A$692</f>
        <v>2.6.6</v>
      </c>
      <c r="E747" s="115" t="s">
        <v>359</v>
      </c>
      <c r="F747" s="11" t="s">
        <v>168</v>
      </c>
      <c r="G747" s="20"/>
      <c r="H747" s="29"/>
      <c r="I747" s="29"/>
      <c r="J747" s="29"/>
      <c r="K747" s="29"/>
      <c r="L747" s="29"/>
      <c r="M747" s="29"/>
      <c r="N747" s="29"/>
      <c r="O747" s="97"/>
    </row>
    <row r="748" spans="1:15" ht="30">
      <c r="A748" s="125"/>
      <c r="B748" s="127"/>
      <c r="C748" s="125"/>
      <c r="D748" s="115"/>
      <c r="E748" s="115"/>
      <c r="F748" s="11" t="s">
        <v>651</v>
      </c>
      <c r="G748" s="20" t="s">
        <v>652</v>
      </c>
      <c r="H748" s="29" t="str">
        <f>VLOOKUP(G748,'insumos terrapl'!$C$3:$K$47,2,0)</f>
        <v>2Q  66  10  02  00  00  00</v>
      </c>
      <c r="I748" s="29" t="str">
        <f>VLOOKUP(G748,'insumos terrapl'!$C$3:$K$47,3,0)</f>
        <v>2Q</v>
      </c>
      <c r="J748" s="29">
        <f>VLOOKUP(G748,'insumos terrapl'!$C$3:$K$47,4,0)</f>
        <v>66</v>
      </c>
      <c r="K748" s="29" t="str">
        <f>VLOOKUP(G748,'insumos terrapl'!$C$3:$K$47,5,0)</f>
        <v>10</v>
      </c>
      <c r="L748" s="29" t="str">
        <f>VLOOKUP(G748,'insumos terrapl'!$C$3:$K$47,6,0)</f>
        <v>02</v>
      </c>
      <c r="M748" s="29" t="str">
        <f>VLOOKUP(G748,'insumos terrapl'!$C$3:$K$47,7,0)</f>
        <v>00</v>
      </c>
      <c r="N748" s="29" t="str">
        <f>VLOOKUP(G748,'insumos terrapl'!$C$3:$K$47,8,0)</f>
        <v>00</v>
      </c>
      <c r="O748" s="97" t="str">
        <f>VLOOKUP(G748,'insumos terrapl'!$C$3:$K$47,9,0)</f>
        <v>00</v>
      </c>
    </row>
    <row r="749" spans="1:15" ht="30">
      <c r="A749" s="125"/>
      <c r="B749" s="127"/>
      <c r="C749" s="125"/>
      <c r="D749" s="115"/>
      <c r="E749" s="115"/>
      <c r="F749" s="11" t="s">
        <v>655</v>
      </c>
      <c r="G749" s="20" t="s">
        <v>656</v>
      </c>
      <c r="H749" s="29" t="str">
        <f>VLOOKUP(G749,'insumos terrapl'!$C$3:$K$47,2,0)</f>
        <v>2Q  62  02  10  00  00  00</v>
      </c>
      <c r="I749" s="29" t="str">
        <f>VLOOKUP(G749,'insumos terrapl'!$C$3:$K$47,3,0)</f>
        <v>2Q</v>
      </c>
      <c r="J749" s="29">
        <f>VLOOKUP(G749,'insumos terrapl'!$C$3:$K$47,4,0)</f>
        <v>62</v>
      </c>
      <c r="K749" s="29" t="str">
        <f>VLOOKUP(G749,'insumos terrapl'!$C$3:$K$47,5,0)</f>
        <v>02</v>
      </c>
      <c r="L749" s="29" t="str">
        <f>VLOOKUP(G749,'insumos terrapl'!$C$3:$K$47,6,0)</f>
        <v>10</v>
      </c>
      <c r="M749" s="29" t="str">
        <f>VLOOKUP(G749,'insumos terrapl'!$C$3:$K$47,7,0)</f>
        <v>00</v>
      </c>
      <c r="N749" s="29" t="str">
        <f>VLOOKUP(G749,'insumos terrapl'!$C$3:$K$47,8,0)</f>
        <v>00</v>
      </c>
      <c r="O749" s="97" t="str">
        <f>VLOOKUP(G749,'insumos terrapl'!$C$3:$K$47,9,0)</f>
        <v>00</v>
      </c>
    </row>
    <row r="750" spans="1:15">
      <c r="A750" s="125"/>
      <c r="B750" s="127"/>
      <c r="C750" s="125"/>
      <c r="D750" s="115"/>
      <c r="E750" s="115"/>
      <c r="F750" s="11" t="s">
        <v>588</v>
      </c>
      <c r="G750" s="20" t="s">
        <v>589</v>
      </c>
      <c r="H750" s="29" t="str">
        <f>VLOOKUP(G750,'insumos terrapl'!$C$3:$K$47,2,0)</f>
        <v>2N  20  14  08  00  00  00</v>
      </c>
      <c r="I750" s="29" t="str">
        <f>VLOOKUP(G750,'insumos terrapl'!$C$3:$K$47,3,0)</f>
        <v>2N</v>
      </c>
      <c r="J750" s="29">
        <f>VLOOKUP(G750,'insumos terrapl'!$C$3:$K$47,4,0)</f>
        <v>20</v>
      </c>
      <c r="K750" s="29">
        <f>VLOOKUP(G750,'insumos terrapl'!$C$3:$K$47,5,0)</f>
        <v>14</v>
      </c>
      <c r="L750" s="29" t="str">
        <f>VLOOKUP(G750,'insumos terrapl'!$C$3:$K$47,6,0)</f>
        <v>08</v>
      </c>
      <c r="M750" s="29" t="str">
        <f>VLOOKUP(G750,'insumos terrapl'!$C$3:$K$47,7,0)</f>
        <v>00</v>
      </c>
      <c r="N750" s="29" t="str">
        <f>VLOOKUP(G750,'insumos terrapl'!$C$3:$K$47,8,0)</f>
        <v>00</v>
      </c>
      <c r="O750" s="97" t="str">
        <f>VLOOKUP(G750,'insumos terrapl'!$C$3:$K$47,9,0)</f>
        <v>00</v>
      </c>
    </row>
    <row r="751" spans="1:15">
      <c r="A751" s="125"/>
      <c r="B751" s="127"/>
      <c r="C751" s="132"/>
      <c r="D751" s="116"/>
      <c r="E751" s="115"/>
      <c r="F751" s="11" t="s">
        <v>686</v>
      </c>
      <c r="G751" s="20"/>
      <c r="H751" s="29"/>
      <c r="I751" s="29"/>
      <c r="J751" s="29"/>
      <c r="K751" s="29"/>
      <c r="L751" s="29"/>
      <c r="M751" s="29"/>
      <c r="N751" s="29"/>
      <c r="O751" s="97"/>
    </row>
    <row r="752" spans="1:15">
      <c r="A752" s="125"/>
      <c r="B752" s="127"/>
      <c r="C752" s="124" t="s">
        <v>169</v>
      </c>
      <c r="D752" s="114" t="str">
        <f>$A$692</f>
        <v>2.6.6</v>
      </c>
      <c r="E752" s="114" t="s">
        <v>361</v>
      </c>
      <c r="F752" s="12" t="s">
        <v>169</v>
      </c>
      <c r="G752" s="19"/>
      <c r="H752" s="28"/>
      <c r="I752" s="28"/>
      <c r="J752" s="28"/>
      <c r="K752" s="28"/>
      <c r="L752" s="28"/>
      <c r="M752" s="28"/>
      <c r="N752" s="28"/>
      <c r="O752" s="99"/>
    </row>
    <row r="753" spans="1:15" ht="30">
      <c r="A753" s="125"/>
      <c r="B753" s="127"/>
      <c r="C753" s="125"/>
      <c r="D753" s="115"/>
      <c r="E753" s="115"/>
      <c r="F753" s="11" t="s">
        <v>651</v>
      </c>
      <c r="G753" s="20" t="s">
        <v>652</v>
      </c>
      <c r="H753" s="29" t="str">
        <f>VLOOKUP(G753,'insumos terrapl'!$C$3:$K$47,2,0)</f>
        <v>2Q  66  10  02  00  00  00</v>
      </c>
      <c r="I753" s="29" t="str">
        <f>VLOOKUP(G753,'insumos terrapl'!$C$3:$K$47,3,0)</f>
        <v>2Q</v>
      </c>
      <c r="J753" s="29">
        <f>VLOOKUP(G753,'insumos terrapl'!$C$3:$K$47,4,0)</f>
        <v>66</v>
      </c>
      <c r="K753" s="29" t="str">
        <f>VLOOKUP(G753,'insumos terrapl'!$C$3:$K$47,5,0)</f>
        <v>10</v>
      </c>
      <c r="L753" s="29" t="str">
        <f>VLOOKUP(G753,'insumos terrapl'!$C$3:$K$47,6,0)</f>
        <v>02</v>
      </c>
      <c r="M753" s="29" t="str">
        <f>VLOOKUP(G753,'insumos terrapl'!$C$3:$K$47,7,0)</f>
        <v>00</v>
      </c>
      <c r="N753" s="29" t="str">
        <f>VLOOKUP(G753,'insumos terrapl'!$C$3:$K$47,8,0)</f>
        <v>00</v>
      </c>
      <c r="O753" s="97" t="str">
        <f>VLOOKUP(G753,'insumos terrapl'!$C$3:$K$47,9,0)</f>
        <v>00</v>
      </c>
    </row>
    <row r="754" spans="1:15" ht="30">
      <c r="A754" s="125"/>
      <c r="B754" s="127"/>
      <c r="C754" s="125"/>
      <c r="D754" s="115"/>
      <c r="E754" s="115"/>
      <c r="F754" s="11" t="s">
        <v>655</v>
      </c>
      <c r="G754" s="20" t="s">
        <v>656</v>
      </c>
      <c r="H754" s="29" t="str">
        <f>VLOOKUP(G754,'insumos terrapl'!$C$3:$K$47,2,0)</f>
        <v>2Q  62  02  10  00  00  00</v>
      </c>
      <c r="I754" s="29" t="str">
        <f>VLOOKUP(G754,'insumos terrapl'!$C$3:$K$47,3,0)</f>
        <v>2Q</v>
      </c>
      <c r="J754" s="29">
        <f>VLOOKUP(G754,'insumos terrapl'!$C$3:$K$47,4,0)</f>
        <v>62</v>
      </c>
      <c r="K754" s="29" t="str">
        <f>VLOOKUP(G754,'insumos terrapl'!$C$3:$K$47,5,0)</f>
        <v>02</v>
      </c>
      <c r="L754" s="29" t="str">
        <f>VLOOKUP(G754,'insumos terrapl'!$C$3:$K$47,6,0)</f>
        <v>10</v>
      </c>
      <c r="M754" s="29" t="str">
        <f>VLOOKUP(G754,'insumos terrapl'!$C$3:$K$47,7,0)</f>
        <v>00</v>
      </c>
      <c r="N754" s="29" t="str">
        <f>VLOOKUP(G754,'insumos terrapl'!$C$3:$K$47,8,0)</f>
        <v>00</v>
      </c>
      <c r="O754" s="97" t="str">
        <f>VLOOKUP(G754,'insumos terrapl'!$C$3:$K$47,9,0)</f>
        <v>00</v>
      </c>
    </row>
    <row r="755" spans="1:15">
      <c r="A755" s="125"/>
      <c r="B755" s="127"/>
      <c r="C755" s="125"/>
      <c r="D755" s="115"/>
      <c r="E755" s="115"/>
      <c r="F755" s="11" t="s">
        <v>588</v>
      </c>
      <c r="G755" s="20" t="s">
        <v>589</v>
      </c>
      <c r="H755" s="29" t="str">
        <f>VLOOKUP(G755,'insumos terrapl'!$C$3:$K$47,2,0)</f>
        <v>2N  20  14  08  00  00  00</v>
      </c>
      <c r="I755" s="29" t="str">
        <f>VLOOKUP(G755,'insumos terrapl'!$C$3:$K$47,3,0)</f>
        <v>2N</v>
      </c>
      <c r="J755" s="29">
        <f>VLOOKUP(G755,'insumos terrapl'!$C$3:$K$47,4,0)</f>
        <v>20</v>
      </c>
      <c r="K755" s="29">
        <f>VLOOKUP(G755,'insumos terrapl'!$C$3:$K$47,5,0)</f>
        <v>14</v>
      </c>
      <c r="L755" s="29" t="str">
        <f>VLOOKUP(G755,'insumos terrapl'!$C$3:$K$47,6,0)</f>
        <v>08</v>
      </c>
      <c r="M755" s="29" t="str">
        <f>VLOOKUP(G755,'insumos terrapl'!$C$3:$K$47,7,0)</f>
        <v>00</v>
      </c>
      <c r="N755" s="29" t="str">
        <f>VLOOKUP(G755,'insumos terrapl'!$C$3:$K$47,8,0)</f>
        <v>00</v>
      </c>
      <c r="O755" s="97" t="str">
        <f>VLOOKUP(G755,'insumos terrapl'!$C$3:$K$47,9,0)</f>
        <v>00</v>
      </c>
    </row>
    <row r="756" spans="1:15">
      <c r="A756" s="125"/>
      <c r="B756" s="127"/>
      <c r="C756" s="132"/>
      <c r="D756" s="116"/>
      <c r="E756" s="116"/>
      <c r="F756" s="13"/>
      <c r="G756" s="21"/>
      <c r="H756" s="31"/>
      <c r="I756" s="31"/>
      <c r="J756" s="31"/>
      <c r="K756" s="31"/>
      <c r="L756" s="31"/>
      <c r="M756" s="31"/>
      <c r="N756" s="31"/>
      <c r="O756" s="98"/>
    </row>
    <row r="757" spans="1:15">
      <c r="A757" s="125"/>
      <c r="B757" s="127"/>
      <c r="C757" s="124" t="s">
        <v>170</v>
      </c>
      <c r="D757" s="114" t="str">
        <f>$A$692</f>
        <v>2.6.6</v>
      </c>
      <c r="E757" s="115" t="s">
        <v>363</v>
      </c>
      <c r="F757" s="11" t="s">
        <v>170</v>
      </c>
      <c r="G757" s="20"/>
      <c r="H757" s="29"/>
      <c r="I757" s="29"/>
      <c r="J757" s="29"/>
      <c r="K757" s="29"/>
      <c r="L757" s="29"/>
      <c r="M757" s="29"/>
      <c r="N757" s="29"/>
      <c r="O757" s="97"/>
    </row>
    <row r="758" spans="1:15" ht="30">
      <c r="A758" s="125"/>
      <c r="B758" s="127"/>
      <c r="C758" s="125"/>
      <c r="D758" s="115"/>
      <c r="E758" s="115"/>
      <c r="F758" s="11" t="s">
        <v>651</v>
      </c>
      <c r="G758" s="20" t="s">
        <v>652</v>
      </c>
      <c r="H758" s="29" t="str">
        <f>VLOOKUP(G758,'insumos terrapl'!$C$3:$K$47,2,0)</f>
        <v>2Q  66  10  02  00  00  00</v>
      </c>
      <c r="I758" s="29" t="str">
        <f>VLOOKUP(G758,'insumos terrapl'!$C$3:$K$47,3,0)</f>
        <v>2Q</v>
      </c>
      <c r="J758" s="29">
        <f>VLOOKUP(G758,'insumos terrapl'!$C$3:$K$47,4,0)</f>
        <v>66</v>
      </c>
      <c r="K758" s="29" t="str">
        <f>VLOOKUP(G758,'insumos terrapl'!$C$3:$K$47,5,0)</f>
        <v>10</v>
      </c>
      <c r="L758" s="29" t="str">
        <f>VLOOKUP(G758,'insumos terrapl'!$C$3:$K$47,6,0)</f>
        <v>02</v>
      </c>
      <c r="M758" s="29" t="str">
        <f>VLOOKUP(G758,'insumos terrapl'!$C$3:$K$47,7,0)</f>
        <v>00</v>
      </c>
      <c r="N758" s="29" t="str">
        <f>VLOOKUP(G758,'insumos terrapl'!$C$3:$K$47,8,0)</f>
        <v>00</v>
      </c>
      <c r="O758" s="97" t="str">
        <f>VLOOKUP(G758,'insumos terrapl'!$C$3:$K$47,9,0)</f>
        <v>00</v>
      </c>
    </row>
    <row r="759" spans="1:15" ht="30">
      <c r="A759" s="125"/>
      <c r="B759" s="127"/>
      <c r="C759" s="125"/>
      <c r="D759" s="115"/>
      <c r="E759" s="115"/>
      <c r="F759" s="11" t="s">
        <v>655</v>
      </c>
      <c r="G759" s="20" t="s">
        <v>656</v>
      </c>
      <c r="H759" s="29" t="str">
        <f>VLOOKUP(G759,'insumos terrapl'!$C$3:$K$47,2,0)</f>
        <v>2Q  62  02  10  00  00  00</v>
      </c>
      <c r="I759" s="29" t="str">
        <f>VLOOKUP(G759,'insumos terrapl'!$C$3:$K$47,3,0)</f>
        <v>2Q</v>
      </c>
      <c r="J759" s="29">
        <f>VLOOKUP(G759,'insumos terrapl'!$C$3:$K$47,4,0)</f>
        <v>62</v>
      </c>
      <c r="K759" s="29" t="str">
        <f>VLOOKUP(G759,'insumos terrapl'!$C$3:$K$47,5,0)</f>
        <v>02</v>
      </c>
      <c r="L759" s="29" t="str">
        <f>VLOOKUP(G759,'insumos terrapl'!$C$3:$K$47,6,0)</f>
        <v>10</v>
      </c>
      <c r="M759" s="29" t="str">
        <f>VLOOKUP(G759,'insumos terrapl'!$C$3:$K$47,7,0)</f>
        <v>00</v>
      </c>
      <c r="N759" s="29" t="str">
        <f>VLOOKUP(G759,'insumos terrapl'!$C$3:$K$47,8,0)</f>
        <v>00</v>
      </c>
      <c r="O759" s="97" t="str">
        <f>VLOOKUP(G759,'insumos terrapl'!$C$3:$K$47,9,0)</f>
        <v>00</v>
      </c>
    </row>
    <row r="760" spans="1:15">
      <c r="A760" s="125"/>
      <c r="B760" s="127"/>
      <c r="C760" s="125"/>
      <c r="D760" s="115"/>
      <c r="E760" s="115"/>
      <c r="F760" s="11" t="s">
        <v>588</v>
      </c>
      <c r="G760" s="20" t="s">
        <v>589</v>
      </c>
      <c r="H760" s="29" t="str">
        <f>VLOOKUP(G760,'insumos terrapl'!$C$3:$K$47,2,0)</f>
        <v>2N  20  14  08  00  00  00</v>
      </c>
      <c r="I760" s="29" t="str">
        <f>VLOOKUP(G760,'insumos terrapl'!$C$3:$K$47,3,0)</f>
        <v>2N</v>
      </c>
      <c r="J760" s="29">
        <f>VLOOKUP(G760,'insumos terrapl'!$C$3:$K$47,4,0)</f>
        <v>20</v>
      </c>
      <c r="K760" s="29">
        <f>VLOOKUP(G760,'insumos terrapl'!$C$3:$K$47,5,0)</f>
        <v>14</v>
      </c>
      <c r="L760" s="29" t="str">
        <f>VLOOKUP(G760,'insumos terrapl'!$C$3:$K$47,6,0)</f>
        <v>08</v>
      </c>
      <c r="M760" s="29" t="str">
        <f>VLOOKUP(G760,'insumos terrapl'!$C$3:$K$47,7,0)</f>
        <v>00</v>
      </c>
      <c r="N760" s="29" t="str">
        <f>VLOOKUP(G760,'insumos terrapl'!$C$3:$K$47,8,0)</f>
        <v>00</v>
      </c>
      <c r="O760" s="97" t="str">
        <f>VLOOKUP(G760,'insumos terrapl'!$C$3:$K$47,9,0)</f>
        <v>00</v>
      </c>
    </row>
    <row r="761" spans="1:15">
      <c r="A761" s="125"/>
      <c r="B761" s="127"/>
      <c r="C761" s="132"/>
      <c r="D761" s="116"/>
      <c r="E761" s="115"/>
      <c r="F761" s="10"/>
      <c r="G761" s="20"/>
      <c r="H761" s="29"/>
      <c r="I761" s="29"/>
      <c r="J761" s="29"/>
      <c r="K761" s="29"/>
      <c r="L761" s="29"/>
      <c r="M761" s="29"/>
      <c r="N761" s="29"/>
      <c r="O761" s="97"/>
    </row>
    <row r="762" spans="1:15">
      <c r="A762" s="125"/>
      <c r="B762" s="127"/>
      <c r="C762" s="124" t="s">
        <v>171</v>
      </c>
      <c r="D762" s="114" t="str">
        <f>$A$692</f>
        <v>2.6.6</v>
      </c>
      <c r="E762" s="114" t="s">
        <v>365</v>
      </c>
      <c r="F762" s="12" t="s">
        <v>171</v>
      </c>
      <c r="G762" s="19"/>
      <c r="H762" s="28"/>
      <c r="I762" s="28"/>
      <c r="J762" s="28"/>
      <c r="K762" s="28"/>
      <c r="L762" s="28"/>
      <c r="M762" s="28"/>
      <c r="N762" s="28"/>
      <c r="O762" s="99"/>
    </row>
    <row r="763" spans="1:15" ht="30">
      <c r="A763" s="125"/>
      <c r="B763" s="127"/>
      <c r="C763" s="125"/>
      <c r="D763" s="115"/>
      <c r="E763" s="115"/>
      <c r="F763" s="11" t="s">
        <v>651</v>
      </c>
      <c r="G763" s="20" t="s">
        <v>652</v>
      </c>
      <c r="H763" s="29" t="str">
        <f>VLOOKUP(G763,'insumos terrapl'!$C$3:$K$47,2,0)</f>
        <v>2Q  66  10  02  00  00  00</v>
      </c>
      <c r="I763" s="29" t="str">
        <f>VLOOKUP(G763,'insumos terrapl'!$C$3:$K$47,3,0)</f>
        <v>2Q</v>
      </c>
      <c r="J763" s="29">
        <f>VLOOKUP(G763,'insumos terrapl'!$C$3:$K$47,4,0)</f>
        <v>66</v>
      </c>
      <c r="K763" s="29" t="str">
        <f>VLOOKUP(G763,'insumos terrapl'!$C$3:$K$47,5,0)</f>
        <v>10</v>
      </c>
      <c r="L763" s="29" t="str">
        <f>VLOOKUP(G763,'insumos terrapl'!$C$3:$K$47,6,0)</f>
        <v>02</v>
      </c>
      <c r="M763" s="29" t="str">
        <f>VLOOKUP(G763,'insumos terrapl'!$C$3:$K$47,7,0)</f>
        <v>00</v>
      </c>
      <c r="N763" s="29" t="str">
        <f>VLOOKUP(G763,'insumos terrapl'!$C$3:$K$47,8,0)</f>
        <v>00</v>
      </c>
      <c r="O763" s="97" t="str">
        <f>VLOOKUP(G763,'insumos terrapl'!$C$3:$K$47,9,0)</f>
        <v>00</v>
      </c>
    </row>
    <row r="764" spans="1:15" ht="30">
      <c r="A764" s="125"/>
      <c r="B764" s="127"/>
      <c r="C764" s="125"/>
      <c r="D764" s="115"/>
      <c r="E764" s="115"/>
      <c r="F764" s="11" t="s">
        <v>655</v>
      </c>
      <c r="G764" s="20" t="s">
        <v>656</v>
      </c>
      <c r="H764" s="29" t="str">
        <f>VLOOKUP(G764,'insumos terrapl'!$C$3:$K$47,2,0)</f>
        <v>2Q  62  02  10  00  00  00</v>
      </c>
      <c r="I764" s="29" t="str">
        <f>VLOOKUP(G764,'insumos terrapl'!$C$3:$K$47,3,0)</f>
        <v>2Q</v>
      </c>
      <c r="J764" s="29">
        <f>VLOOKUP(G764,'insumos terrapl'!$C$3:$K$47,4,0)</f>
        <v>62</v>
      </c>
      <c r="K764" s="29" t="str">
        <f>VLOOKUP(G764,'insumos terrapl'!$C$3:$K$47,5,0)</f>
        <v>02</v>
      </c>
      <c r="L764" s="29" t="str">
        <f>VLOOKUP(G764,'insumos terrapl'!$C$3:$K$47,6,0)</f>
        <v>10</v>
      </c>
      <c r="M764" s="29" t="str">
        <f>VLOOKUP(G764,'insumos terrapl'!$C$3:$K$47,7,0)</f>
        <v>00</v>
      </c>
      <c r="N764" s="29" t="str">
        <f>VLOOKUP(G764,'insumos terrapl'!$C$3:$K$47,8,0)</f>
        <v>00</v>
      </c>
      <c r="O764" s="97" t="str">
        <f>VLOOKUP(G764,'insumos terrapl'!$C$3:$K$47,9,0)</f>
        <v>00</v>
      </c>
    </row>
    <row r="765" spans="1:15">
      <c r="A765" s="125"/>
      <c r="B765" s="127"/>
      <c r="C765" s="125"/>
      <c r="D765" s="115"/>
      <c r="E765" s="115"/>
      <c r="F765" s="11" t="s">
        <v>588</v>
      </c>
      <c r="G765" s="20" t="s">
        <v>589</v>
      </c>
      <c r="H765" s="29" t="str">
        <f>VLOOKUP(G765,'insumos terrapl'!$C$3:$K$47,2,0)</f>
        <v>2N  20  14  08  00  00  00</v>
      </c>
      <c r="I765" s="29" t="str">
        <f>VLOOKUP(G765,'insumos terrapl'!$C$3:$K$47,3,0)</f>
        <v>2N</v>
      </c>
      <c r="J765" s="29">
        <f>VLOOKUP(G765,'insumos terrapl'!$C$3:$K$47,4,0)</f>
        <v>20</v>
      </c>
      <c r="K765" s="29">
        <f>VLOOKUP(G765,'insumos terrapl'!$C$3:$K$47,5,0)</f>
        <v>14</v>
      </c>
      <c r="L765" s="29" t="str">
        <f>VLOOKUP(G765,'insumos terrapl'!$C$3:$K$47,6,0)</f>
        <v>08</v>
      </c>
      <c r="M765" s="29" t="str">
        <f>VLOOKUP(G765,'insumos terrapl'!$C$3:$K$47,7,0)</f>
        <v>00</v>
      </c>
      <c r="N765" s="29" t="str">
        <f>VLOOKUP(G765,'insumos terrapl'!$C$3:$K$47,8,0)</f>
        <v>00</v>
      </c>
      <c r="O765" s="97" t="str">
        <f>VLOOKUP(G765,'insumos terrapl'!$C$3:$K$47,9,0)</f>
        <v>00</v>
      </c>
    </row>
    <row r="766" spans="1:15">
      <c r="A766" s="125"/>
      <c r="B766" s="127"/>
      <c r="C766" s="132"/>
      <c r="D766" s="116"/>
      <c r="E766" s="116"/>
      <c r="F766" s="13"/>
      <c r="G766" s="21"/>
      <c r="H766" s="31"/>
      <c r="I766" s="31"/>
      <c r="J766" s="31"/>
      <c r="K766" s="31"/>
      <c r="L766" s="31"/>
      <c r="M766" s="31"/>
      <c r="N766" s="31"/>
      <c r="O766" s="98"/>
    </row>
    <row r="767" spans="1:15">
      <c r="A767" s="125"/>
      <c r="B767" s="127"/>
      <c r="C767" s="124" t="s">
        <v>172</v>
      </c>
      <c r="D767" s="114" t="str">
        <f>$A$692</f>
        <v>2.6.6</v>
      </c>
      <c r="E767" s="115" t="s">
        <v>367</v>
      </c>
      <c r="F767" s="11" t="s">
        <v>172</v>
      </c>
      <c r="G767" s="20"/>
      <c r="H767" s="29"/>
      <c r="I767" s="29"/>
      <c r="J767" s="29"/>
      <c r="K767" s="29"/>
      <c r="L767" s="29"/>
      <c r="M767" s="29"/>
      <c r="N767" s="29"/>
      <c r="O767" s="97"/>
    </row>
    <row r="768" spans="1:15" ht="30">
      <c r="A768" s="125"/>
      <c r="B768" s="127"/>
      <c r="C768" s="125"/>
      <c r="D768" s="115"/>
      <c r="E768" s="115"/>
      <c r="F768" s="11" t="s">
        <v>651</v>
      </c>
      <c r="G768" s="20" t="s">
        <v>652</v>
      </c>
      <c r="H768" s="29" t="str">
        <f>VLOOKUP(G768,'insumos terrapl'!$C$3:$K$47,2,0)</f>
        <v>2Q  66  10  02  00  00  00</v>
      </c>
      <c r="I768" s="29" t="str">
        <f>VLOOKUP(G768,'insumos terrapl'!$C$3:$K$47,3,0)</f>
        <v>2Q</v>
      </c>
      <c r="J768" s="29">
        <f>VLOOKUP(G768,'insumos terrapl'!$C$3:$K$47,4,0)</f>
        <v>66</v>
      </c>
      <c r="K768" s="29" t="str">
        <f>VLOOKUP(G768,'insumos terrapl'!$C$3:$K$47,5,0)</f>
        <v>10</v>
      </c>
      <c r="L768" s="29" t="str">
        <f>VLOOKUP(G768,'insumos terrapl'!$C$3:$K$47,6,0)</f>
        <v>02</v>
      </c>
      <c r="M768" s="29" t="str">
        <f>VLOOKUP(G768,'insumos terrapl'!$C$3:$K$47,7,0)</f>
        <v>00</v>
      </c>
      <c r="N768" s="29" t="str">
        <f>VLOOKUP(G768,'insumos terrapl'!$C$3:$K$47,8,0)</f>
        <v>00</v>
      </c>
      <c r="O768" s="97" t="str">
        <f>VLOOKUP(G768,'insumos terrapl'!$C$3:$K$47,9,0)</f>
        <v>00</v>
      </c>
    </row>
    <row r="769" spans="1:15" ht="30">
      <c r="A769" s="125"/>
      <c r="B769" s="127"/>
      <c r="C769" s="125"/>
      <c r="D769" s="115"/>
      <c r="E769" s="115"/>
      <c r="F769" s="11" t="s">
        <v>655</v>
      </c>
      <c r="G769" s="20" t="s">
        <v>656</v>
      </c>
      <c r="H769" s="29" t="str">
        <f>VLOOKUP(G769,'insumos terrapl'!$C$3:$K$47,2,0)</f>
        <v>2Q  62  02  10  00  00  00</v>
      </c>
      <c r="I769" s="29" t="str">
        <f>VLOOKUP(G769,'insumos terrapl'!$C$3:$K$47,3,0)</f>
        <v>2Q</v>
      </c>
      <c r="J769" s="29">
        <f>VLOOKUP(G769,'insumos terrapl'!$C$3:$K$47,4,0)</f>
        <v>62</v>
      </c>
      <c r="K769" s="29" t="str">
        <f>VLOOKUP(G769,'insumos terrapl'!$C$3:$K$47,5,0)</f>
        <v>02</v>
      </c>
      <c r="L769" s="29" t="str">
        <f>VLOOKUP(G769,'insumos terrapl'!$C$3:$K$47,6,0)</f>
        <v>10</v>
      </c>
      <c r="M769" s="29" t="str">
        <f>VLOOKUP(G769,'insumos terrapl'!$C$3:$K$47,7,0)</f>
        <v>00</v>
      </c>
      <c r="N769" s="29" t="str">
        <f>VLOOKUP(G769,'insumos terrapl'!$C$3:$K$47,8,0)</f>
        <v>00</v>
      </c>
      <c r="O769" s="97" t="str">
        <f>VLOOKUP(G769,'insumos terrapl'!$C$3:$K$47,9,0)</f>
        <v>00</v>
      </c>
    </row>
    <row r="770" spans="1:15">
      <c r="A770" s="125"/>
      <c r="B770" s="127"/>
      <c r="C770" s="125"/>
      <c r="D770" s="115"/>
      <c r="E770" s="115"/>
      <c r="F770" s="11" t="s">
        <v>588</v>
      </c>
      <c r="G770" s="20" t="s">
        <v>589</v>
      </c>
      <c r="H770" s="29" t="str">
        <f>VLOOKUP(G770,'insumos terrapl'!$C$3:$K$47,2,0)</f>
        <v>2N  20  14  08  00  00  00</v>
      </c>
      <c r="I770" s="29" t="str">
        <f>VLOOKUP(G770,'insumos terrapl'!$C$3:$K$47,3,0)</f>
        <v>2N</v>
      </c>
      <c r="J770" s="29">
        <f>VLOOKUP(G770,'insumos terrapl'!$C$3:$K$47,4,0)</f>
        <v>20</v>
      </c>
      <c r="K770" s="29">
        <f>VLOOKUP(G770,'insumos terrapl'!$C$3:$K$47,5,0)</f>
        <v>14</v>
      </c>
      <c r="L770" s="29" t="str">
        <f>VLOOKUP(G770,'insumos terrapl'!$C$3:$K$47,6,0)</f>
        <v>08</v>
      </c>
      <c r="M770" s="29" t="str">
        <f>VLOOKUP(G770,'insumos terrapl'!$C$3:$K$47,7,0)</f>
        <v>00</v>
      </c>
      <c r="N770" s="29" t="str">
        <f>VLOOKUP(G770,'insumos terrapl'!$C$3:$K$47,8,0)</f>
        <v>00</v>
      </c>
      <c r="O770" s="97" t="str">
        <f>VLOOKUP(G770,'insumos terrapl'!$C$3:$K$47,9,0)</f>
        <v>00</v>
      </c>
    </row>
    <row r="771" spans="1:15">
      <c r="A771" s="125"/>
      <c r="B771" s="127"/>
      <c r="C771" s="132"/>
      <c r="D771" s="116"/>
      <c r="E771" s="115"/>
      <c r="F771" s="10"/>
      <c r="G771" s="20"/>
      <c r="H771" s="29"/>
      <c r="I771" s="29"/>
      <c r="J771" s="29"/>
      <c r="K771" s="29"/>
      <c r="L771" s="29"/>
      <c r="M771" s="29"/>
      <c r="N771" s="29"/>
      <c r="O771" s="97"/>
    </row>
    <row r="772" spans="1:15">
      <c r="A772" s="125"/>
      <c r="B772" s="127"/>
      <c r="C772" s="124" t="s">
        <v>173</v>
      </c>
      <c r="D772" s="114" t="str">
        <f>A692</f>
        <v>2.6.6</v>
      </c>
      <c r="E772" s="115" t="s">
        <v>369</v>
      </c>
      <c r="F772" s="10"/>
      <c r="G772" s="20"/>
      <c r="H772" s="29"/>
      <c r="I772" s="29"/>
      <c r="J772" s="29"/>
      <c r="K772" s="29"/>
      <c r="L772" s="29"/>
      <c r="M772" s="29"/>
      <c r="N772" s="29"/>
      <c r="O772" s="97"/>
    </row>
    <row r="773" spans="1:15" ht="30">
      <c r="A773" s="125"/>
      <c r="B773" s="127"/>
      <c r="C773" s="125"/>
      <c r="D773" s="115"/>
      <c r="E773" s="115"/>
      <c r="F773" s="11" t="s">
        <v>651</v>
      </c>
      <c r="G773" s="20" t="s">
        <v>652</v>
      </c>
      <c r="H773" s="29" t="str">
        <f>VLOOKUP(G773,'insumos terrapl'!$C$3:$K$47,2,0)</f>
        <v>2Q  66  10  02  00  00  00</v>
      </c>
      <c r="I773" s="29" t="str">
        <f>VLOOKUP(G773,'insumos terrapl'!$C$3:$K$47,3,0)</f>
        <v>2Q</v>
      </c>
      <c r="J773" s="29">
        <f>VLOOKUP(G773,'insumos terrapl'!$C$3:$K$47,4,0)</f>
        <v>66</v>
      </c>
      <c r="K773" s="29" t="str">
        <f>VLOOKUP(G773,'insumos terrapl'!$C$3:$K$47,5,0)</f>
        <v>10</v>
      </c>
      <c r="L773" s="29" t="str">
        <f>VLOOKUP(G773,'insumos terrapl'!$C$3:$K$47,6,0)</f>
        <v>02</v>
      </c>
      <c r="M773" s="29" t="str">
        <f>VLOOKUP(G773,'insumos terrapl'!$C$3:$K$47,7,0)</f>
        <v>00</v>
      </c>
      <c r="N773" s="29" t="str">
        <f>VLOOKUP(G773,'insumos terrapl'!$C$3:$K$47,8,0)</f>
        <v>00</v>
      </c>
      <c r="O773" s="97" t="str">
        <f>VLOOKUP(G773,'insumos terrapl'!$C$3:$K$47,9,0)</f>
        <v>00</v>
      </c>
    </row>
    <row r="774" spans="1:15" ht="30">
      <c r="A774" s="125"/>
      <c r="B774" s="127"/>
      <c r="C774" s="125"/>
      <c r="D774" s="115"/>
      <c r="E774" s="115"/>
      <c r="F774" s="11" t="s">
        <v>655</v>
      </c>
      <c r="G774" s="20" t="s">
        <v>656</v>
      </c>
      <c r="H774" s="29" t="str">
        <f>VLOOKUP(G774,'insumos terrapl'!$C$3:$K$47,2,0)</f>
        <v>2Q  62  02  10  00  00  00</v>
      </c>
      <c r="I774" s="29" t="str">
        <f>VLOOKUP(G774,'insumos terrapl'!$C$3:$K$47,3,0)</f>
        <v>2Q</v>
      </c>
      <c r="J774" s="29">
        <f>VLOOKUP(G774,'insumos terrapl'!$C$3:$K$47,4,0)</f>
        <v>62</v>
      </c>
      <c r="K774" s="29" t="str">
        <f>VLOOKUP(G774,'insumos terrapl'!$C$3:$K$47,5,0)</f>
        <v>02</v>
      </c>
      <c r="L774" s="29" t="str">
        <f>VLOOKUP(G774,'insumos terrapl'!$C$3:$K$47,6,0)</f>
        <v>10</v>
      </c>
      <c r="M774" s="29" t="str">
        <f>VLOOKUP(G774,'insumos terrapl'!$C$3:$K$47,7,0)</f>
        <v>00</v>
      </c>
      <c r="N774" s="29" t="str">
        <f>VLOOKUP(G774,'insumos terrapl'!$C$3:$K$47,8,0)</f>
        <v>00</v>
      </c>
      <c r="O774" s="97" t="str">
        <f>VLOOKUP(G774,'insumos terrapl'!$C$3:$K$47,9,0)</f>
        <v>00</v>
      </c>
    </row>
    <row r="775" spans="1:15">
      <c r="A775" s="125"/>
      <c r="B775" s="127"/>
      <c r="C775" s="125"/>
      <c r="D775" s="115"/>
      <c r="E775" s="115"/>
      <c r="F775" s="11" t="s">
        <v>588</v>
      </c>
      <c r="G775" s="20" t="s">
        <v>589</v>
      </c>
      <c r="H775" s="29" t="str">
        <f>VLOOKUP(G775,'insumos terrapl'!$C$3:$K$47,2,0)</f>
        <v>2N  20  14  08  00  00  00</v>
      </c>
      <c r="I775" s="29" t="str">
        <f>VLOOKUP(G775,'insumos terrapl'!$C$3:$K$47,3,0)</f>
        <v>2N</v>
      </c>
      <c r="J775" s="29">
        <f>VLOOKUP(G775,'insumos terrapl'!$C$3:$K$47,4,0)</f>
        <v>20</v>
      </c>
      <c r="K775" s="29">
        <f>VLOOKUP(G775,'insumos terrapl'!$C$3:$K$47,5,0)</f>
        <v>14</v>
      </c>
      <c r="L775" s="29" t="str">
        <f>VLOOKUP(G775,'insumos terrapl'!$C$3:$K$47,6,0)</f>
        <v>08</v>
      </c>
      <c r="M775" s="29" t="str">
        <f>VLOOKUP(G775,'insumos terrapl'!$C$3:$K$47,7,0)</f>
        <v>00</v>
      </c>
      <c r="N775" s="29" t="str">
        <f>VLOOKUP(G775,'insumos terrapl'!$C$3:$K$47,8,0)</f>
        <v>00</v>
      </c>
      <c r="O775" s="97" t="str">
        <f>VLOOKUP(G775,'insumos terrapl'!$C$3:$K$47,9,0)</f>
        <v>00</v>
      </c>
    </row>
    <row r="776" spans="1:15">
      <c r="A776" s="125"/>
      <c r="B776" s="127"/>
      <c r="C776" s="132"/>
      <c r="D776" s="116"/>
      <c r="E776" s="115"/>
      <c r="F776" s="10"/>
      <c r="G776" s="20"/>
      <c r="H776" s="29"/>
      <c r="I776" s="29"/>
      <c r="J776" s="29"/>
      <c r="K776" s="29"/>
      <c r="L776" s="29"/>
      <c r="M776" s="29"/>
      <c r="N776" s="29"/>
      <c r="O776" s="97"/>
    </row>
    <row r="777" spans="1:15">
      <c r="A777" s="125"/>
      <c r="B777" s="127"/>
      <c r="C777" s="124" t="s">
        <v>174</v>
      </c>
      <c r="D777" s="114" t="str">
        <f>$A$692</f>
        <v>2.6.6</v>
      </c>
      <c r="E777" s="114" t="s">
        <v>372</v>
      </c>
      <c r="F777" s="12" t="s">
        <v>174</v>
      </c>
      <c r="G777" s="19"/>
      <c r="H777" s="28"/>
      <c r="I777" s="28"/>
      <c r="J777" s="28"/>
      <c r="K777" s="28"/>
      <c r="L777" s="28"/>
      <c r="M777" s="28"/>
      <c r="N777" s="28"/>
      <c r="O777" s="99"/>
    </row>
    <row r="778" spans="1:15" ht="30">
      <c r="A778" s="125"/>
      <c r="B778" s="127"/>
      <c r="C778" s="125"/>
      <c r="D778" s="115"/>
      <c r="E778" s="115"/>
      <c r="F778" s="11" t="s">
        <v>651</v>
      </c>
      <c r="G778" s="20" t="s">
        <v>652</v>
      </c>
      <c r="H778" s="29" t="str">
        <f>VLOOKUP(G778,'insumos terrapl'!$C$3:$K$47,2,0)</f>
        <v>2Q  66  10  02  00  00  00</v>
      </c>
      <c r="I778" s="29" t="str">
        <f>VLOOKUP(G778,'insumos terrapl'!$C$3:$K$47,3,0)</f>
        <v>2Q</v>
      </c>
      <c r="J778" s="29">
        <f>VLOOKUP(G778,'insumos terrapl'!$C$3:$K$47,4,0)</f>
        <v>66</v>
      </c>
      <c r="K778" s="29" t="str">
        <f>VLOOKUP(G778,'insumos terrapl'!$C$3:$K$47,5,0)</f>
        <v>10</v>
      </c>
      <c r="L778" s="29" t="str">
        <f>VLOOKUP(G778,'insumos terrapl'!$C$3:$K$47,6,0)</f>
        <v>02</v>
      </c>
      <c r="M778" s="29" t="str">
        <f>VLOOKUP(G778,'insumos terrapl'!$C$3:$K$47,7,0)</f>
        <v>00</v>
      </c>
      <c r="N778" s="29" t="str">
        <f>VLOOKUP(G778,'insumos terrapl'!$C$3:$K$47,8,0)</f>
        <v>00</v>
      </c>
      <c r="O778" s="97" t="str">
        <f>VLOOKUP(G778,'insumos terrapl'!$C$3:$K$47,9,0)</f>
        <v>00</v>
      </c>
    </row>
    <row r="779" spans="1:15" ht="30">
      <c r="A779" s="125"/>
      <c r="B779" s="127"/>
      <c r="C779" s="125"/>
      <c r="D779" s="115"/>
      <c r="E779" s="115"/>
      <c r="F779" s="11" t="s">
        <v>655</v>
      </c>
      <c r="G779" s="20" t="s">
        <v>656</v>
      </c>
      <c r="H779" s="29" t="str">
        <f>VLOOKUP(G779,'insumos terrapl'!$C$3:$K$47,2,0)</f>
        <v>2Q  62  02  10  00  00  00</v>
      </c>
      <c r="I779" s="29" t="str">
        <f>VLOOKUP(G779,'insumos terrapl'!$C$3:$K$47,3,0)</f>
        <v>2Q</v>
      </c>
      <c r="J779" s="29">
        <f>VLOOKUP(G779,'insumos terrapl'!$C$3:$K$47,4,0)</f>
        <v>62</v>
      </c>
      <c r="K779" s="29" t="str">
        <f>VLOOKUP(G779,'insumos terrapl'!$C$3:$K$47,5,0)</f>
        <v>02</v>
      </c>
      <c r="L779" s="29" t="str">
        <f>VLOOKUP(G779,'insumos terrapl'!$C$3:$K$47,6,0)</f>
        <v>10</v>
      </c>
      <c r="M779" s="29" t="str">
        <f>VLOOKUP(G779,'insumos terrapl'!$C$3:$K$47,7,0)</f>
        <v>00</v>
      </c>
      <c r="N779" s="29" t="str">
        <f>VLOOKUP(G779,'insumos terrapl'!$C$3:$K$47,8,0)</f>
        <v>00</v>
      </c>
      <c r="O779" s="97" t="str">
        <f>VLOOKUP(G779,'insumos terrapl'!$C$3:$K$47,9,0)</f>
        <v>00</v>
      </c>
    </row>
    <row r="780" spans="1:15">
      <c r="A780" s="125"/>
      <c r="B780" s="127"/>
      <c r="C780" s="125"/>
      <c r="D780" s="115"/>
      <c r="E780" s="115"/>
      <c r="F780" s="11" t="s">
        <v>588</v>
      </c>
      <c r="G780" s="20" t="s">
        <v>589</v>
      </c>
      <c r="H780" s="29" t="str">
        <f>VLOOKUP(G780,'insumos terrapl'!$C$3:$K$47,2,0)</f>
        <v>2N  20  14  08  00  00  00</v>
      </c>
      <c r="I780" s="29" t="str">
        <f>VLOOKUP(G780,'insumos terrapl'!$C$3:$K$47,3,0)</f>
        <v>2N</v>
      </c>
      <c r="J780" s="29">
        <f>VLOOKUP(G780,'insumos terrapl'!$C$3:$K$47,4,0)</f>
        <v>20</v>
      </c>
      <c r="K780" s="29">
        <f>VLOOKUP(G780,'insumos terrapl'!$C$3:$K$47,5,0)</f>
        <v>14</v>
      </c>
      <c r="L780" s="29" t="str">
        <f>VLOOKUP(G780,'insumos terrapl'!$C$3:$K$47,6,0)</f>
        <v>08</v>
      </c>
      <c r="M780" s="29" t="str">
        <f>VLOOKUP(G780,'insumos terrapl'!$C$3:$K$47,7,0)</f>
        <v>00</v>
      </c>
      <c r="N780" s="29" t="str">
        <f>VLOOKUP(G780,'insumos terrapl'!$C$3:$K$47,8,0)</f>
        <v>00</v>
      </c>
      <c r="O780" s="97" t="str">
        <f>VLOOKUP(G780,'insumos terrapl'!$C$3:$K$47,9,0)</f>
        <v>00</v>
      </c>
    </row>
    <row r="781" spans="1:15">
      <c r="A781" s="125"/>
      <c r="B781" s="127"/>
      <c r="C781" s="132"/>
      <c r="D781" s="116"/>
      <c r="E781" s="116"/>
      <c r="F781" s="13"/>
      <c r="G781" s="21"/>
      <c r="H781" s="31"/>
      <c r="I781" s="31"/>
      <c r="J781" s="31"/>
      <c r="K781" s="31"/>
      <c r="L781" s="31"/>
      <c r="M781" s="31"/>
      <c r="N781" s="31"/>
      <c r="O781" s="98"/>
    </row>
    <row r="782" spans="1:15">
      <c r="A782" s="125"/>
      <c r="B782" s="127"/>
      <c r="C782" s="124" t="s">
        <v>175</v>
      </c>
      <c r="D782" s="114" t="str">
        <f>$A$692</f>
        <v>2.6.6</v>
      </c>
      <c r="E782" s="115" t="s">
        <v>374</v>
      </c>
      <c r="F782" s="11" t="s">
        <v>175</v>
      </c>
      <c r="G782" s="20"/>
      <c r="H782" s="29"/>
      <c r="I782" s="29"/>
      <c r="J782" s="29"/>
      <c r="K782" s="29"/>
      <c r="L782" s="29"/>
      <c r="M782" s="29"/>
      <c r="N782" s="29"/>
      <c r="O782" s="97"/>
    </row>
    <row r="783" spans="1:15" ht="30">
      <c r="A783" s="125"/>
      <c r="B783" s="127"/>
      <c r="C783" s="125"/>
      <c r="D783" s="115"/>
      <c r="E783" s="115"/>
      <c r="F783" s="11" t="s">
        <v>651</v>
      </c>
      <c r="G783" s="20" t="s">
        <v>652</v>
      </c>
      <c r="H783" s="29" t="str">
        <f>VLOOKUP(G783,'insumos terrapl'!$C$3:$K$47,2,0)</f>
        <v>2Q  66  10  02  00  00  00</v>
      </c>
      <c r="I783" s="29" t="str">
        <f>VLOOKUP(G783,'insumos terrapl'!$C$3:$K$47,3,0)</f>
        <v>2Q</v>
      </c>
      <c r="J783" s="29">
        <f>VLOOKUP(G783,'insumos terrapl'!$C$3:$K$47,4,0)</f>
        <v>66</v>
      </c>
      <c r="K783" s="29" t="str">
        <f>VLOOKUP(G783,'insumos terrapl'!$C$3:$K$47,5,0)</f>
        <v>10</v>
      </c>
      <c r="L783" s="29" t="str">
        <f>VLOOKUP(G783,'insumos terrapl'!$C$3:$K$47,6,0)</f>
        <v>02</v>
      </c>
      <c r="M783" s="29" t="str">
        <f>VLOOKUP(G783,'insumos terrapl'!$C$3:$K$47,7,0)</f>
        <v>00</v>
      </c>
      <c r="N783" s="29" t="str">
        <f>VLOOKUP(G783,'insumos terrapl'!$C$3:$K$47,8,0)</f>
        <v>00</v>
      </c>
      <c r="O783" s="97" t="str">
        <f>VLOOKUP(G783,'insumos terrapl'!$C$3:$K$47,9,0)</f>
        <v>00</v>
      </c>
    </row>
    <row r="784" spans="1:15" ht="30">
      <c r="A784" s="125"/>
      <c r="B784" s="127"/>
      <c r="C784" s="125"/>
      <c r="D784" s="115"/>
      <c r="E784" s="115"/>
      <c r="F784" s="11" t="s">
        <v>655</v>
      </c>
      <c r="G784" s="20" t="s">
        <v>656</v>
      </c>
      <c r="H784" s="29" t="str">
        <f>VLOOKUP(G784,'insumos terrapl'!$C$3:$K$47,2,0)</f>
        <v>2Q  62  02  10  00  00  00</v>
      </c>
      <c r="I784" s="29" t="str">
        <f>VLOOKUP(G784,'insumos terrapl'!$C$3:$K$47,3,0)</f>
        <v>2Q</v>
      </c>
      <c r="J784" s="29">
        <f>VLOOKUP(G784,'insumos terrapl'!$C$3:$K$47,4,0)</f>
        <v>62</v>
      </c>
      <c r="K784" s="29" t="str">
        <f>VLOOKUP(G784,'insumos terrapl'!$C$3:$K$47,5,0)</f>
        <v>02</v>
      </c>
      <c r="L784" s="29" t="str">
        <f>VLOOKUP(G784,'insumos terrapl'!$C$3:$K$47,6,0)</f>
        <v>10</v>
      </c>
      <c r="M784" s="29" t="str">
        <f>VLOOKUP(G784,'insumos terrapl'!$C$3:$K$47,7,0)</f>
        <v>00</v>
      </c>
      <c r="N784" s="29" t="str">
        <f>VLOOKUP(G784,'insumos terrapl'!$C$3:$K$47,8,0)</f>
        <v>00</v>
      </c>
      <c r="O784" s="97" t="str">
        <f>VLOOKUP(G784,'insumos terrapl'!$C$3:$K$47,9,0)</f>
        <v>00</v>
      </c>
    </row>
    <row r="785" spans="1:15">
      <c r="A785" s="125"/>
      <c r="B785" s="127"/>
      <c r="C785" s="125"/>
      <c r="D785" s="115"/>
      <c r="E785" s="115"/>
      <c r="F785" s="11" t="s">
        <v>588</v>
      </c>
      <c r="G785" s="20" t="s">
        <v>589</v>
      </c>
      <c r="H785" s="29" t="str">
        <f>VLOOKUP(G785,'insumos terrapl'!$C$3:$K$47,2,0)</f>
        <v>2N  20  14  08  00  00  00</v>
      </c>
      <c r="I785" s="29" t="str">
        <f>VLOOKUP(G785,'insumos terrapl'!$C$3:$K$47,3,0)</f>
        <v>2N</v>
      </c>
      <c r="J785" s="29">
        <f>VLOOKUP(G785,'insumos terrapl'!$C$3:$K$47,4,0)</f>
        <v>20</v>
      </c>
      <c r="K785" s="29">
        <f>VLOOKUP(G785,'insumos terrapl'!$C$3:$K$47,5,0)</f>
        <v>14</v>
      </c>
      <c r="L785" s="29" t="str">
        <f>VLOOKUP(G785,'insumos terrapl'!$C$3:$K$47,6,0)</f>
        <v>08</v>
      </c>
      <c r="M785" s="29" t="str">
        <f>VLOOKUP(G785,'insumos terrapl'!$C$3:$K$47,7,0)</f>
        <v>00</v>
      </c>
      <c r="N785" s="29" t="str">
        <f>VLOOKUP(G785,'insumos terrapl'!$C$3:$K$47,8,0)</f>
        <v>00</v>
      </c>
      <c r="O785" s="97" t="str">
        <f>VLOOKUP(G785,'insumos terrapl'!$C$3:$K$47,9,0)</f>
        <v>00</v>
      </c>
    </row>
    <row r="786" spans="1:15">
      <c r="A786" s="125"/>
      <c r="B786" s="127"/>
      <c r="C786" s="132"/>
      <c r="D786" s="116"/>
      <c r="E786" s="115"/>
      <c r="F786" s="10"/>
      <c r="G786" s="20"/>
      <c r="H786" s="29"/>
      <c r="I786" s="29"/>
      <c r="J786" s="29"/>
      <c r="K786" s="29"/>
      <c r="L786" s="29"/>
      <c r="M786" s="29"/>
      <c r="N786" s="29"/>
      <c r="O786" s="97"/>
    </row>
    <row r="787" spans="1:15">
      <c r="A787" s="125"/>
      <c r="B787" s="127"/>
      <c r="C787" s="124" t="s">
        <v>176</v>
      </c>
      <c r="D787" s="114" t="str">
        <f>$A$692</f>
        <v>2.6.6</v>
      </c>
      <c r="E787" s="114" t="s">
        <v>376</v>
      </c>
      <c r="F787" s="12" t="s">
        <v>176</v>
      </c>
      <c r="G787" s="19"/>
      <c r="H787" s="28"/>
      <c r="I787" s="28"/>
      <c r="J787" s="28"/>
      <c r="K787" s="28"/>
      <c r="L787" s="28"/>
      <c r="M787" s="28"/>
      <c r="N787" s="28"/>
      <c r="O787" s="99"/>
    </row>
    <row r="788" spans="1:15" ht="30">
      <c r="A788" s="125"/>
      <c r="B788" s="127"/>
      <c r="C788" s="125"/>
      <c r="D788" s="115"/>
      <c r="E788" s="115"/>
      <c r="F788" s="11" t="s">
        <v>651</v>
      </c>
      <c r="G788" s="20" t="s">
        <v>652</v>
      </c>
      <c r="H788" s="29" t="str">
        <f>VLOOKUP(G788,'insumos terrapl'!$C$3:$K$47,2,0)</f>
        <v>2Q  66  10  02  00  00  00</v>
      </c>
      <c r="I788" s="29" t="str">
        <f>VLOOKUP(G788,'insumos terrapl'!$C$3:$K$47,3,0)</f>
        <v>2Q</v>
      </c>
      <c r="J788" s="29">
        <f>VLOOKUP(G788,'insumos terrapl'!$C$3:$K$47,4,0)</f>
        <v>66</v>
      </c>
      <c r="K788" s="29" t="str">
        <f>VLOOKUP(G788,'insumos terrapl'!$C$3:$K$47,5,0)</f>
        <v>10</v>
      </c>
      <c r="L788" s="29" t="str">
        <f>VLOOKUP(G788,'insumos terrapl'!$C$3:$K$47,6,0)</f>
        <v>02</v>
      </c>
      <c r="M788" s="29" t="str">
        <f>VLOOKUP(G788,'insumos terrapl'!$C$3:$K$47,7,0)</f>
        <v>00</v>
      </c>
      <c r="N788" s="29" t="str">
        <f>VLOOKUP(G788,'insumos terrapl'!$C$3:$K$47,8,0)</f>
        <v>00</v>
      </c>
      <c r="O788" s="97" t="str">
        <f>VLOOKUP(G788,'insumos terrapl'!$C$3:$K$47,9,0)</f>
        <v>00</v>
      </c>
    </row>
    <row r="789" spans="1:15" ht="30">
      <c r="A789" s="125"/>
      <c r="B789" s="127"/>
      <c r="C789" s="125"/>
      <c r="D789" s="115"/>
      <c r="E789" s="115"/>
      <c r="F789" s="11" t="s">
        <v>655</v>
      </c>
      <c r="G789" s="20" t="s">
        <v>656</v>
      </c>
      <c r="H789" s="29" t="str">
        <f>VLOOKUP(G789,'insumos terrapl'!$C$3:$K$47,2,0)</f>
        <v>2Q  62  02  10  00  00  00</v>
      </c>
      <c r="I789" s="29" t="str">
        <f>VLOOKUP(G789,'insumos terrapl'!$C$3:$K$47,3,0)</f>
        <v>2Q</v>
      </c>
      <c r="J789" s="29">
        <f>VLOOKUP(G789,'insumos terrapl'!$C$3:$K$47,4,0)</f>
        <v>62</v>
      </c>
      <c r="K789" s="29" t="str">
        <f>VLOOKUP(G789,'insumos terrapl'!$C$3:$K$47,5,0)</f>
        <v>02</v>
      </c>
      <c r="L789" s="29" t="str">
        <f>VLOOKUP(G789,'insumos terrapl'!$C$3:$K$47,6,0)</f>
        <v>10</v>
      </c>
      <c r="M789" s="29" t="str">
        <f>VLOOKUP(G789,'insumos terrapl'!$C$3:$K$47,7,0)</f>
        <v>00</v>
      </c>
      <c r="N789" s="29" t="str">
        <f>VLOOKUP(G789,'insumos terrapl'!$C$3:$K$47,8,0)</f>
        <v>00</v>
      </c>
      <c r="O789" s="97" t="str">
        <f>VLOOKUP(G789,'insumos terrapl'!$C$3:$K$47,9,0)</f>
        <v>00</v>
      </c>
    </row>
    <row r="790" spans="1:15">
      <c r="A790" s="125"/>
      <c r="B790" s="127"/>
      <c r="C790" s="125"/>
      <c r="D790" s="115"/>
      <c r="E790" s="115"/>
      <c r="F790" s="11" t="s">
        <v>588</v>
      </c>
      <c r="G790" s="20" t="s">
        <v>589</v>
      </c>
      <c r="H790" s="29" t="str">
        <f>VLOOKUP(G790,'insumos terrapl'!$C$3:$K$47,2,0)</f>
        <v>2N  20  14  08  00  00  00</v>
      </c>
      <c r="I790" s="29" t="str">
        <f>VLOOKUP(G790,'insumos terrapl'!$C$3:$K$47,3,0)</f>
        <v>2N</v>
      </c>
      <c r="J790" s="29">
        <f>VLOOKUP(G790,'insumos terrapl'!$C$3:$K$47,4,0)</f>
        <v>20</v>
      </c>
      <c r="K790" s="29">
        <f>VLOOKUP(G790,'insumos terrapl'!$C$3:$K$47,5,0)</f>
        <v>14</v>
      </c>
      <c r="L790" s="29" t="str">
        <f>VLOOKUP(G790,'insumos terrapl'!$C$3:$K$47,6,0)</f>
        <v>08</v>
      </c>
      <c r="M790" s="29" t="str">
        <f>VLOOKUP(G790,'insumos terrapl'!$C$3:$K$47,7,0)</f>
        <v>00</v>
      </c>
      <c r="N790" s="29" t="str">
        <f>VLOOKUP(G790,'insumos terrapl'!$C$3:$K$47,8,0)</f>
        <v>00</v>
      </c>
      <c r="O790" s="97" t="str">
        <f>VLOOKUP(G790,'insumos terrapl'!$C$3:$K$47,9,0)</f>
        <v>00</v>
      </c>
    </row>
    <row r="791" spans="1:15">
      <c r="A791" s="125"/>
      <c r="B791" s="127"/>
      <c r="C791" s="132"/>
      <c r="D791" s="116"/>
      <c r="E791" s="115"/>
      <c r="F791" s="11"/>
      <c r="G791" s="20"/>
      <c r="H791" s="29"/>
      <c r="I791" s="29"/>
      <c r="J791" s="29"/>
      <c r="K791" s="29"/>
      <c r="L791" s="29"/>
      <c r="M791" s="29"/>
      <c r="N791" s="29"/>
      <c r="O791" s="97"/>
    </row>
    <row r="792" spans="1:15">
      <c r="A792" s="125"/>
      <c r="B792" s="127"/>
      <c r="C792" s="124" t="s">
        <v>177</v>
      </c>
      <c r="D792" s="114" t="str">
        <f>$A$692</f>
        <v>2.6.6</v>
      </c>
      <c r="E792" s="114" t="s">
        <v>378</v>
      </c>
      <c r="F792" s="12" t="s">
        <v>177</v>
      </c>
      <c r="G792" s="19"/>
      <c r="H792" s="28"/>
      <c r="I792" s="28"/>
      <c r="J792" s="28"/>
      <c r="K792" s="28"/>
      <c r="L792" s="28"/>
      <c r="M792" s="28"/>
      <c r="N792" s="28"/>
      <c r="O792" s="99"/>
    </row>
    <row r="793" spans="1:15" ht="30">
      <c r="A793" s="125"/>
      <c r="B793" s="127"/>
      <c r="C793" s="125"/>
      <c r="D793" s="115"/>
      <c r="E793" s="115"/>
      <c r="F793" s="11" t="s">
        <v>651</v>
      </c>
      <c r="G793" s="20" t="s">
        <v>652</v>
      </c>
      <c r="H793" s="29" t="str">
        <f>VLOOKUP(G793,'insumos terrapl'!$C$3:$K$47,2,0)</f>
        <v>2Q  66  10  02  00  00  00</v>
      </c>
      <c r="I793" s="29" t="str">
        <f>VLOOKUP(G793,'insumos terrapl'!$C$3:$K$47,3,0)</f>
        <v>2Q</v>
      </c>
      <c r="J793" s="29">
        <f>VLOOKUP(G793,'insumos terrapl'!$C$3:$K$47,4,0)</f>
        <v>66</v>
      </c>
      <c r="K793" s="29" t="str">
        <f>VLOOKUP(G793,'insumos terrapl'!$C$3:$K$47,5,0)</f>
        <v>10</v>
      </c>
      <c r="L793" s="29" t="str">
        <f>VLOOKUP(G793,'insumos terrapl'!$C$3:$K$47,6,0)</f>
        <v>02</v>
      </c>
      <c r="M793" s="29" t="str">
        <f>VLOOKUP(G793,'insumos terrapl'!$C$3:$K$47,7,0)</f>
        <v>00</v>
      </c>
      <c r="N793" s="29" t="str">
        <f>VLOOKUP(G793,'insumos terrapl'!$C$3:$K$47,8,0)</f>
        <v>00</v>
      </c>
      <c r="O793" s="97" t="str">
        <f>VLOOKUP(G793,'insumos terrapl'!$C$3:$K$47,9,0)</f>
        <v>00</v>
      </c>
    </row>
    <row r="794" spans="1:15" ht="30">
      <c r="A794" s="125"/>
      <c r="B794" s="127"/>
      <c r="C794" s="125"/>
      <c r="D794" s="115"/>
      <c r="E794" s="115"/>
      <c r="F794" s="11" t="s">
        <v>655</v>
      </c>
      <c r="G794" s="20" t="s">
        <v>656</v>
      </c>
      <c r="H794" s="29" t="str">
        <f>VLOOKUP(G794,'insumos terrapl'!$C$3:$K$47,2,0)</f>
        <v>2Q  62  02  10  00  00  00</v>
      </c>
      <c r="I794" s="29" t="str">
        <f>VLOOKUP(G794,'insumos terrapl'!$C$3:$K$47,3,0)</f>
        <v>2Q</v>
      </c>
      <c r="J794" s="29">
        <f>VLOOKUP(G794,'insumos terrapl'!$C$3:$K$47,4,0)</f>
        <v>62</v>
      </c>
      <c r="K794" s="29" t="str">
        <f>VLOOKUP(G794,'insumos terrapl'!$C$3:$K$47,5,0)</f>
        <v>02</v>
      </c>
      <c r="L794" s="29" t="str">
        <f>VLOOKUP(G794,'insumos terrapl'!$C$3:$K$47,6,0)</f>
        <v>10</v>
      </c>
      <c r="M794" s="29" t="str">
        <f>VLOOKUP(G794,'insumos terrapl'!$C$3:$K$47,7,0)</f>
        <v>00</v>
      </c>
      <c r="N794" s="29" t="str">
        <f>VLOOKUP(G794,'insumos terrapl'!$C$3:$K$47,8,0)</f>
        <v>00</v>
      </c>
      <c r="O794" s="97" t="str">
        <f>VLOOKUP(G794,'insumos terrapl'!$C$3:$K$47,9,0)</f>
        <v>00</v>
      </c>
    </row>
    <row r="795" spans="1:15">
      <c r="A795" s="125"/>
      <c r="B795" s="127"/>
      <c r="C795" s="125"/>
      <c r="D795" s="115"/>
      <c r="E795" s="115"/>
      <c r="F795" s="11" t="s">
        <v>588</v>
      </c>
      <c r="G795" s="20" t="s">
        <v>589</v>
      </c>
      <c r="H795" s="29" t="str">
        <f>VLOOKUP(G795,'insumos terrapl'!$C$3:$K$47,2,0)</f>
        <v>2N  20  14  08  00  00  00</v>
      </c>
      <c r="I795" s="29" t="str">
        <f>VLOOKUP(G795,'insumos terrapl'!$C$3:$K$47,3,0)</f>
        <v>2N</v>
      </c>
      <c r="J795" s="29">
        <f>VLOOKUP(G795,'insumos terrapl'!$C$3:$K$47,4,0)</f>
        <v>20</v>
      </c>
      <c r="K795" s="29">
        <f>VLOOKUP(G795,'insumos terrapl'!$C$3:$K$47,5,0)</f>
        <v>14</v>
      </c>
      <c r="L795" s="29" t="str">
        <f>VLOOKUP(G795,'insumos terrapl'!$C$3:$K$47,6,0)</f>
        <v>08</v>
      </c>
      <c r="M795" s="29" t="str">
        <f>VLOOKUP(G795,'insumos terrapl'!$C$3:$K$47,7,0)</f>
        <v>00</v>
      </c>
      <c r="N795" s="29" t="str">
        <f>VLOOKUP(G795,'insumos terrapl'!$C$3:$K$47,8,0)</f>
        <v>00</v>
      </c>
      <c r="O795" s="97" t="str">
        <f>VLOOKUP(G795,'insumos terrapl'!$C$3:$K$47,9,0)</f>
        <v>00</v>
      </c>
    </row>
    <row r="796" spans="1:15">
      <c r="A796" s="125"/>
      <c r="B796" s="127"/>
      <c r="C796" s="132"/>
      <c r="D796" s="116"/>
      <c r="E796" s="115"/>
      <c r="F796" s="11"/>
      <c r="G796" s="20"/>
      <c r="H796" s="29"/>
      <c r="I796" s="29"/>
      <c r="J796" s="29"/>
      <c r="K796" s="29"/>
      <c r="L796" s="29"/>
      <c r="M796" s="29"/>
      <c r="N796" s="29"/>
      <c r="O796" s="97"/>
    </row>
    <row r="797" spans="1:15">
      <c r="A797" s="125"/>
      <c r="B797" s="127"/>
      <c r="C797" s="124" t="s">
        <v>178</v>
      </c>
      <c r="D797" s="114" t="str">
        <f>$A$692</f>
        <v>2.6.6</v>
      </c>
      <c r="E797" s="114" t="s">
        <v>380</v>
      </c>
      <c r="F797" s="12" t="s">
        <v>178</v>
      </c>
      <c r="G797" s="19"/>
      <c r="H797" s="28"/>
      <c r="I797" s="28"/>
      <c r="J797" s="28"/>
      <c r="K797" s="28"/>
      <c r="L797" s="28"/>
      <c r="M797" s="28"/>
      <c r="N797" s="28"/>
      <c r="O797" s="99"/>
    </row>
    <row r="798" spans="1:15" ht="30">
      <c r="A798" s="125"/>
      <c r="B798" s="127"/>
      <c r="C798" s="125"/>
      <c r="D798" s="115"/>
      <c r="E798" s="115"/>
      <c r="F798" s="11" t="s">
        <v>651</v>
      </c>
      <c r="G798" s="20" t="s">
        <v>652</v>
      </c>
      <c r="H798" s="29" t="str">
        <f>VLOOKUP(G798,'insumos terrapl'!$C$3:$K$47,2,0)</f>
        <v>2Q  66  10  02  00  00  00</v>
      </c>
      <c r="I798" s="29" t="str">
        <f>VLOOKUP(G798,'insumos terrapl'!$C$3:$K$47,3,0)</f>
        <v>2Q</v>
      </c>
      <c r="J798" s="29">
        <f>VLOOKUP(G798,'insumos terrapl'!$C$3:$K$47,4,0)</f>
        <v>66</v>
      </c>
      <c r="K798" s="29" t="str">
        <f>VLOOKUP(G798,'insumos terrapl'!$C$3:$K$47,5,0)</f>
        <v>10</v>
      </c>
      <c r="L798" s="29" t="str">
        <f>VLOOKUP(G798,'insumos terrapl'!$C$3:$K$47,6,0)</f>
        <v>02</v>
      </c>
      <c r="M798" s="29" t="str">
        <f>VLOOKUP(G798,'insumos terrapl'!$C$3:$K$47,7,0)</f>
        <v>00</v>
      </c>
      <c r="N798" s="29" t="str">
        <f>VLOOKUP(G798,'insumos terrapl'!$C$3:$K$47,8,0)</f>
        <v>00</v>
      </c>
      <c r="O798" s="97" t="str">
        <f>VLOOKUP(G798,'insumos terrapl'!$C$3:$K$47,9,0)</f>
        <v>00</v>
      </c>
    </row>
    <row r="799" spans="1:15" ht="30">
      <c r="A799" s="125"/>
      <c r="B799" s="127"/>
      <c r="C799" s="125"/>
      <c r="D799" s="115"/>
      <c r="E799" s="115"/>
      <c r="F799" s="11" t="s">
        <v>655</v>
      </c>
      <c r="G799" s="20" t="s">
        <v>656</v>
      </c>
      <c r="H799" s="29" t="str">
        <f>VLOOKUP(G799,'insumos terrapl'!$C$3:$K$47,2,0)</f>
        <v>2Q  62  02  10  00  00  00</v>
      </c>
      <c r="I799" s="29" t="str">
        <f>VLOOKUP(G799,'insumos terrapl'!$C$3:$K$47,3,0)</f>
        <v>2Q</v>
      </c>
      <c r="J799" s="29">
        <f>VLOOKUP(G799,'insumos terrapl'!$C$3:$K$47,4,0)</f>
        <v>62</v>
      </c>
      <c r="K799" s="29" t="str">
        <f>VLOOKUP(G799,'insumos terrapl'!$C$3:$K$47,5,0)</f>
        <v>02</v>
      </c>
      <c r="L799" s="29" t="str">
        <f>VLOOKUP(G799,'insumos terrapl'!$C$3:$K$47,6,0)</f>
        <v>10</v>
      </c>
      <c r="M799" s="29" t="str">
        <f>VLOOKUP(G799,'insumos terrapl'!$C$3:$K$47,7,0)</f>
        <v>00</v>
      </c>
      <c r="N799" s="29" t="str">
        <f>VLOOKUP(G799,'insumos terrapl'!$C$3:$K$47,8,0)</f>
        <v>00</v>
      </c>
      <c r="O799" s="97" t="str">
        <f>VLOOKUP(G799,'insumos terrapl'!$C$3:$K$47,9,0)</f>
        <v>00</v>
      </c>
    </row>
    <row r="800" spans="1:15">
      <c r="A800" s="125"/>
      <c r="B800" s="127"/>
      <c r="C800" s="125"/>
      <c r="D800" s="115"/>
      <c r="E800" s="115"/>
      <c r="F800" s="11" t="s">
        <v>588</v>
      </c>
      <c r="G800" s="20" t="s">
        <v>589</v>
      </c>
      <c r="H800" s="29" t="str">
        <f>VLOOKUP(G800,'insumos terrapl'!$C$3:$K$47,2,0)</f>
        <v>2N  20  14  08  00  00  00</v>
      </c>
      <c r="I800" s="29" t="str">
        <f>VLOOKUP(G800,'insumos terrapl'!$C$3:$K$47,3,0)</f>
        <v>2N</v>
      </c>
      <c r="J800" s="29">
        <f>VLOOKUP(G800,'insumos terrapl'!$C$3:$K$47,4,0)</f>
        <v>20</v>
      </c>
      <c r="K800" s="29">
        <f>VLOOKUP(G800,'insumos terrapl'!$C$3:$K$47,5,0)</f>
        <v>14</v>
      </c>
      <c r="L800" s="29" t="str">
        <f>VLOOKUP(G800,'insumos terrapl'!$C$3:$K$47,6,0)</f>
        <v>08</v>
      </c>
      <c r="M800" s="29" t="str">
        <f>VLOOKUP(G800,'insumos terrapl'!$C$3:$K$47,7,0)</f>
        <v>00</v>
      </c>
      <c r="N800" s="29" t="str">
        <f>VLOOKUP(G800,'insumos terrapl'!$C$3:$K$47,8,0)</f>
        <v>00</v>
      </c>
      <c r="O800" s="97" t="str">
        <f>VLOOKUP(G800,'insumos terrapl'!$C$3:$K$47,9,0)</f>
        <v>00</v>
      </c>
    </row>
    <row r="801" spans="1:15">
      <c r="A801" s="125"/>
      <c r="B801" s="127"/>
      <c r="C801" s="132"/>
      <c r="D801" s="116"/>
      <c r="E801" s="115"/>
      <c r="F801" s="11"/>
      <c r="G801" s="20"/>
      <c r="H801" s="29"/>
      <c r="I801" s="29"/>
      <c r="J801" s="29"/>
      <c r="K801" s="29"/>
      <c r="L801" s="29"/>
      <c r="M801" s="29"/>
      <c r="N801" s="29"/>
      <c r="O801" s="97"/>
    </row>
    <row r="802" spans="1:15">
      <c r="A802" s="125"/>
      <c r="B802" s="127"/>
      <c r="C802" s="124" t="s">
        <v>179</v>
      </c>
      <c r="D802" s="114" t="str">
        <f>$A$692</f>
        <v>2.6.6</v>
      </c>
      <c r="E802" s="114" t="s">
        <v>382</v>
      </c>
      <c r="F802" s="12" t="s">
        <v>179</v>
      </c>
      <c r="G802" s="19"/>
      <c r="H802" s="28"/>
      <c r="I802" s="28"/>
      <c r="J802" s="28"/>
      <c r="K802" s="28"/>
      <c r="L802" s="28"/>
      <c r="M802" s="28"/>
      <c r="N802" s="28"/>
      <c r="O802" s="99"/>
    </row>
    <row r="803" spans="1:15" ht="30">
      <c r="A803" s="125"/>
      <c r="B803" s="127"/>
      <c r="C803" s="125"/>
      <c r="D803" s="115"/>
      <c r="E803" s="115"/>
      <c r="F803" s="11" t="s">
        <v>651</v>
      </c>
      <c r="G803" s="20" t="s">
        <v>652</v>
      </c>
      <c r="H803" s="29" t="str">
        <f>VLOOKUP(G803,'insumos terrapl'!$C$3:$K$47,2,0)</f>
        <v>2Q  66  10  02  00  00  00</v>
      </c>
      <c r="I803" s="29" t="str">
        <f>VLOOKUP(G803,'insumos terrapl'!$C$3:$K$47,3,0)</f>
        <v>2Q</v>
      </c>
      <c r="J803" s="29">
        <f>VLOOKUP(G803,'insumos terrapl'!$C$3:$K$47,4,0)</f>
        <v>66</v>
      </c>
      <c r="K803" s="29" t="str">
        <f>VLOOKUP(G803,'insumos terrapl'!$C$3:$K$47,5,0)</f>
        <v>10</v>
      </c>
      <c r="L803" s="29" t="str">
        <f>VLOOKUP(G803,'insumos terrapl'!$C$3:$K$47,6,0)</f>
        <v>02</v>
      </c>
      <c r="M803" s="29" t="str">
        <f>VLOOKUP(G803,'insumos terrapl'!$C$3:$K$47,7,0)</f>
        <v>00</v>
      </c>
      <c r="N803" s="29" t="str">
        <f>VLOOKUP(G803,'insumos terrapl'!$C$3:$K$47,8,0)</f>
        <v>00</v>
      </c>
      <c r="O803" s="97" t="str">
        <f>VLOOKUP(G803,'insumos terrapl'!$C$3:$K$47,9,0)</f>
        <v>00</v>
      </c>
    </row>
    <row r="804" spans="1:15" ht="30">
      <c r="A804" s="125"/>
      <c r="B804" s="127"/>
      <c r="C804" s="125"/>
      <c r="D804" s="115"/>
      <c r="E804" s="115"/>
      <c r="F804" s="11" t="s">
        <v>655</v>
      </c>
      <c r="G804" s="20" t="s">
        <v>656</v>
      </c>
      <c r="H804" s="29" t="str">
        <f>VLOOKUP(G804,'insumos terrapl'!$C$3:$K$47,2,0)</f>
        <v>2Q  62  02  10  00  00  00</v>
      </c>
      <c r="I804" s="29" t="str">
        <f>VLOOKUP(G804,'insumos terrapl'!$C$3:$K$47,3,0)</f>
        <v>2Q</v>
      </c>
      <c r="J804" s="29">
        <f>VLOOKUP(G804,'insumos terrapl'!$C$3:$K$47,4,0)</f>
        <v>62</v>
      </c>
      <c r="K804" s="29" t="str">
        <f>VLOOKUP(G804,'insumos terrapl'!$C$3:$K$47,5,0)</f>
        <v>02</v>
      </c>
      <c r="L804" s="29" t="str">
        <f>VLOOKUP(G804,'insumos terrapl'!$C$3:$K$47,6,0)</f>
        <v>10</v>
      </c>
      <c r="M804" s="29" t="str">
        <f>VLOOKUP(G804,'insumos terrapl'!$C$3:$K$47,7,0)</f>
        <v>00</v>
      </c>
      <c r="N804" s="29" t="str">
        <f>VLOOKUP(G804,'insumos terrapl'!$C$3:$K$47,8,0)</f>
        <v>00</v>
      </c>
      <c r="O804" s="97" t="str">
        <f>VLOOKUP(G804,'insumos terrapl'!$C$3:$K$47,9,0)</f>
        <v>00</v>
      </c>
    </row>
    <row r="805" spans="1:15">
      <c r="A805" s="125"/>
      <c r="B805" s="127"/>
      <c r="C805" s="125"/>
      <c r="D805" s="115"/>
      <c r="E805" s="115"/>
      <c r="F805" s="11" t="s">
        <v>588</v>
      </c>
      <c r="G805" s="20" t="s">
        <v>589</v>
      </c>
      <c r="H805" s="29" t="str">
        <f>VLOOKUP(G805,'insumos terrapl'!$C$3:$K$47,2,0)</f>
        <v>2N  20  14  08  00  00  00</v>
      </c>
      <c r="I805" s="29" t="str">
        <f>VLOOKUP(G805,'insumos terrapl'!$C$3:$K$47,3,0)</f>
        <v>2N</v>
      </c>
      <c r="J805" s="29">
        <f>VLOOKUP(G805,'insumos terrapl'!$C$3:$K$47,4,0)</f>
        <v>20</v>
      </c>
      <c r="K805" s="29">
        <f>VLOOKUP(G805,'insumos terrapl'!$C$3:$K$47,5,0)</f>
        <v>14</v>
      </c>
      <c r="L805" s="29" t="str">
        <f>VLOOKUP(G805,'insumos terrapl'!$C$3:$K$47,6,0)</f>
        <v>08</v>
      </c>
      <c r="M805" s="29" t="str">
        <f>VLOOKUP(G805,'insumos terrapl'!$C$3:$K$47,7,0)</f>
        <v>00</v>
      </c>
      <c r="N805" s="29" t="str">
        <f>VLOOKUP(G805,'insumos terrapl'!$C$3:$K$47,8,0)</f>
        <v>00</v>
      </c>
      <c r="O805" s="97" t="str">
        <f>VLOOKUP(G805,'insumos terrapl'!$C$3:$K$47,9,0)</f>
        <v>00</v>
      </c>
    </row>
    <row r="806" spans="1:15">
      <c r="A806" s="125"/>
      <c r="B806" s="127"/>
      <c r="C806" s="132"/>
      <c r="D806" s="116"/>
      <c r="E806" s="116"/>
      <c r="F806" s="13"/>
      <c r="G806" s="21"/>
      <c r="H806" s="31"/>
      <c r="I806" s="31"/>
      <c r="J806" s="31"/>
      <c r="K806" s="31"/>
      <c r="L806" s="31"/>
      <c r="M806" s="31"/>
      <c r="N806" s="31"/>
      <c r="O806" s="98"/>
    </row>
    <row r="807" spans="1:15">
      <c r="A807" s="125"/>
      <c r="B807" s="127"/>
      <c r="C807" s="124" t="s">
        <v>180</v>
      </c>
      <c r="D807" s="114" t="str">
        <f>$A$692</f>
        <v>2.6.6</v>
      </c>
      <c r="E807" s="115" t="s">
        <v>384</v>
      </c>
      <c r="F807" s="11" t="s">
        <v>180</v>
      </c>
      <c r="G807" s="20"/>
      <c r="H807" s="29"/>
      <c r="I807" s="29"/>
      <c r="J807" s="29"/>
      <c r="K807" s="29"/>
      <c r="L807" s="29"/>
      <c r="M807" s="29"/>
      <c r="N807" s="29"/>
      <c r="O807" s="97"/>
    </row>
    <row r="808" spans="1:15" ht="30">
      <c r="A808" s="125"/>
      <c r="B808" s="127"/>
      <c r="C808" s="125"/>
      <c r="D808" s="115"/>
      <c r="E808" s="115"/>
      <c r="F808" s="11" t="s">
        <v>651</v>
      </c>
      <c r="G808" s="20" t="s">
        <v>652</v>
      </c>
      <c r="H808" s="29" t="str">
        <f>VLOOKUP(G808,'insumos terrapl'!$C$3:$K$47,2,0)</f>
        <v>2Q  66  10  02  00  00  00</v>
      </c>
      <c r="I808" s="29" t="str">
        <f>VLOOKUP(G808,'insumos terrapl'!$C$3:$K$47,3,0)</f>
        <v>2Q</v>
      </c>
      <c r="J808" s="29">
        <f>VLOOKUP(G808,'insumos terrapl'!$C$3:$K$47,4,0)</f>
        <v>66</v>
      </c>
      <c r="K808" s="29" t="str">
        <f>VLOOKUP(G808,'insumos terrapl'!$C$3:$K$47,5,0)</f>
        <v>10</v>
      </c>
      <c r="L808" s="29" t="str">
        <f>VLOOKUP(G808,'insumos terrapl'!$C$3:$K$47,6,0)</f>
        <v>02</v>
      </c>
      <c r="M808" s="29" t="str">
        <f>VLOOKUP(G808,'insumos terrapl'!$C$3:$K$47,7,0)</f>
        <v>00</v>
      </c>
      <c r="N808" s="29" t="str">
        <f>VLOOKUP(G808,'insumos terrapl'!$C$3:$K$47,8,0)</f>
        <v>00</v>
      </c>
      <c r="O808" s="97" t="str">
        <f>VLOOKUP(G808,'insumos terrapl'!$C$3:$K$47,9,0)</f>
        <v>00</v>
      </c>
    </row>
    <row r="809" spans="1:15" ht="30">
      <c r="A809" s="125"/>
      <c r="B809" s="127"/>
      <c r="C809" s="125"/>
      <c r="D809" s="115"/>
      <c r="E809" s="115"/>
      <c r="F809" s="11" t="s">
        <v>655</v>
      </c>
      <c r="G809" s="20" t="s">
        <v>656</v>
      </c>
      <c r="H809" s="29" t="str">
        <f>VLOOKUP(G809,'insumos terrapl'!$C$3:$K$47,2,0)</f>
        <v>2Q  62  02  10  00  00  00</v>
      </c>
      <c r="I809" s="29" t="str">
        <f>VLOOKUP(G809,'insumos terrapl'!$C$3:$K$47,3,0)</f>
        <v>2Q</v>
      </c>
      <c r="J809" s="29">
        <f>VLOOKUP(G809,'insumos terrapl'!$C$3:$K$47,4,0)</f>
        <v>62</v>
      </c>
      <c r="K809" s="29" t="str">
        <f>VLOOKUP(G809,'insumos terrapl'!$C$3:$K$47,5,0)</f>
        <v>02</v>
      </c>
      <c r="L809" s="29" t="str">
        <f>VLOOKUP(G809,'insumos terrapl'!$C$3:$K$47,6,0)</f>
        <v>10</v>
      </c>
      <c r="M809" s="29" t="str">
        <f>VLOOKUP(G809,'insumos terrapl'!$C$3:$K$47,7,0)</f>
        <v>00</v>
      </c>
      <c r="N809" s="29" t="str">
        <f>VLOOKUP(G809,'insumos terrapl'!$C$3:$K$47,8,0)</f>
        <v>00</v>
      </c>
      <c r="O809" s="97" t="str">
        <f>VLOOKUP(G809,'insumos terrapl'!$C$3:$K$47,9,0)</f>
        <v>00</v>
      </c>
    </row>
    <row r="810" spans="1:15">
      <c r="A810" s="125"/>
      <c r="B810" s="127"/>
      <c r="C810" s="125"/>
      <c r="D810" s="115"/>
      <c r="E810" s="115"/>
      <c r="F810" s="11" t="s">
        <v>588</v>
      </c>
      <c r="G810" s="20" t="s">
        <v>589</v>
      </c>
      <c r="H810" s="29" t="str">
        <f>VLOOKUP(G810,'insumos terrapl'!$C$3:$K$47,2,0)</f>
        <v>2N  20  14  08  00  00  00</v>
      </c>
      <c r="I810" s="29" t="str">
        <f>VLOOKUP(G810,'insumos terrapl'!$C$3:$K$47,3,0)</f>
        <v>2N</v>
      </c>
      <c r="J810" s="29">
        <f>VLOOKUP(G810,'insumos terrapl'!$C$3:$K$47,4,0)</f>
        <v>20</v>
      </c>
      <c r="K810" s="29">
        <f>VLOOKUP(G810,'insumos terrapl'!$C$3:$K$47,5,0)</f>
        <v>14</v>
      </c>
      <c r="L810" s="29" t="str">
        <f>VLOOKUP(G810,'insumos terrapl'!$C$3:$K$47,6,0)</f>
        <v>08</v>
      </c>
      <c r="M810" s="29" t="str">
        <f>VLOOKUP(G810,'insumos terrapl'!$C$3:$K$47,7,0)</f>
        <v>00</v>
      </c>
      <c r="N810" s="29" t="str">
        <f>VLOOKUP(G810,'insumos terrapl'!$C$3:$K$47,8,0)</f>
        <v>00</v>
      </c>
      <c r="O810" s="97" t="str">
        <f>VLOOKUP(G810,'insumos terrapl'!$C$3:$K$47,9,0)</f>
        <v>00</v>
      </c>
    </row>
    <row r="811" spans="1:15">
      <c r="A811" s="125"/>
      <c r="B811" s="127"/>
      <c r="C811" s="132"/>
      <c r="D811" s="116"/>
      <c r="E811" s="116"/>
      <c r="F811" s="13"/>
      <c r="G811" s="21"/>
      <c r="H811" s="31"/>
      <c r="I811" s="31"/>
      <c r="J811" s="31"/>
      <c r="K811" s="31"/>
      <c r="L811" s="31"/>
      <c r="M811" s="31"/>
      <c r="N811" s="31"/>
      <c r="O811" s="98"/>
    </row>
    <row r="812" spans="1:15">
      <c r="A812" s="125"/>
      <c r="B812" s="127"/>
      <c r="C812" s="124" t="s">
        <v>181</v>
      </c>
      <c r="D812" s="114" t="str">
        <f>$A$692</f>
        <v>2.6.6</v>
      </c>
      <c r="E812" s="115" t="s">
        <v>386</v>
      </c>
      <c r="F812" s="11" t="s">
        <v>181</v>
      </c>
      <c r="G812" s="20"/>
      <c r="H812" s="29"/>
      <c r="I812" s="29"/>
      <c r="J812" s="29"/>
      <c r="K812" s="29"/>
      <c r="L812" s="29"/>
      <c r="M812" s="29"/>
      <c r="N812" s="29"/>
      <c r="O812" s="97"/>
    </row>
    <row r="813" spans="1:15" ht="30">
      <c r="A813" s="125"/>
      <c r="B813" s="127"/>
      <c r="C813" s="125"/>
      <c r="D813" s="115"/>
      <c r="E813" s="115"/>
      <c r="F813" s="11" t="s">
        <v>651</v>
      </c>
      <c r="G813" s="20" t="s">
        <v>652</v>
      </c>
      <c r="H813" s="29" t="str">
        <f>VLOOKUP(G813,'insumos terrapl'!$C$3:$K$47,2,0)</f>
        <v>2Q  66  10  02  00  00  00</v>
      </c>
      <c r="I813" s="29" t="str">
        <f>VLOOKUP(G813,'insumos terrapl'!$C$3:$K$47,3,0)</f>
        <v>2Q</v>
      </c>
      <c r="J813" s="29">
        <f>VLOOKUP(G813,'insumos terrapl'!$C$3:$K$47,4,0)</f>
        <v>66</v>
      </c>
      <c r="K813" s="29" t="str">
        <f>VLOOKUP(G813,'insumos terrapl'!$C$3:$K$47,5,0)</f>
        <v>10</v>
      </c>
      <c r="L813" s="29" t="str">
        <f>VLOOKUP(G813,'insumos terrapl'!$C$3:$K$47,6,0)</f>
        <v>02</v>
      </c>
      <c r="M813" s="29" t="str">
        <f>VLOOKUP(G813,'insumos terrapl'!$C$3:$K$47,7,0)</f>
        <v>00</v>
      </c>
      <c r="N813" s="29" t="str">
        <f>VLOOKUP(G813,'insumos terrapl'!$C$3:$K$47,8,0)</f>
        <v>00</v>
      </c>
      <c r="O813" s="97" t="str">
        <f>VLOOKUP(G813,'insumos terrapl'!$C$3:$K$47,9,0)</f>
        <v>00</v>
      </c>
    </row>
    <row r="814" spans="1:15" ht="30">
      <c r="A814" s="125"/>
      <c r="B814" s="127"/>
      <c r="C814" s="125"/>
      <c r="D814" s="115"/>
      <c r="E814" s="115"/>
      <c r="F814" s="11" t="s">
        <v>655</v>
      </c>
      <c r="G814" s="20" t="s">
        <v>656</v>
      </c>
      <c r="H814" s="29" t="str">
        <f>VLOOKUP(G814,'insumos terrapl'!$C$3:$K$47,2,0)</f>
        <v>2Q  62  02  10  00  00  00</v>
      </c>
      <c r="I814" s="29" t="str">
        <f>VLOOKUP(G814,'insumos terrapl'!$C$3:$K$47,3,0)</f>
        <v>2Q</v>
      </c>
      <c r="J814" s="29">
        <f>VLOOKUP(G814,'insumos terrapl'!$C$3:$K$47,4,0)</f>
        <v>62</v>
      </c>
      <c r="K814" s="29" t="str">
        <f>VLOOKUP(G814,'insumos terrapl'!$C$3:$K$47,5,0)</f>
        <v>02</v>
      </c>
      <c r="L814" s="29" t="str">
        <f>VLOOKUP(G814,'insumos terrapl'!$C$3:$K$47,6,0)</f>
        <v>10</v>
      </c>
      <c r="M814" s="29" t="str">
        <f>VLOOKUP(G814,'insumos terrapl'!$C$3:$K$47,7,0)</f>
        <v>00</v>
      </c>
      <c r="N814" s="29" t="str">
        <f>VLOOKUP(G814,'insumos terrapl'!$C$3:$K$47,8,0)</f>
        <v>00</v>
      </c>
      <c r="O814" s="97" t="str">
        <f>VLOOKUP(G814,'insumos terrapl'!$C$3:$K$47,9,0)</f>
        <v>00</v>
      </c>
    </row>
    <row r="815" spans="1:15">
      <c r="A815" s="125"/>
      <c r="B815" s="127"/>
      <c r="C815" s="125"/>
      <c r="D815" s="115"/>
      <c r="E815" s="115"/>
      <c r="F815" s="11" t="s">
        <v>588</v>
      </c>
      <c r="G815" s="20" t="s">
        <v>589</v>
      </c>
      <c r="H815" s="29" t="str">
        <f>VLOOKUP(G815,'insumos terrapl'!$C$3:$K$47,2,0)</f>
        <v>2N  20  14  08  00  00  00</v>
      </c>
      <c r="I815" s="29" t="str">
        <f>VLOOKUP(G815,'insumos terrapl'!$C$3:$K$47,3,0)</f>
        <v>2N</v>
      </c>
      <c r="J815" s="29">
        <f>VLOOKUP(G815,'insumos terrapl'!$C$3:$K$47,4,0)</f>
        <v>20</v>
      </c>
      <c r="K815" s="29">
        <f>VLOOKUP(G815,'insumos terrapl'!$C$3:$K$47,5,0)</f>
        <v>14</v>
      </c>
      <c r="L815" s="29" t="str">
        <f>VLOOKUP(G815,'insumos terrapl'!$C$3:$K$47,6,0)</f>
        <v>08</v>
      </c>
      <c r="M815" s="29" t="str">
        <f>VLOOKUP(G815,'insumos terrapl'!$C$3:$K$47,7,0)</f>
        <v>00</v>
      </c>
      <c r="N815" s="29" t="str">
        <f>VLOOKUP(G815,'insumos terrapl'!$C$3:$K$47,8,0)</f>
        <v>00</v>
      </c>
      <c r="O815" s="97" t="str">
        <f>VLOOKUP(G815,'insumos terrapl'!$C$3:$K$47,9,0)</f>
        <v>00</v>
      </c>
    </row>
    <row r="816" spans="1:15">
      <c r="A816" s="125"/>
      <c r="B816" s="127"/>
      <c r="C816" s="132"/>
      <c r="D816" s="116"/>
      <c r="E816" s="115"/>
      <c r="F816" s="11"/>
      <c r="G816" s="20"/>
      <c r="H816" s="29"/>
      <c r="I816" s="29"/>
      <c r="J816" s="29"/>
      <c r="K816" s="29"/>
      <c r="L816" s="29"/>
      <c r="M816" s="29"/>
      <c r="N816" s="29"/>
      <c r="O816" s="97"/>
    </row>
    <row r="817" spans="1:15">
      <c r="A817" s="125"/>
      <c r="B817" s="127"/>
      <c r="C817" s="124" t="s">
        <v>182</v>
      </c>
      <c r="D817" s="114" t="str">
        <f>$A$692</f>
        <v>2.6.6</v>
      </c>
      <c r="E817" s="114" t="s">
        <v>388</v>
      </c>
      <c r="F817" s="12" t="s">
        <v>182</v>
      </c>
      <c r="G817" s="19"/>
      <c r="H817" s="28"/>
      <c r="I817" s="28"/>
      <c r="J817" s="28"/>
      <c r="K817" s="28"/>
      <c r="L817" s="28"/>
      <c r="M817" s="28"/>
      <c r="N817" s="28"/>
      <c r="O817" s="99"/>
    </row>
    <row r="818" spans="1:15" ht="30">
      <c r="A818" s="125"/>
      <c r="B818" s="127"/>
      <c r="C818" s="125"/>
      <c r="D818" s="115"/>
      <c r="E818" s="115"/>
      <c r="F818" s="11" t="s">
        <v>651</v>
      </c>
      <c r="G818" s="20" t="s">
        <v>652</v>
      </c>
      <c r="H818" s="29" t="str">
        <f>VLOOKUP(G818,'insumos terrapl'!$C$3:$K$47,2,0)</f>
        <v>2Q  66  10  02  00  00  00</v>
      </c>
      <c r="I818" s="29" t="str">
        <f>VLOOKUP(G818,'insumos terrapl'!$C$3:$K$47,3,0)</f>
        <v>2Q</v>
      </c>
      <c r="J818" s="29">
        <f>VLOOKUP(G818,'insumos terrapl'!$C$3:$K$47,4,0)</f>
        <v>66</v>
      </c>
      <c r="K818" s="29" t="str">
        <f>VLOOKUP(G818,'insumos terrapl'!$C$3:$K$47,5,0)</f>
        <v>10</v>
      </c>
      <c r="L818" s="29" t="str">
        <f>VLOOKUP(G818,'insumos terrapl'!$C$3:$K$47,6,0)</f>
        <v>02</v>
      </c>
      <c r="M818" s="29" t="str">
        <f>VLOOKUP(G818,'insumos terrapl'!$C$3:$K$47,7,0)</f>
        <v>00</v>
      </c>
      <c r="N818" s="29" t="str">
        <f>VLOOKUP(G818,'insumos terrapl'!$C$3:$K$47,8,0)</f>
        <v>00</v>
      </c>
      <c r="O818" s="97" t="str">
        <f>VLOOKUP(G818,'insumos terrapl'!$C$3:$K$47,9,0)</f>
        <v>00</v>
      </c>
    </row>
    <row r="819" spans="1:15" ht="30">
      <c r="A819" s="125"/>
      <c r="B819" s="127"/>
      <c r="C819" s="125"/>
      <c r="D819" s="115"/>
      <c r="E819" s="115"/>
      <c r="F819" s="11" t="s">
        <v>655</v>
      </c>
      <c r="G819" s="20" t="s">
        <v>656</v>
      </c>
      <c r="H819" s="29" t="str">
        <f>VLOOKUP(G819,'insumos terrapl'!$C$3:$K$47,2,0)</f>
        <v>2Q  62  02  10  00  00  00</v>
      </c>
      <c r="I819" s="29" t="str">
        <f>VLOOKUP(G819,'insumos terrapl'!$C$3:$K$47,3,0)</f>
        <v>2Q</v>
      </c>
      <c r="J819" s="29">
        <f>VLOOKUP(G819,'insumos terrapl'!$C$3:$K$47,4,0)</f>
        <v>62</v>
      </c>
      <c r="K819" s="29" t="str">
        <f>VLOOKUP(G819,'insumos terrapl'!$C$3:$K$47,5,0)</f>
        <v>02</v>
      </c>
      <c r="L819" s="29" t="str">
        <f>VLOOKUP(G819,'insumos terrapl'!$C$3:$K$47,6,0)</f>
        <v>10</v>
      </c>
      <c r="M819" s="29" t="str">
        <f>VLOOKUP(G819,'insumos terrapl'!$C$3:$K$47,7,0)</f>
        <v>00</v>
      </c>
      <c r="N819" s="29" t="str">
        <f>VLOOKUP(G819,'insumos terrapl'!$C$3:$K$47,8,0)</f>
        <v>00</v>
      </c>
      <c r="O819" s="97" t="str">
        <f>VLOOKUP(G819,'insumos terrapl'!$C$3:$K$47,9,0)</f>
        <v>00</v>
      </c>
    </row>
    <row r="820" spans="1:15">
      <c r="A820" s="125"/>
      <c r="B820" s="127"/>
      <c r="C820" s="125"/>
      <c r="D820" s="115"/>
      <c r="E820" s="115"/>
      <c r="F820" s="11" t="s">
        <v>588</v>
      </c>
      <c r="G820" s="20" t="s">
        <v>589</v>
      </c>
      <c r="H820" s="29" t="str">
        <f>VLOOKUP(G820,'insumos terrapl'!$C$3:$K$47,2,0)</f>
        <v>2N  20  14  08  00  00  00</v>
      </c>
      <c r="I820" s="29" t="str">
        <f>VLOOKUP(G820,'insumos terrapl'!$C$3:$K$47,3,0)</f>
        <v>2N</v>
      </c>
      <c r="J820" s="29">
        <f>VLOOKUP(G820,'insumos terrapl'!$C$3:$K$47,4,0)</f>
        <v>20</v>
      </c>
      <c r="K820" s="29">
        <f>VLOOKUP(G820,'insumos terrapl'!$C$3:$K$47,5,0)</f>
        <v>14</v>
      </c>
      <c r="L820" s="29" t="str">
        <f>VLOOKUP(G820,'insumos terrapl'!$C$3:$K$47,6,0)</f>
        <v>08</v>
      </c>
      <c r="M820" s="29" t="str">
        <f>VLOOKUP(G820,'insumos terrapl'!$C$3:$K$47,7,0)</f>
        <v>00</v>
      </c>
      <c r="N820" s="29" t="str">
        <f>VLOOKUP(G820,'insumos terrapl'!$C$3:$K$47,8,0)</f>
        <v>00</v>
      </c>
      <c r="O820" s="97" t="str">
        <f>VLOOKUP(G820,'insumos terrapl'!$C$3:$K$47,9,0)</f>
        <v>00</v>
      </c>
    </row>
    <row r="821" spans="1:15">
      <c r="A821" s="125"/>
      <c r="B821" s="127"/>
      <c r="C821" s="132"/>
      <c r="D821" s="116"/>
      <c r="E821" s="116"/>
      <c r="F821" s="13"/>
      <c r="G821" s="21"/>
      <c r="H821" s="31"/>
      <c r="I821" s="31"/>
      <c r="J821" s="31"/>
      <c r="K821" s="31"/>
      <c r="L821" s="31"/>
      <c r="M821" s="31"/>
      <c r="N821" s="31"/>
      <c r="O821" s="98"/>
    </row>
    <row r="822" spans="1:15">
      <c r="A822" s="125"/>
      <c r="B822" s="127"/>
      <c r="C822" s="124" t="s">
        <v>183</v>
      </c>
      <c r="D822" s="114" t="str">
        <f>$A$692</f>
        <v>2.6.6</v>
      </c>
      <c r="E822" s="115" t="s">
        <v>390</v>
      </c>
      <c r="F822" s="11" t="s">
        <v>183</v>
      </c>
      <c r="G822" s="20"/>
      <c r="H822" s="29"/>
      <c r="I822" s="29"/>
      <c r="J822" s="29"/>
      <c r="K822" s="29"/>
      <c r="L822" s="29"/>
      <c r="M822" s="29"/>
      <c r="N822" s="29"/>
      <c r="O822" s="97"/>
    </row>
    <row r="823" spans="1:15" ht="30">
      <c r="A823" s="125"/>
      <c r="B823" s="127"/>
      <c r="C823" s="125"/>
      <c r="D823" s="115"/>
      <c r="E823" s="115"/>
      <c r="F823" s="11" t="s">
        <v>651</v>
      </c>
      <c r="G823" s="20" t="s">
        <v>652</v>
      </c>
      <c r="H823" s="29" t="str">
        <f>VLOOKUP(G823,'insumos terrapl'!$C$3:$K$47,2,0)</f>
        <v>2Q  66  10  02  00  00  00</v>
      </c>
      <c r="I823" s="29" t="str">
        <f>VLOOKUP(G823,'insumos terrapl'!$C$3:$K$47,3,0)</f>
        <v>2Q</v>
      </c>
      <c r="J823" s="29">
        <f>VLOOKUP(G823,'insumos terrapl'!$C$3:$K$47,4,0)</f>
        <v>66</v>
      </c>
      <c r="K823" s="29" t="str">
        <f>VLOOKUP(G823,'insumos terrapl'!$C$3:$K$47,5,0)</f>
        <v>10</v>
      </c>
      <c r="L823" s="29" t="str">
        <f>VLOOKUP(G823,'insumos terrapl'!$C$3:$K$47,6,0)</f>
        <v>02</v>
      </c>
      <c r="M823" s="29" t="str">
        <f>VLOOKUP(G823,'insumos terrapl'!$C$3:$K$47,7,0)</f>
        <v>00</v>
      </c>
      <c r="N823" s="29" t="str">
        <f>VLOOKUP(G823,'insumos terrapl'!$C$3:$K$47,8,0)</f>
        <v>00</v>
      </c>
      <c r="O823" s="97" t="str">
        <f>VLOOKUP(G823,'insumos terrapl'!$C$3:$K$47,9,0)</f>
        <v>00</v>
      </c>
    </row>
    <row r="824" spans="1:15" ht="30">
      <c r="A824" s="125"/>
      <c r="B824" s="127"/>
      <c r="C824" s="125"/>
      <c r="D824" s="115"/>
      <c r="E824" s="115"/>
      <c r="F824" s="11" t="s">
        <v>655</v>
      </c>
      <c r="G824" s="20" t="s">
        <v>656</v>
      </c>
      <c r="H824" s="29" t="str">
        <f>VLOOKUP(G824,'insumos terrapl'!$C$3:$K$47,2,0)</f>
        <v>2Q  62  02  10  00  00  00</v>
      </c>
      <c r="I824" s="29" t="str">
        <f>VLOOKUP(G824,'insumos terrapl'!$C$3:$K$47,3,0)</f>
        <v>2Q</v>
      </c>
      <c r="J824" s="29">
        <f>VLOOKUP(G824,'insumos terrapl'!$C$3:$K$47,4,0)</f>
        <v>62</v>
      </c>
      <c r="K824" s="29" t="str">
        <f>VLOOKUP(G824,'insumos terrapl'!$C$3:$K$47,5,0)</f>
        <v>02</v>
      </c>
      <c r="L824" s="29" t="str">
        <f>VLOOKUP(G824,'insumos terrapl'!$C$3:$K$47,6,0)</f>
        <v>10</v>
      </c>
      <c r="M824" s="29" t="str">
        <f>VLOOKUP(G824,'insumos terrapl'!$C$3:$K$47,7,0)</f>
        <v>00</v>
      </c>
      <c r="N824" s="29" t="str">
        <f>VLOOKUP(G824,'insumos terrapl'!$C$3:$K$47,8,0)</f>
        <v>00</v>
      </c>
      <c r="O824" s="97" t="str">
        <f>VLOOKUP(G824,'insumos terrapl'!$C$3:$K$47,9,0)</f>
        <v>00</v>
      </c>
    </row>
    <row r="825" spans="1:15">
      <c r="A825" s="125"/>
      <c r="B825" s="127"/>
      <c r="C825" s="125"/>
      <c r="D825" s="115"/>
      <c r="E825" s="115"/>
      <c r="F825" s="11" t="s">
        <v>588</v>
      </c>
      <c r="G825" s="20" t="s">
        <v>589</v>
      </c>
      <c r="H825" s="29" t="str">
        <f>VLOOKUP(G825,'insumos terrapl'!$C$3:$K$47,2,0)</f>
        <v>2N  20  14  08  00  00  00</v>
      </c>
      <c r="I825" s="29" t="str">
        <f>VLOOKUP(G825,'insumos terrapl'!$C$3:$K$47,3,0)</f>
        <v>2N</v>
      </c>
      <c r="J825" s="29">
        <f>VLOOKUP(G825,'insumos terrapl'!$C$3:$K$47,4,0)</f>
        <v>20</v>
      </c>
      <c r="K825" s="29">
        <f>VLOOKUP(G825,'insumos terrapl'!$C$3:$K$47,5,0)</f>
        <v>14</v>
      </c>
      <c r="L825" s="29" t="str">
        <f>VLOOKUP(G825,'insumos terrapl'!$C$3:$K$47,6,0)</f>
        <v>08</v>
      </c>
      <c r="M825" s="29" t="str">
        <f>VLOOKUP(G825,'insumos terrapl'!$C$3:$K$47,7,0)</f>
        <v>00</v>
      </c>
      <c r="N825" s="29" t="str">
        <f>VLOOKUP(G825,'insumos terrapl'!$C$3:$K$47,8,0)</f>
        <v>00</v>
      </c>
      <c r="O825" s="97" t="str">
        <f>VLOOKUP(G825,'insumos terrapl'!$C$3:$K$47,9,0)</f>
        <v>00</v>
      </c>
    </row>
    <row r="826" spans="1:15">
      <c r="A826" s="125"/>
      <c r="B826" s="127"/>
      <c r="C826" s="132"/>
      <c r="D826" s="116"/>
      <c r="E826" s="115"/>
      <c r="F826" s="11"/>
      <c r="G826" s="20"/>
      <c r="H826" s="29"/>
      <c r="I826" s="29"/>
      <c r="J826" s="29"/>
      <c r="K826" s="29"/>
      <c r="L826" s="29"/>
      <c r="M826" s="29"/>
      <c r="N826" s="29"/>
      <c r="O826" s="97"/>
    </row>
    <row r="827" spans="1:15">
      <c r="A827" s="125"/>
      <c r="B827" s="127"/>
      <c r="C827" s="124" t="s">
        <v>184</v>
      </c>
      <c r="D827" s="114" t="str">
        <f>$A$692</f>
        <v>2.6.6</v>
      </c>
      <c r="E827" s="114" t="s">
        <v>392</v>
      </c>
      <c r="F827" s="12" t="s">
        <v>184</v>
      </c>
      <c r="G827" s="19"/>
      <c r="H827" s="28"/>
      <c r="I827" s="28"/>
      <c r="J827" s="28"/>
      <c r="K827" s="28"/>
      <c r="L827" s="28"/>
      <c r="M827" s="28"/>
      <c r="N827" s="28"/>
      <c r="O827" s="99"/>
    </row>
    <row r="828" spans="1:15" ht="30">
      <c r="A828" s="125"/>
      <c r="B828" s="127"/>
      <c r="C828" s="125"/>
      <c r="D828" s="115"/>
      <c r="E828" s="115"/>
      <c r="F828" s="11" t="s">
        <v>651</v>
      </c>
      <c r="G828" s="20" t="s">
        <v>652</v>
      </c>
      <c r="H828" s="29" t="str">
        <f>VLOOKUP(G828,'insumos terrapl'!$C$3:$K$47,2,0)</f>
        <v>2Q  66  10  02  00  00  00</v>
      </c>
      <c r="I828" s="29" t="str">
        <f>VLOOKUP(G828,'insumos terrapl'!$C$3:$K$47,3,0)</f>
        <v>2Q</v>
      </c>
      <c r="J828" s="29">
        <f>VLOOKUP(G828,'insumos terrapl'!$C$3:$K$47,4,0)</f>
        <v>66</v>
      </c>
      <c r="K828" s="29" t="str">
        <f>VLOOKUP(G828,'insumos terrapl'!$C$3:$K$47,5,0)</f>
        <v>10</v>
      </c>
      <c r="L828" s="29" t="str">
        <f>VLOOKUP(G828,'insumos terrapl'!$C$3:$K$47,6,0)</f>
        <v>02</v>
      </c>
      <c r="M828" s="29" t="str">
        <f>VLOOKUP(G828,'insumos terrapl'!$C$3:$K$47,7,0)</f>
        <v>00</v>
      </c>
      <c r="N828" s="29" t="str">
        <f>VLOOKUP(G828,'insumos terrapl'!$C$3:$K$47,8,0)</f>
        <v>00</v>
      </c>
      <c r="O828" s="97" t="str">
        <f>VLOOKUP(G828,'insumos terrapl'!$C$3:$K$47,9,0)</f>
        <v>00</v>
      </c>
    </row>
    <row r="829" spans="1:15" ht="30">
      <c r="A829" s="125"/>
      <c r="B829" s="127"/>
      <c r="C829" s="125"/>
      <c r="D829" s="115"/>
      <c r="E829" s="115"/>
      <c r="F829" s="11" t="s">
        <v>655</v>
      </c>
      <c r="G829" s="20" t="s">
        <v>656</v>
      </c>
      <c r="H829" s="29" t="str">
        <f>VLOOKUP(G829,'insumos terrapl'!$C$3:$K$47,2,0)</f>
        <v>2Q  62  02  10  00  00  00</v>
      </c>
      <c r="I829" s="29" t="str">
        <f>VLOOKUP(G829,'insumos terrapl'!$C$3:$K$47,3,0)</f>
        <v>2Q</v>
      </c>
      <c r="J829" s="29">
        <f>VLOOKUP(G829,'insumos terrapl'!$C$3:$K$47,4,0)</f>
        <v>62</v>
      </c>
      <c r="K829" s="29" t="str">
        <f>VLOOKUP(G829,'insumos terrapl'!$C$3:$K$47,5,0)</f>
        <v>02</v>
      </c>
      <c r="L829" s="29" t="str">
        <f>VLOOKUP(G829,'insumos terrapl'!$C$3:$K$47,6,0)</f>
        <v>10</v>
      </c>
      <c r="M829" s="29" t="str">
        <f>VLOOKUP(G829,'insumos terrapl'!$C$3:$K$47,7,0)</f>
        <v>00</v>
      </c>
      <c r="N829" s="29" t="str">
        <f>VLOOKUP(G829,'insumos terrapl'!$C$3:$K$47,8,0)</f>
        <v>00</v>
      </c>
      <c r="O829" s="97" t="str">
        <f>VLOOKUP(G829,'insumos terrapl'!$C$3:$K$47,9,0)</f>
        <v>00</v>
      </c>
    </row>
    <row r="830" spans="1:15">
      <c r="A830" s="125"/>
      <c r="B830" s="127"/>
      <c r="C830" s="125"/>
      <c r="D830" s="115"/>
      <c r="E830" s="115"/>
      <c r="F830" s="11" t="s">
        <v>588</v>
      </c>
      <c r="G830" s="20" t="s">
        <v>589</v>
      </c>
      <c r="H830" s="29" t="str">
        <f>VLOOKUP(G830,'insumos terrapl'!$C$3:$K$47,2,0)</f>
        <v>2N  20  14  08  00  00  00</v>
      </c>
      <c r="I830" s="29" t="str">
        <f>VLOOKUP(G830,'insumos terrapl'!$C$3:$K$47,3,0)</f>
        <v>2N</v>
      </c>
      <c r="J830" s="29">
        <f>VLOOKUP(G830,'insumos terrapl'!$C$3:$K$47,4,0)</f>
        <v>20</v>
      </c>
      <c r="K830" s="29">
        <f>VLOOKUP(G830,'insumos terrapl'!$C$3:$K$47,5,0)</f>
        <v>14</v>
      </c>
      <c r="L830" s="29" t="str">
        <f>VLOOKUP(G830,'insumos terrapl'!$C$3:$K$47,6,0)</f>
        <v>08</v>
      </c>
      <c r="M830" s="29" t="str">
        <f>VLOOKUP(G830,'insumos terrapl'!$C$3:$K$47,7,0)</f>
        <v>00</v>
      </c>
      <c r="N830" s="29" t="str">
        <f>VLOOKUP(G830,'insumos terrapl'!$C$3:$K$47,8,0)</f>
        <v>00</v>
      </c>
      <c r="O830" s="97" t="str">
        <f>VLOOKUP(G830,'insumos terrapl'!$C$3:$K$47,9,0)</f>
        <v>00</v>
      </c>
    </row>
    <row r="831" spans="1:15">
      <c r="A831" s="125"/>
      <c r="B831" s="127"/>
      <c r="C831" s="132"/>
      <c r="D831" s="116"/>
      <c r="E831" s="116"/>
      <c r="F831" s="13"/>
      <c r="G831" s="21"/>
      <c r="H831" s="31"/>
      <c r="I831" s="31"/>
      <c r="J831" s="31"/>
      <c r="K831" s="31"/>
      <c r="L831" s="31"/>
      <c r="M831" s="31"/>
      <c r="N831" s="31"/>
      <c r="O831" s="98"/>
    </row>
    <row r="832" spans="1:15">
      <c r="A832" s="125"/>
      <c r="B832" s="127"/>
      <c r="C832" s="124" t="s">
        <v>185</v>
      </c>
      <c r="D832" s="114" t="str">
        <f>$A$692</f>
        <v>2.6.6</v>
      </c>
      <c r="E832" s="115" t="s">
        <v>394</v>
      </c>
      <c r="F832" s="11" t="s">
        <v>185</v>
      </c>
      <c r="G832" s="20"/>
      <c r="H832" s="29"/>
      <c r="I832" s="29"/>
      <c r="J832" s="29"/>
      <c r="K832" s="29"/>
      <c r="L832" s="29"/>
      <c r="M832" s="29"/>
      <c r="N832" s="29"/>
      <c r="O832" s="97"/>
    </row>
    <row r="833" spans="1:15" ht="30">
      <c r="A833" s="125"/>
      <c r="B833" s="127"/>
      <c r="C833" s="125"/>
      <c r="D833" s="115"/>
      <c r="E833" s="115"/>
      <c r="F833" s="11" t="s">
        <v>651</v>
      </c>
      <c r="G833" s="20" t="s">
        <v>652</v>
      </c>
      <c r="H833" s="29" t="str">
        <f>VLOOKUP(G833,'insumos terrapl'!$C$3:$K$47,2,0)</f>
        <v>2Q  66  10  02  00  00  00</v>
      </c>
      <c r="I833" s="29" t="str">
        <f>VLOOKUP(G833,'insumos terrapl'!$C$3:$K$47,3,0)</f>
        <v>2Q</v>
      </c>
      <c r="J833" s="29">
        <f>VLOOKUP(G833,'insumos terrapl'!$C$3:$K$47,4,0)</f>
        <v>66</v>
      </c>
      <c r="K833" s="29" t="str">
        <f>VLOOKUP(G833,'insumos terrapl'!$C$3:$K$47,5,0)</f>
        <v>10</v>
      </c>
      <c r="L833" s="29" t="str">
        <f>VLOOKUP(G833,'insumos terrapl'!$C$3:$K$47,6,0)</f>
        <v>02</v>
      </c>
      <c r="M833" s="29" t="str">
        <f>VLOOKUP(G833,'insumos terrapl'!$C$3:$K$47,7,0)</f>
        <v>00</v>
      </c>
      <c r="N833" s="29" t="str">
        <f>VLOOKUP(G833,'insumos terrapl'!$C$3:$K$47,8,0)</f>
        <v>00</v>
      </c>
      <c r="O833" s="97" t="str">
        <f>VLOOKUP(G833,'insumos terrapl'!$C$3:$K$47,9,0)</f>
        <v>00</v>
      </c>
    </row>
    <row r="834" spans="1:15" ht="30">
      <c r="A834" s="125"/>
      <c r="B834" s="127"/>
      <c r="C834" s="125"/>
      <c r="D834" s="115"/>
      <c r="E834" s="115"/>
      <c r="F834" s="11" t="s">
        <v>655</v>
      </c>
      <c r="G834" s="20" t="s">
        <v>656</v>
      </c>
      <c r="H834" s="29" t="str">
        <f>VLOOKUP(G834,'insumos terrapl'!$C$3:$K$47,2,0)</f>
        <v>2Q  62  02  10  00  00  00</v>
      </c>
      <c r="I834" s="29" t="str">
        <f>VLOOKUP(G834,'insumos terrapl'!$C$3:$K$47,3,0)</f>
        <v>2Q</v>
      </c>
      <c r="J834" s="29">
        <f>VLOOKUP(G834,'insumos terrapl'!$C$3:$K$47,4,0)</f>
        <v>62</v>
      </c>
      <c r="K834" s="29" t="str">
        <f>VLOOKUP(G834,'insumos terrapl'!$C$3:$K$47,5,0)</f>
        <v>02</v>
      </c>
      <c r="L834" s="29" t="str">
        <f>VLOOKUP(G834,'insumos terrapl'!$C$3:$K$47,6,0)</f>
        <v>10</v>
      </c>
      <c r="M834" s="29" t="str">
        <f>VLOOKUP(G834,'insumos terrapl'!$C$3:$K$47,7,0)</f>
        <v>00</v>
      </c>
      <c r="N834" s="29" t="str">
        <f>VLOOKUP(G834,'insumos terrapl'!$C$3:$K$47,8,0)</f>
        <v>00</v>
      </c>
      <c r="O834" s="97" t="str">
        <f>VLOOKUP(G834,'insumos terrapl'!$C$3:$K$47,9,0)</f>
        <v>00</v>
      </c>
    </row>
    <row r="835" spans="1:15">
      <c r="A835" s="125"/>
      <c r="B835" s="127"/>
      <c r="C835" s="125"/>
      <c r="D835" s="115"/>
      <c r="E835" s="115"/>
      <c r="F835" s="11" t="s">
        <v>588</v>
      </c>
      <c r="G835" s="20" t="s">
        <v>589</v>
      </c>
      <c r="H835" s="29" t="str">
        <f>VLOOKUP(G835,'insumos terrapl'!$C$3:$K$47,2,0)</f>
        <v>2N  20  14  08  00  00  00</v>
      </c>
      <c r="I835" s="29" t="str">
        <f>VLOOKUP(G835,'insumos terrapl'!$C$3:$K$47,3,0)</f>
        <v>2N</v>
      </c>
      <c r="J835" s="29">
        <f>VLOOKUP(G835,'insumos terrapl'!$C$3:$K$47,4,0)</f>
        <v>20</v>
      </c>
      <c r="K835" s="29">
        <f>VLOOKUP(G835,'insumos terrapl'!$C$3:$K$47,5,0)</f>
        <v>14</v>
      </c>
      <c r="L835" s="29" t="str">
        <f>VLOOKUP(G835,'insumos terrapl'!$C$3:$K$47,6,0)</f>
        <v>08</v>
      </c>
      <c r="M835" s="29" t="str">
        <f>VLOOKUP(G835,'insumos terrapl'!$C$3:$K$47,7,0)</f>
        <v>00</v>
      </c>
      <c r="N835" s="29" t="str">
        <f>VLOOKUP(G835,'insumos terrapl'!$C$3:$K$47,8,0)</f>
        <v>00</v>
      </c>
      <c r="O835" s="97" t="str">
        <f>VLOOKUP(G835,'insumos terrapl'!$C$3:$K$47,9,0)</f>
        <v>00</v>
      </c>
    </row>
    <row r="836" spans="1:15">
      <c r="A836" s="125"/>
      <c r="B836" s="127"/>
      <c r="C836" s="132"/>
      <c r="D836" s="116"/>
      <c r="E836" s="116"/>
      <c r="F836" s="13"/>
      <c r="G836" s="21"/>
      <c r="H836" s="31"/>
      <c r="I836" s="31"/>
      <c r="J836" s="31"/>
      <c r="K836" s="31"/>
      <c r="L836" s="31"/>
      <c r="M836" s="31"/>
      <c r="N836" s="31"/>
      <c r="O836" s="98"/>
    </row>
    <row r="837" spans="1:15">
      <c r="A837" s="125"/>
      <c r="B837" s="127"/>
      <c r="C837" s="124" t="s">
        <v>186</v>
      </c>
      <c r="D837" s="114" t="str">
        <f>$A$692</f>
        <v>2.6.6</v>
      </c>
      <c r="E837" s="115" t="s">
        <v>396</v>
      </c>
      <c r="F837" s="11" t="s">
        <v>186</v>
      </c>
      <c r="G837" s="20"/>
      <c r="H837" s="29"/>
      <c r="I837" s="29"/>
      <c r="J837" s="29"/>
      <c r="K837" s="29"/>
      <c r="L837" s="29"/>
      <c r="M837" s="29"/>
      <c r="N837" s="29"/>
      <c r="O837" s="97"/>
    </row>
    <row r="838" spans="1:15" ht="30">
      <c r="A838" s="125"/>
      <c r="B838" s="127"/>
      <c r="C838" s="125"/>
      <c r="D838" s="115"/>
      <c r="E838" s="115"/>
      <c r="F838" s="11" t="s">
        <v>651</v>
      </c>
      <c r="G838" s="20" t="s">
        <v>652</v>
      </c>
      <c r="H838" s="29" t="str">
        <f>VLOOKUP(G838,'insumos terrapl'!$C$3:$K$47,2,0)</f>
        <v>2Q  66  10  02  00  00  00</v>
      </c>
      <c r="I838" s="29" t="str">
        <f>VLOOKUP(G838,'insumos terrapl'!$C$3:$K$47,3,0)</f>
        <v>2Q</v>
      </c>
      <c r="J838" s="29">
        <f>VLOOKUP(G838,'insumos terrapl'!$C$3:$K$47,4,0)</f>
        <v>66</v>
      </c>
      <c r="K838" s="29" t="str">
        <f>VLOOKUP(G838,'insumos terrapl'!$C$3:$K$47,5,0)</f>
        <v>10</v>
      </c>
      <c r="L838" s="29" t="str">
        <f>VLOOKUP(G838,'insumos terrapl'!$C$3:$K$47,6,0)</f>
        <v>02</v>
      </c>
      <c r="M838" s="29" t="str">
        <f>VLOOKUP(G838,'insumos terrapl'!$C$3:$K$47,7,0)</f>
        <v>00</v>
      </c>
      <c r="N838" s="29" t="str">
        <f>VLOOKUP(G838,'insumos terrapl'!$C$3:$K$47,8,0)</f>
        <v>00</v>
      </c>
      <c r="O838" s="97" t="str">
        <f>VLOOKUP(G838,'insumos terrapl'!$C$3:$K$47,9,0)</f>
        <v>00</v>
      </c>
    </row>
    <row r="839" spans="1:15" ht="30">
      <c r="A839" s="125"/>
      <c r="B839" s="127"/>
      <c r="C839" s="125"/>
      <c r="D839" s="115"/>
      <c r="E839" s="115"/>
      <c r="F839" s="11" t="s">
        <v>655</v>
      </c>
      <c r="G839" s="20" t="s">
        <v>656</v>
      </c>
      <c r="H839" s="29" t="str">
        <f>VLOOKUP(G839,'insumos terrapl'!$C$3:$K$47,2,0)</f>
        <v>2Q  62  02  10  00  00  00</v>
      </c>
      <c r="I839" s="29" t="str">
        <f>VLOOKUP(G839,'insumos terrapl'!$C$3:$K$47,3,0)</f>
        <v>2Q</v>
      </c>
      <c r="J839" s="29">
        <f>VLOOKUP(G839,'insumos terrapl'!$C$3:$K$47,4,0)</f>
        <v>62</v>
      </c>
      <c r="K839" s="29" t="str">
        <f>VLOOKUP(G839,'insumos terrapl'!$C$3:$K$47,5,0)</f>
        <v>02</v>
      </c>
      <c r="L839" s="29" t="str">
        <f>VLOOKUP(G839,'insumos terrapl'!$C$3:$K$47,6,0)</f>
        <v>10</v>
      </c>
      <c r="M839" s="29" t="str">
        <f>VLOOKUP(G839,'insumos terrapl'!$C$3:$K$47,7,0)</f>
        <v>00</v>
      </c>
      <c r="N839" s="29" t="str">
        <f>VLOOKUP(G839,'insumos terrapl'!$C$3:$K$47,8,0)</f>
        <v>00</v>
      </c>
      <c r="O839" s="97" t="str">
        <f>VLOOKUP(G839,'insumos terrapl'!$C$3:$K$47,9,0)</f>
        <v>00</v>
      </c>
    </row>
    <row r="840" spans="1:15">
      <c r="A840" s="125"/>
      <c r="B840" s="127"/>
      <c r="C840" s="125"/>
      <c r="D840" s="115"/>
      <c r="E840" s="115"/>
      <c r="F840" s="11" t="s">
        <v>588</v>
      </c>
      <c r="G840" s="20" t="s">
        <v>589</v>
      </c>
      <c r="H840" s="29" t="str">
        <f>VLOOKUP(G840,'insumos terrapl'!$C$3:$K$47,2,0)</f>
        <v>2N  20  14  08  00  00  00</v>
      </c>
      <c r="I840" s="29" t="str">
        <f>VLOOKUP(G840,'insumos terrapl'!$C$3:$K$47,3,0)</f>
        <v>2N</v>
      </c>
      <c r="J840" s="29">
        <f>VLOOKUP(G840,'insumos terrapl'!$C$3:$K$47,4,0)</f>
        <v>20</v>
      </c>
      <c r="K840" s="29">
        <f>VLOOKUP(G840,'insumos terrapl'!$C$3:$K$47,5,0)</f>
        <v>14</v>
      </c>
      <c r="L840" s="29" t="str">
        <f>VLOOKUP(G840,'insumos terrapl'!$C$3:$K$47,6,0)</f>
        <v>08</v>
      </c>
      <c r="M840" s="29" t="str">
        <f>VLOOKUP(G840,'insumos terrapl'!$C$3:$K$47,7,0)</f>
        <v>00</v>
      </c>
      <c r="N840" s="29" t="str">
        <f>VLOOKUP(G840,'insumos terrapl'!$C$3:$K$47,8,0)</f>
        <v>00</v>
      </c>
      <c r="O840" s="97" t="str">
        <f>VLOOKUP(G840,'insumos terrapl'!$C$3:$K$47,9,0)</f>
        <v>00</v>
      </c>
    </row>
    <row r="841" spans="1:15">
      <c r="A841" s="125"/>
      <c r="B841" s="127"/>
      <c r="C841" s="132"/>
      <c r="D841" s="116"/>
      <c r="E841" s="116"/>
      <c r="F841" s="13"/>
      <c r="G841" s="21"/>
      <c r="H841" s="31"/>
      <c r="I841" s="31"/>
      <c r="J841" s="31"/>
      <c r="K841" s="31"/>
      <c r="L841" s="31"/>
      <c r="M841" s="31"/>
      <c r="N841" s="31"/>
      <c r="O841" s="98"/>
    </row>
    <row r="842" spans="1:15">
      <c r="A842" s="125"/>
      <c r="B842" s="127"/>
      <c r="C842" s="124" t="s">
        <v>187</v>
      </c>
      <c r="D842" s="114" t="str">
        <f>$A$692</f>
        <v>2.6.6</v>
      </c>
      <c r="E842" s="115" t="s">
        <v>398</v>
      </c>
      <c r="F842" s="11" t="s">
        <v>187</v>
      </c>
      <c r="G842" s="20"/>
      <c r="H842" s="29"/>
      <c r="I842" s="29"/>
      <c r="J842" s="29"/>
      <c r="K842" s="29"/>
      <c r="L842" s="29"/>
      <c r="M842" s="29"/>
      <c r="N842" s="29"/>
      <c r="O842" s="97"/>
    </row>
    <row r="843" spans="1:15" ht="30">
      <c r="A843" s="125"/>
      <c r="B843" s="127"/>
      <c r="C843" s="125"/>
      <c r="D843" s="115"/>
      <c r="E843" s="115"/>
      <c r="F843" s="11" t="s">
        <v>651</v>
      </c>
      <c r="G843" s="20" t="s">
        <v>652</v>
      </c>
      <c r="H843" s="29" t="str">
        <f>VLOOKUP(G843,'insumos terrapl'!$C$3:$K$47,2,0)</f>
        <v>2Q  66  10  02  00  00  00</v>
      </c>
      <c r="I843" s="29" t="str">
        <f>VLOOKUP(G843,'insumos terrapl'!$C$3:$K$47,3,0)</f>
        <v>2Q</v>
      </c>
      <c r="J843" s="29">
        <f>VLOOKUP(G843,'insumos terrapl'!$C$3:$K$47,4,0)</f>
        <v>66</v>
      </c>
      <c r="K843" s="29" t="str">
        <f>VLOOKUP(G843,'insumos terrapl'!$C$3:$K$47,5,0)</f>
        <v>10</v>
      </c>
      <c r="L843" s="29" t="str">
        <f>VLOOKUP(G843,'insumos terrapl'!$C$3:$K$47,6,0)</f>
        <v>02</v>
      </c>
      <c r="M843" s="29" t="str">
        <f>VLOOKUP(G843,'insumos terrapl'!$C$3:$K$47,7,0)</f>
        <v>00</v>
      </c>
      <c r="N843" s="29" t="str">
        <f>VLOOKUP(G843,'insumos terrapl'!$C$3:$K$47,8,0)</f>
        <v>00</v>
      </c>
      <c r="O843" s="97" t="str">
        <f>VLOOKUP(G843,'insumos terrapl'!$C$3:$K$47,9,0)</f>
        <v>00</v>
      </c>
    </row>
    <row r="844" spans="1:15" ht="30">
      <c r="A844" s="125"/>
      <c r="B844" s="127"/>
      <c r="C844" s="125"/>
      <c r="D844" s="115"/>
      <c r="E844" s="115"/>
      <c r="F844" s="11" t="s">
        <v>655</v>
      </c>
      <c r="G844" s="20" t="s">
        <v>656</v>
      </c>
      <c r="H844" s="29" t="str">
        <f>VLOOKUP(G844,'insumos terrapl'!$C$3:$K$47,2,0)</f>
        <v>2Q  62  02  10  00  00  00</v>
      </c>
      <c r="I844" s="29" t="str">
        <f>VLOOKUP(G844,'insumos terrapl'!$C$3:$K$47,3,0)</f>
        <v>2Q</v>
      </c>
      <c r="J844" s="29">
        <f>VLOOKUP(G844,'insumos terrapl'!$C$3:$K$47,4,0)</f>
        <v>62</v>
      </c>
      <c r="K844" s="29" t="str">
        <f>VLOOKUP(G844,'insumos terrapl'!$C$3:$K$47,5,0)</f>
        <v>02</v>
      </c>
      <c r="L844" s="29" t="str">
        <f>VLOOKUP(G844,'insumos terrapl'!$C$3:$K$47,6,0)</f>
        <v>10</v>
      </c>
      <c r="M844" s="29" t="str">
        <f>VLOOKUP(G844,'insumos terrapl'!$C$3:$K$47,7,0)</f>
        <v>00</v>
      </c>
      <c r="N844" s="29" t="str">
        <f>VLOOKUP(G844,'insumos terrapl'!$C$3:$K$47,8,0)</f>
        <v>00</v>
      </c>
      <c r="O844" s="97" t="str">
        <f>VLOOKUP(G844,'insumos terrapl'!$C$3:$K$47,9,0)</f>
        <v>00</v>
      </c>
    </row>
    <row r="845" spans="1:15">
      <c r="A845" s="125"/>
      <c r="B845" s="127"/>
      <c r="C845" s="125"/>
      <c r="D845" s="115"/>
      <c r="E845" s="115"/>
      <c r="F845" s="11" t="s">
        <v>588</v>
      </c>
      <c r="G845" s="20" t="s">
        <v>589</v>
      </c>
      <c r="H845" s="29" t="str">
        <f>VLOOKUP(G845,'insumos terrapl'!$C$3:$K$47,2,0)</f>
        <v>2N  20  14  08  00  00  00</v>
      </c>
      <c r="I845" s="29" t="str">
        <f>VLOOKUP(G845,'insumos terrapl'!$C$3:$K$47,3,0)</f>
        <v>2N</v>
      </c>
      <c r="J845" s="29">
        <f>VLOOKUP(G845,'insumos terrapl'!$C$3:$K$47,4,0)</f>
        <v>20</v>
      </c>
      <c r="K845" s="29">
        <f>VLOOKUP(G845,'insumos terrapl'!$C$3:$K$47,5,0)</f>
        <v>14</v>
      </c>
      <c r="L845" s="29" t="str">
        <f>VLOOKUP(G845,'insumos terrapl'!$C$3:$K$47,6,0)</f>
        <v>08</v>
      </c>
      <c r="M845" s="29" t="str">
        <f>VLOOKUP(G845,'insumos terrapl'!$C$3:$K$47,7,0)</f>
        <v>00</v>
      </c>
      <c r="N845" s="29" t="str">
        <f>VLOOKUP(G845,'insumos terrapl'!$C$3:$K$47,8,0)</f>
        <v>00</v>
      </c>
      <c r="O845" s="97" t="str">
        <f>VLOOKUP(G845,'insumos terrapl'!$C$3:$K$47,9,0)</f>
        <v>00</v>
      </c>
    </row>
    <row r="846" spans="1:15">
      <c r="A846" s="125"/>
      <c r="B846" s="127"/>
      <c r="C846" s="132"/>
      <c r="D846" s="116"/>
      <c r="E846" s="116"/>
      <c r="F846" s="13"/>
      <c r="G846" s="21"/>
      <c r="H846" s="31"/>
      <c r="I846" s="31"/>
      <c r="J846" s="31"/>
      <c r="K846" s="31"/>
      <c r="L846" s="31"/>
      <c r="M846" s="31"/>
      <c r="N846" s="31"/>
      <c r="O846" s="98"/>
    </row>
    <row r="847" spans="1:15">
      <c r="A847" s="125"/>
      <c r="B847" s="127"/>
      <c r="C847" s="124" t="s">
        <v>188</v>
      </c>
      <c r="D847" s="114" t="str">
        <f>$A$692</f>
        <v>2.6.6</v>
      </c>
      <c r="E847" s="115" t="s">
        <v>400</v>
      </c>
      <c r="F847" s="11" t="s">
        <v>188</v>
      </c>
      <c r="G847" s="20"/>
      <c r="H847" s="29"/>
      <c r="I847" s="29"/>
      <c r="J847" s="29"/>
      <c r="K847" s="29"/>
      <c r="L847" s="29"/>
      <c r="M847" s="29"/>
      <c r="N847" s="29"/>
      <c r="O847" s="97"/>
    </row>
    <row r="848" spans="1:15" ht="30">
      <c r="A848" s="125"/>
      <c r="B848" s="127"/>
      <c r="C848" s="125"/>
      <c r="D848" s="115"/>
      <c r="E848" s="115"/>
      <c r="F848" s="11" t="s">
        <v>651</v>
      </c>
      <c r="G848" s="20" t="s">
        <v>652</v>
      </c>
      <c r="H848" s="29" t="str">
        <f>VLOOKUP(G848,'insumos terrapl'!$C$3:$K$47,2,0)</f>
        <v>2Q  66  10  02  00  00  00</v>
      </c>
      <c r="I848" s="29" t="str">
        <f>VLOOKUP(G848,'insumos terrapl'!$C$3:$K$47,3,0)</f>
        <v>2Q</v>
      </c>
      <c r="J848" s="29">
        <f>VLOOKUP(G848,'insumos terrapl'!$C$3:$K$47,4,0)</f>
        <v>66</v>
      </c>
      <c r="K848" s="29" t="str">
        <f>VLOOKUP(G848,'insumos terrapl'!$C$3:$K$47,5,0)</f>
        <v>10</v>
      </c>
      <c r="L848" s="29" t="str">
        <f>VLOOKUP(G848,'insumos terrapl'!$C$3:$K$47,6,0)</f>
        <v>02</v>
      </c>
      <c r="M848" s="29" t="str">
        <f>VLOOKUP(G848,'insumos terrapl'!$C$3:$K$47,7,0)</f>
        <v>00</v>
      </c>
      <c r="N848" s="29" t="str">
        <f>VLOOKUP(G848,'insumos terrapl'!$C$3:$K$47,8,0)</f>
        <v>00</v>
      </c>
      <c r="O848" s="97" t="str">
        <f>VLOOKUP(G848,'insumos terrapl'!$C$3:$K$47,9,0)</f>
        <v>00</v>
      </c>
    </row>
    <row r="849" spans="1:15" ht="30">
      <c r="A849" s="125"/>
      <c r="B849" s="127"/>
      <c r="C849" s="125"/>
      <c r="D849" s="115"/>
      <c r="E849" s="115"/>
      <c r="F849" s="11" t="s">
        <v>655</v>
      </c>
      <c r="G849" s="20" t="s">
        <v>656</v>
      </c>
      <c r="H849" s="29" t="str">
        <f>VLOOKUP(G849,'insumos terrapl'!$C$3:$K$47,2,0)</f>
        <v>2Q  62  02  10  00  00  00</v>
      </c>
      <c r="I849" s="29" t="str">
        <f>VLOOKUP(G849,'insumos terrapl'!$C$3:$K$47,3,0)</f>
        <v>2Q</v>
      </c>
      <c r="J849" s="29">
        <f>VLOOKUP(G849,'insumos terrapl'!$C$3:$K$47,4,0)</f>
        <v>62</v>
      </c>
      <c r="K849" s="29" t="str">
        <f>VLOOKUP(G849,'insumos terrapl'!$C$3:$K$47,5,0)</f>
        <v>02</v>
      </c>
      <c r="L849" s="29" t="str">
        <f>VLOOKUP(G849,'insumos terrapl'!$C$3:$K$47,6,0)</f>
        <v>10</v>
      </c>
      <c r="M849" s="29" t="str">
        <f>VLOOKUP(G849,'insumos terrapl'!$C$3:$K$47,7,0)</f>
        <v>00</v>
      </c>
      <c r="N849" s="29" t="str">
        <f>VLOOKUP(G849,'insumos terrapl'!$C$3:$K$47,8,0)</f>
        <v>00</v>
      </c>
      <c r="O849" s="97" t="str">
        <f>VLOOKUP(G849,'insumos terrapl'!$C$3:$K$47,9,0)</f>
        <v>00</v>
      </c>
    </row>
    <row r="850" spans="1:15">
      <c r="A850" s="125"/>
      <c r="B850" s="127"/>
      <c r="C850" s="125"/>
      <c r="D850" s="115"/>
      <c r="E850" s="115"/>
      <c r="F850" s="11" t="s">
        <v>588</v>
      </c>
      <c r="G850" s="20" t="s">
        <v>589</v>
      </c>
      <c r="H850" s="29" t="str">
        <f>VLOOKUP(G850,'insumos terrapl'!$C$3:$K$47,2,0)</f>
        <v>2N  20  14  08  00  00  00</v>
      </c>
      <c r="I850" s="29" t="str">
        <f>VLOOKUP(G850,'insumos terrapl'!$C$3:$K$47,3,0)</f>
        <v>2N</v>
      </c>
      <c r="J850" s="29">
        <f>VLOOKUP(G850,'insumos terrapl'!$C$3:$K$47,4,0)</f>
        <v>20</v>
      </c>
      <c r="K850" s="29">
        <f>VLOOKUP(G850,'insumos terrapl'!$C$3:$K$47,5,0)</f>
        <v>14</v>
      </c>
      <c r="L850" s="29" t="str">
        <f>VLOOKUP(G850,'insumos terrapl'!$C$3:$K$47,6,0)</f>
        <v>08</v>
      </c>
      <c r="M850" s="29" t="str">
        <f>VLOOKUP(G850,'insumos terrapl'!$C$3:$K$47,7,0)</f>
        <v>00</v>
      </c>
      <c r="N850" s="29" t="str">
        <f>VLOOKUP(G850,'insumos terrapl'!$C$3:$K$47,8,0)</f>
        <v>00</v>
      </c>
      <c r="O850" s="97" t="str">
        <f>VLOOKUP(G850,'insumos terrapl'!$C$3:$K$47,9,0)</f>
        <v>00</v>
      </c>
    </row>
    <row r="851" spans="1:15">
      <c r="A851" s="125"/>
      <c r="B851" s="127"/>
      <c r="C851" s="132"/>
      <c r="D851" s="116"/>
      <c r="E851" s="116"/>
      <c r="F851" s="10"/>
      <c r="G851" s="20"/>
      <c r="H851" s="29"/>
      <c r="I851" s="29"/>
      <c r="J851" s="29"/>
      <c r="K851" s="29"/>
      <c r="L851" s="29"/>
      <c r="M851" s="29"/>
      <c r="N851" s="29"/>
      <c r="O851" s="97"/>
    </row>
    <row r="852" spans="1:15">
      <c r="A852" s="125"/>
      <c r="B852" s="127"/>
      <c r="C852" s="124" t="s">
        <v>189</v>
      </c>
      <c r="D852" s="114" t="str">
        <f>$A$692</f>
        <v>2.6.6</v>
      </c>
      <c r="E852" s="114" t="s">
        <v>402</v>
      </c>
      <c r="F852" s="15" t="s">
        <v>189</v>
      </c>
      <c r="G852" s="19"/>
      <c r="H852" s="28"/>
      <c r="I852" s="28"/>
      <c r="J852" s="28"/>
      <c r="K852" s="28"/>
      <c r="L852" s="28"/>
      <c r="M852" s="28"/>
      <c r="N852" s="28"/>
      <c r="O852" s="99"/>
    </row>
    <row r="853" spans="1:15" ht="30">
      <c r="A853" s="125"/>
      <c r="B853" s="127"/>
      <c r="C853" s="125"/>
      <c r="D853" s="115"/>
      <c r="E853" s="115"/>
      <c r="F853" s="16" t="s">
        <v>651</v>
      </c>
      <c r="G853" s="20" t="s">
        <v>652</v>
      </c>
      <c r="H853" s="29" t="str">
        <f>VLOOKUP(G853,'insumos terrapl'!$C$3:$K$47,2,0)</f>
        <v>2Q  66  10  02  00  00  00</v>
      </c>
      <c r="I853" s="29" t="str">
        <f>VLOOKUP(G853,'insumos terrapl'!$C$3:$K$47,3,0)</f>
        <v>2Q</v>
      </c>
      <c r="J853" s="29">
        <f>VLOOKUP(G853,'insumos terrapl'!$C$3:$K$47,4,0)</f>
        <v>66</v>
      </c>
      <c r="K853" s="29" t="str">
        <f>VLOOKUP(G853,'insumos terrapl'!$C$3:$K$47,5,0)</f>
        <v>10</v>
      </c>
      <c r="L853" s="29" t="str">
        <f>VLOOKUP(G853,'insumos terrapl'!$C$3:$K$47,6,0)</f>
        <v>02</v>
      </c>
      <c r="M853" s="29" t="str">
        <f>VLOOKUP(G853,'insumos terrapl'!$C$3:$K$47,7,0)</f>
        <v>00</v>
      </c>
      <c r="N853" s="29" t="str">
        <f>VLOOKUP(G853,'insumos terrapl'!$C$3:$K$47,8,0)</f>
        <v>00</v>
      </c>
      <c r="O853" s="97" t="str">
        <f>VLOOKUP(G853,'insumos terrapl'!$C$3:$K$47,9,0)</f>
        <v>00</v>
      </c>
    </row>
    <row r="854" spans="1:15" ht="30">
      <c r="A854" s="125"/>
      <c r="B854" s="127"/>
      <c r="C854" s="125"/>
      <c r="D854" s="115"/>
      <c r="E854" s="115"/>
      <c r="F854" s="16" t="s">
        <v>655</v>
      </c>
      <c r="G854" s="20" t="s">
        <v>656</v>
      </c>
      <c r="H854" s="29" t="str">
        <f>VLOOKUP(G854,'insumos terrapl'!$C$3:$K$47,2,0)</f>
        <v>2Q  62  02  10  00  00  00</v>
      </c>
      <c r="I854" s="29" t="str">
        <f>VLOOKUP(G854,'insumos terrapl'!$C$3:$K$47,3,0)</f>
        <v>2Q</v>
      </c>
      <c r="J854" s="29">
        <f>VLOOKUP(G854,'insumos terrapl'!$C$3:$K$47,4,0)</f>
        <v>62</v>
      </c>
      <c r="K854" s="29" t="str">
        <f>VLOOKUP(G854,'insumos terrapl'!$C$3:$K$47,5,0)</f>
        <v>02</v>
      </c>
      <c r="L854" s="29" t="str">
        <f>VLOOKUP(G854,'insumos terrapl'!$C$3:$K$47,6,0)</f>
        <v>10</v>
      </c>
      <c r="M854" s="29" t="str">
        <f>VLOOKUP(G854,'insumos terrapl'!$C$3:$K$47,7,0)</f>
        <v>00</v>
      </c>
      <c r="N854" s="29" t="str">
        <f>VLOOKUP(G854,'insumos terrapl'!$C$3:$K$47,8,0)</f>
        <v>00</v>
      </c>
      <c r="O854" s="97" t="str">
        <f>VLOOKUP(G854,'insumos terrapl'!$C$3:$K$47,9,0)</f>
        <v>00</v>
      </c>
    </row>
    <row r="855" spans="1:15">
      <c r="A855" s="125"/>
      <c r="B855" s="127"/>
      <c r="C855" s="125"/>
      <c r="D855" s="115"/>
      <c r="E855" s="115"/>
      <c r="F855" s="16" t="s">
        <v>588</v>
      </c>
      <c r="G855" s="20" t="s">
        <v>589</v>
      </c>
      <c r="H855" s="29" t="str">
        <f>VLOOKUP(G855,'insumos terrapl'!$C$3:$K$47,2,0)</f>
        <v>2N  20  14  08  00  00  00</v>
      </c>
      <c r="I855" s="29" t="str">
        <f>VLOOKUP(G855,'insumos terrapl'!$C$3:$K$47,3,0)</f>
        <v>2N</v>
      </c>
      <c r="J855" s="29">
        <f>VLOOKUP(G855,'insumos terrapl'!$C$3:$K$47,4,0)</f>
        <v>20</v>
      </c>
      <c r="K855" s="29">
        <f>VLOOKUP(G855,'insumos terrapl'!$C$3:$K$47,5,0)</f>
        <v>14</v>
      </c>
      <c r="L855" s="29" t="str">
        <f>VLOOKUP(G855,'insumos terrapl'!$C$3:$K$47,6,0)</f>
        <v>08</v>
      </c>
      <c r="M855" s="29" t="str">
        <f>VLOOKUP(G855,'insumos terrapl'!$C$3:$K$47,7,0)</f>
        <v>00</v>
      </c>
      <c r="N855" s="29" t="str">
        <f>VLOOKUP(G855,'insumos terrapl'!$C$3:$K$47,8,0)</f>
        <v>00</v>
      </c>
      <c r="O855" s="97" t="str">
        <f>VLOOKUP(G855,'insumos terrapl'!$C$3:$K$47,9,0)</f>
        <v>00</v>
      </c>
    </row>
    <row r="856" spans="1:15">
      <c r="A856" s="125"/>
      <c r="B856" s="127"/>
      <c r="C856" s="132"/>
      <c r="D856" s="116"/>
      <c r="E856" s="115"/>
      <c r="F856" s="16"/>
      <c r="G856" s="20"/>
      <c r="H856" s="29"/>
      <c r="I856" s="29"/>
      <c r="J856" s="29"/>
      <c r="K856" s="29"/>
      <c r="L856" s="29"/>
      <c r="M856" s="29"/>
      <c r="N856" s="29"/>
      <c r="O856" s="97"/>
    </row>
    <row r="857" spans="1:15">
      <c r="A857" s="125"/>
      <c r="B857" s="127"/>
      <c r="C857" s="124" t="s">
        <v>190</v>
      </c>
      <c r="D857" s="114" t="str">
        <f>$A$692</f>
        <v>2.6.6</v>
      </c>
      <c r="E857" s="114" t="s">
        <v>404</v>
      </c>
      <c r="F857" s="15" t="s">
        <v>190</v>
      </c>
      <c r="G857" s="19"/>
      <c r="H857" s="28"/>
      <c r="I857" s="28"/>
      <c r="J857" s="28"/>
      <c r="K857" s="28"/>
      <c r="L857" s="28"/>
      <c r="M857" s="28"/>
      <c r="N857" s="28"/>
      <c r="O857" s="99"/>
    </row>
    <row r="858" spans="1:15" ht="30">
      <c r="A858" s="125"/>
      <c r="B858" s="127"/>
      <c r="C858" s="125"/>
      <c r="D858" s="115"/>
      <c r="E858" s="115"/>
      <c r="F858" s="16" t="s">
        <v>651</v>
      </c>
      <c r="G858" s="20" t="s">
        <v>652</v>
      </c>
      <c r="H858" s="29" t="str">
        <f>VLOOKUP(G858,'insumos terrapl'!$C$3:$K$47,2,0)</f>
        <v>2Q  66  10  02  00  00  00</v>
      </c>
      <c r="I858" s="29" t="str">
        <f>VLOOKUP(G858,'insumos terrapl'!$C$3:$K$47,3,0)</f>
        <v>2Q</v>
      </c>
      <c r="J858" s="29">
        <f>VLOOKUP(G858,'insumos terrapl'!$C$3:$K$47,4,0)</f>
        <v>66</v>
      </c>
      <c r="K858" s="29" t="str">
        <f>VLOOKUP(G858,'insumos terrapl'!$C$3:$K$47,5,0)</f>
        <v>10</v>
      </c>
      <c r="L858" s="29" t="str">
        <f>VLOOKUP(G858,'insumos terrapl'!$C$3:$K$47,6,0)</f>
        <v>02</v>
      </c>
      <c r="M858" s="29" t="str">
        <f>VLOOKUP(G858,'insumos terrapl'!$C$3:$K$47,7,0)</f>
        <v>00</v>
      </c>
      <c r="N858" s="29" t="str">
        <f>VLOOKUP(G858,'insumos terrapl'!$C$3:$K$47,8,0)</f>
        <v>00</v>
      </c>
      <c r="O858" s="97" t="str">
        <f>VLOOKUP(G858,'insumos terrapl'!$C$3:$K$47,9,0)</f>
        <v>00</v>
      </c>
    </row>
    <row r="859" spans="1:15" ht="30">
      <c r="A859" s="125"/>
      <c r="B859" s="127"/>
      <c r="C859" s="125"/>
      <c r="D859" s="115"/>
      <c r="E859" s="115"/>
      <c r="F859" s="16" t="s">
        <v>655</v>
      </c>
      <c r="G859" s="20" t="s">
        <v>656</v>
      </c>
      <c r="H859" s="29" t="str">
        <f>VLOOKUP(G859,'insumos terrapl'!$C$3:$K$47,2,0)</f>
        <v>2Q  62  02  10  00  00  00</v>
      </c>
      <c r="I859" s="29" t="str">
        <f>VLOOKUP(G859,'insumos terrapl'!$C$3:$K$47,3,0)</f>
        <v>2Q</v>
      </c>
      <c r="J859" s="29">
        <f>VLOOKUP(G859,'insumos terrapl'!$C$3:$K$47,4,0)</f>
        <v>62</v>
      </c>
      <c r="K859" s="29" t="str">
        <f>VLOOKUP(G859,'insumos terrapl'!$C$3:$K$47,5,0)</f>
        <v>02</v>
      </c>
      <c r="L859" s="29" t="str">
        <f>VLOOKUP(G859,'insumos terrapl'!$C$3:$K$47,6,0)</f>
        <v>10</v>
      </c>
      <c r="M859" s="29" t="str">
        <f>VLOOKUP(G859,'insumos terrapl'!$C$3:$K$47,7,0)</f>
        <v>00</v>
      </c>
      <c r="N859" s="29" t="str">
        <f>VLOOKUP(G859,'insumos terrapl'!$C$3:$K$47,8,0)</f>
        <v>00</v>
      </c>
      <c r="O859" s="97" t="str">
        <f>VLOOKUP(G859,'insumos terrapl'!$C$3:$K$47,9,0)</f>
        <v>00</v>
      </c>
    </row>
    <row r="860" spans="1:15">
      <c r="A860" s="125"/>
      <c r="B860" s="127"/>
      <c r="C860" s="125"/>
      <c r="D860" s="115"/>
      <c r="E860" s="115"/>
      <c r="F860" s="16" t="s">
        <v>588</v>
      </c>
      <c r="G860" s="20" t="s">
        <v>589</v>
      </c>
      <c r="H860" s="29" t="str">
        <f>VLOOKUP(G860,'insumos terrapl'!$C$3:$K$47,2,0)</f>
        <v>2N  20  14  08  00  00  00</v>
      </c>
      <c r="I860" s="29" t="str">
        <f>VLOOKUP(G860,'insumos terrapl'!$C$3:$K$47,3,0)</f>
        <v>2N</v>
      </c>
      <c r="J860" s="29">
        <f>VLOOKUP(G860,'insumos terrapl'!$C$3:$K$47,4,0)</f>
        <v>20</v>
      </c>
      <c r="K860" s="29">
        <f>VLOOKUP(G860,'insumos terrapl'!$C$3:$K$47,5,0)</f>
        <v>14</v>
      </c>
      <c r="L860" s="29" t="str">
        <f>VLOOKUP(G860,'insumos terrapl'!$C$3:$K$47,6,0)</f>
        <v>08</v>
      </c>
      <c r="M860" s="29" t="str">
        <f>VLOOKUP(G860,'insumos terrapl'!$C$3:$K$47,7,0)</f>
        <v>00</v>
      </c>
      <c r="N860" s="29" t="str">
        <f>VLOOKUP(G860,'insumos terrapl'!$C$3:$K$47,8,0)</f>
        <v>00</v>
      </c>
      <c r="O860" s="97" t="str">
        <f>VLOOKUP(G860,'insumos terrapl'!$C$3:$K$47,9,0)</f>
        <v>00</v>
      </c>
    </row>
    <row r="861" spans="1:15">
      <c r="A861" s="125"/>
      <c r="B861" s="127"/>
      <c r="C861" s="132"/>
      <c r="D861" s="116"/>
      <c r="E861" s="116"/>
      <c r="F861" s="17"/>
      <c r="G861" s="21"/>
      <c r="H861" s="31"/>
      <c r="I861" s="31"/>
      <c r="J861" s="31"/>
      <c r="K861" s="31"/>
      <c r="L861" s="31"/>
      <c r="M861" s="31"/>
      <c r="N861" s="31"/>
      <c r="O861" s="98"/>
    </row>
    <row r="862" spans="1:15">
      <c r="A862" s="125"/>
      <c r="B862" s="127"/>
      <c r="C862" s="124" t="s">
        <v>191</v>
      </c>
      <c r="D862" s="114" t="str">
        <f>$A$692</f>
        <v>2.6.6</v>
      </c>
      <c r="E862" s="115" t="s">
        <v>406</v>
      </c>
      <c r="F862" s="16" t="s">
        <v>191</v>
      </c>
      <c r="G862" s="20"/>
      <c r="H862" s="29"/>
      <c r="I862" s="29"/>
      <c r="J862" s="29"/>
      <c r="K862" s="29"/>
      <c r="L862" s="29"/>
      <c r="M862" s="29"/>
      <c r="N862" s="29"/>
      <c r="O862" s="97"/>
    </row>
    <row r="863" spans="1:15" ht="30">
      <c r="A863" s="125"/>
      <c r="B863" s="127"/>
      <c r="C863" s="125"/>
      <c r="D863" s="115"/>
      <c r="E863" s="115"/>
      <c r="F863" s="16" t="s">
        <v>651</v>
      </c>
      <c r="G863" s="20" t="s">
        <v>652</v>
      </c>
      <c r="H863" s="29" t="str">
        <f>VLOOKUP(G863,'insumos terrapl'!$C$3:$K$47,2,0)</f>
        <v>2Q  66  10  02  00  00  00</v>
      </c>
      <c r="I863" s="29" t="str">
        <f>VLOOKUP(G863,'insumos terrapl'!$C$3:$K$47,3,0)</f>
        <v>2Q</v>
      </c>
      <c r="J863" s="29">
        <f>VLOOKUP(G863,'insumos terrapl'!$C$3:$K$47,4,0)</f>
        <v>66</v>
      </c>
      <c r="K863" s="29" t="str">
        <f>VLOOKUP(G863,'insumos terrapl'!$C$3:$K$47,5,0)</f>
        <v>10</v>
      </c>
      <c r="L863" s="29" t="str">
        <f>VLOOKUP(G863,'insumos terrapl'!$C$3:$K$47,6,0)</f>
        <v>02</v>
      </c>
      <c r="M863" s="29" t="str">
        <f>VLOOKUP(G863,'insumos terrapl'!$C$3:$K$47,7,0)</f>
        <v>00</v>
      </c>
      <c r="N863" s="29" t="str">
        <f>VLOOKUP(G863,'insumos terrapl'!$C$3:$K$47,8,0)</f>
        <v>00</v>
      </c>
      <c r="O863" s="97" t="str">
        <f>VLOOKUP(G863,'insumos terrapl'!$C$3:$K$47,9,0)</f>
        <v>00</v>
      </c>
    </row>
    <row r="864" spans="1:15" ht="30">
      <c r="A864" s="125"/>
      <c r="B864" s="127"/>
      <c r="C864" s="125"/>
      <c r="D864" s="115"/>
      <c r="E864" s="115"/>
      <c r="F864" s="16" t="s">
        <v>655</v>
      </c>
      <c r="G864" s="20" t="s">
        <v>656</v>
      </c>
      <c r="H864" s="29" t="str">
        <f>VLOOKUP(G864,'insumos terrapl'!$C$3:$K$47,2,0)</f>
        <v>2Q  62  02  10  00  00  00</v>
      </c>
      <c r="I864" s="29" t="str">
        <f>VLOOKUP(G864,'insumos terrapl'!$C$3:$K$47,3,0)</f>
        <v>2Q</v>
      </c>
      <c r="J864" s="29">
        <f>VLOOKUP(G864,'insumos terrapl'!$C$3:$K$47,4,0)</f>
        <v>62</v>
      </c>
      <c r="K864" s="29" t="str">
        <f>VLOOKUP(G864,'insumos terrapl'!$C$3:$K$47,5,0)</f>
        <v>02</v>
      </c>
      <c r="L864" s="29" t="str">
        <f>VLOOKUP(G864,'insumos terrapl'!$C$3:$K$47,6,0)</f>
        <v>10</v>
      </c>
      <c r="M864" s="29" t="str">
        <f>VLOOKUP(G864,'insumos terrapl'!$C$3:$K$47,7,0)</f>
        <v>00</v>
      </c>
      <c r="N864" s="29" t="str">
        <f>VLOOKUP(G864,'insumos terrapl'!$C$3:$K$47,8,0)</f>
        <v>00</v>
      </c>
      <c r="O864" s="97" t="str">
        <f>VLOOKUP(G864,'insumos terrapl'!$C$3:$K$47,9,0)</f>
        <v>00</v>
      </c>
    </row>
    <row r="865" spans="1:15">
      <c r="A865" s="125"/>
      <c r="B865" s="127"/>
      <c r="C865" s="125"/>
      <c r="D865" s="115"/>
      <c r="E865" s="115"/>
      <c r="F865" s="16" t="s">
        <v>588</v>
      </c>
      <c r="G865" s="20" t="s">
        <v>589</v>
      </c>
      <c r="H865" s="29" t="str">
        <f>VLOOKUP(G865,'insumos terrapl'!$C$3:$K$47,2,0)</f>
        <v>2N  20  14  08  00  00  00</v>
      </c>
      <c r="I865" s="29" t="str">
        <f>VLOOKUP(G865,'insumos terrapl'!$C$3:$K$47,3,0)</f>
        <v>2N</v>
      </c>
      <c r="J865" s="29">
        <f>VLOOKUP(G865,'insumos terrapl'!$C$3:$K$47,4,0)</f>
        <v>20</v>
      </c>
      <c r="K865" s="29">
        <f>VLOOKUP(G865,'insumos terrapl'!$C$3:$K$47,5,0)</f>
        <v>14</v>
      </c>
      <c r="L865" s="29" t="str">
        <f>VLOOKUP(G865,'insumos terrapl'!$C$3:$K$47,6,0)</f>
        <v>08</v>
      </c>
      <c r="M865" s="29" t="str">
        <f>VLOOKUP(G865,'insumos terrapl'!$C$3:$K$47,7,0)</f>
        <v>00</v>
      </c>
      <c r="N865" s="29" t="str">
        <f>VLOOKUP(G865,'insumos terrapl'!$C$3:$K$47,8,0)</f>
        <v>00</v>
      </c>
      <c r="O865" s="97" t="str">
        <f>VLOOKUP(G865,'insumos terrapl'!$C$3:$K$47,9,0)</f>
        <v>00</v>
      </c>
    </row>
    <row r="866" spans="1:15">
      <c r="A866" s="125"/>
      <c r="B866" s="127"/>
      <c r="C866" s="132"/>
      <c r="D866" s="116"/>
      <c r="E866" s="116"/>
      <c r="F866" s="17"/>
      <c r="G866" s="21"/>
      <c r="H866" s="31"/>
      <c r="I866" s="31"/>
      <c r="J866" s="31"/>
      <c r="K866" s="31"/>
      <c r="L866" s="31"/>
      <c r="M866" s="31"/>
      <c r="N866" s="31"/>
      <c r="O866" s="98"/>
    </row>
    <row r="867" spans="1:15">
      <c r="A867" s="125"/>
      <c r="B867" s="127"/>
      <c r="C867" s="124" t="s">
        <v>192</v>
      </c>
      <c r="D867" s="114" t="str">
        <f>$A$692</f>
        <v>2.6.6</v>
      </c>
      <c r="E867" s="114" t="s">
        <v>408</v>
      </c>
      <c r="F867" s="11" t="s">
        <v>192</v>
      </c>
      <c r="G867" s="20"/>
      <c r="H867" s="29"/>
      <c r="I867" s="29"/>
      <c r="J867" s="29"/>
      <c r="K867" s="29"/>
      <c r="L867" s="29"/>
      <c r="M867" s="29"/>
      <c r="N867" s="29"/>
      <c r="O867" s="97"/>
    </row>
    <row r="868" spans="1:15" ht="30">
      <c r="A868" s="125"/>
      <c r="B868" s="127"/>
      <c r="C868" s="125"/>
      <c r="D868" s="115"/>
      <c r="E868" s="115"/>
      <c r="F868" s="11" t="s">
        <v>651</v>
      </c>
      <c r="G868" s="20" t="s">
        <v>652</v>
      </c>
      <c r="H868" s="29" t="str">
        <f>VLOOKUP(G868,'insumos terrapl'!$C$3:$K$47,2,0)</f>
        <v>2Q  66  10  02  00  00  00</v>
      </c>
      <c r="I868" s="29" t="str">
        <f>VLOOKUP(G868,'insumos terrapl'!$C$3:$K$47,3,0)</f>
        <v>2Q</v>
      </c>
      <c r="J868" s="29">
        <f>VLOOKUP(G868,'insumos terrapl'!$C$3:$K$47,4,0)</f>
        <v>66</v>
      </c>
      <c r="K868" s="29" t="str">
        <f>VLOOKUP(G868,'insumos terrapl'!$C$3:$K$47,5,0)</f>
        <v>10</v>
      </c>
      <c r="L868" s="29" t="str">
        <f>VLOOKUP(G868,'insumos terrapl'!$C$3:$K$47,6,0)</f>
        <v>02</v>
      </c>
      <c r="M868" s="29" t="str">
        <f>VLOOKUP(G868,'insumos terrapl'!$C$3:$K$47,7,0)</f>
        <v>00</v>
      </c>
      <c r="N868" s="29" t="str">
        <f>VLOOKUP(G868,'insumos terrapl'!$C$3:$K$47,8,0)</f>
        <v>00</v>
      </c>
      <c r="O868" s="97" t="str">
        <f>VLOOKUP(G868,'insumos terrapl'!$C$3:$K$47,9,0)</f>
        <v>00</v>
      </c>
    </row>
    <row r="869" spans="1:15" ht="30">
      <c r="A869" s="125"/>
      <c r="B869" s="127"/>
      <c r="C869" s="125"/>
      <c r="D869" s="115"/>
      <c r="E869" s="115"/>
      <c r="F869" s="11" t="s">
        <v>655</v>
      </c>
      <c r="G869" s="20" t="s">
        <v>656</v>
      </c>
      <c r="H869" s="29" t="str">
        <f>VLOOKUP(G869,'insumos terrapl'!$C$3:$K$47,2,0)</f>
        <v>2Q  62  02  10  00  00  00</v>
      </c>
      <c r="I869" s="29" t="str">
        <f>VLOOKUP(G869,'insumos terrapl'!$C$3:$K$47,3,0)</f>
        <v>2Q</v>
      </c>
      <c r="J869" s="29">
        <f>VLOOKUP(G869,'insumos terrapl'!$C$3:$K$47,4,0)</f>
        <v>62</v>
      </c>
      <c r="K869" s="29" t="str">
        <f>VLOOKUP(G869,'insumos terrapl'!$C$3:$K$47,5,0)</f>
        <v>02</v>
      </c>
      <c r="L869" s="29" t="str">
        <f>VLOOKUP(G869,'insumos terrapl'!$C$3:$K$47,6,0)</f>
        <v>10</v>
      </c>
      <c r="M869" s="29" t="str">
        <f>VLOOKUP(G869,'insumos terrapl'!$C$3:$K$47,7,0)</f>
        <v>00</v>
      </c>
      <c r="N869" s="29" t="str">
        <f>VLOOKUP(G869,'insumos terrapl'!$C$3:$K$47,8,0)</f>
        <v>00</v>
      </c>
      <c r="O869" s="97" t="str">
        <f>VLOOKUP(G869,'insumos terrapl'!$C$3:$K$47,9,0)</f>
        <v>00</v>
      </c>
    </row>
    <row r="870" spans="1:15">
      <c r="A870" s="125"/>
      <c r="B870" s="127"/>
      <c r="C870" s="125"/>
      <c r="D870" s="115"/>
      <c r="E870" s="115"/>
      <c r="F870" s="11" t="s">
        <v>588</v>
      </c>
      <c r="G870" s="20" t="s">
        <v>589</v>
      </c>
      <c r="H870" s="29" t="str">
        <f>VLOOKUP(G870,'insumos terrapl'!$C$3:$K$47,2,0)</f>
        <v>2N  20  14  08  00  00  00</v>
      </c>
      <c r="I870" s="29" t="str">
        <f>VLOOKUP(G870,'insumos terrapl'!$C$3:$K$47,3,0)</f>
        <v>2N</v>
      </c>
      <c r="J870" s="29">
        <f>VLOOKUP(G870,'insumos terrapl'!$C$3:$K$47,4,0)</f>
        <v>20</v>
      </c>
      <c r="K870" s="29">
        <f>VLOOKUP(G870,'insumos terrapl'!$C$3:$K$47,5,0)</f>
        <v>14</v>
      </c>
      <c r="L870" s="29" t="str">
        <f>VLOOKUP(G870,'insumos terrapl'!$C$3:$K$47,6,0)</f>
        <v>08</v>
      </c>
      <c r="M870" s="29" t="str">
        <f>VLOOKUP(G870,'insumos terrapl'!$C$3:$K$47,7,0)</f>
        <v>00</v>
      </c>
      <c r="N870" s="29" t="str">
        <f>VLOOKUP(G870,'insumos terrapl'!$C$3:$K$47,8,0)</f>
        <v>00</v>
      </c>
      <c r="O870" s="97" t="str">
        <f>VLOOKUP(G870,'insumos terrapl'!$C$3:$K$47,9,0)</f>
        <v>00</v>
      </c>
    </row>
    <row r="871" spans="1:15">
      <c r="A871" s="125"/>
      <c r="B871" s="127"/>
      <c r="C871" s="132"/>
      <c r="D871" s="116"/>
      <c r="E871" s="115"/>
      <c r="F871" s="10"/>
      <c r="G871" s="20"/>
      <c r="H871" s="29"/>
      <c r="I871" s="29"/>
      <c r="J871" s="29"/>
      <c r="K871" s="29"/>
      <c r="L871" s="29"/>
      <c r="M871" s="29"/>
      <c r="N871" s="29"/>
      <c r="O871" s="97"/>
    </row>
    <row r="872" spans="1:15">
      <c r="A872" s="125"/>
      <c r="B872" s="127"/>
      <c r="C872" s="124" t="s">
        <v>193</v>
      </c>
      <c r="D872" s="114" t="str">
        <f>$A$692</f>
        <v>2.6.6</v>
      </c>
      <c r="E872" s="114" t="s">
        <v>410</v>
      </c>
      <c r="F872" s="12" t="s">
        <v>193</v>
      </c>
      <c r="G872" s="19"/>
      <c r="H872" s="28"/>
      <c r="I872" s="28"/>
      <c r="J872" s="28"/>
      <c r="K872" s="28"/>
      <c r="L872" s="28"/>
      <c r="M872" s="28"/>
      <c r="N872" s="28"/>
      <c r="O872" s="99"/>
    </row>
    <row r="873" spans="1:15" ht="30">
      <c r="A873" s="125"/>
      <c r="B873" s="127"/>
      <c r="C873" s="125"/>
      <c r="D873" s="115"/>
      <c r="E873" s="115"/>
      <c r="F873" s="11" t="s">
        <v>651</v>
      </c>
      <c r="G873" s="20" t="s">
        <v>652</v>
      </c>
      <c r="H873" s="29" t="str">
        <f>VLOOKUP(G873,'insumos terrapl'!$C$3:$K$47,2,0)</f>
        <v>2Q  66  10  02  00  00  00</v>
      </c>
      <c r="I873" s="29" t="str">
        <f>VLOOKUP(G873,'insumos terrapl'!$C$3:$K$47,3,0)</f>
        <v>2Q</v>
      </c>
      <c r="J873" s="29">
        <f>VLOOKUP(G873,'insumos terrapl'!$C$3:$K$47,4,0)</f>
        <v>66</v>
      </c>
      <c r="K873" s="29" t="str">
        <f>VLOOKUP(G873,'insumos terrapl'!$C$3:$K$47,5,0)</f>
        <v>10</v>
      </c>
      <c r="L873" s="29" t="str">
        <f>VLOOKUP(G873,'insumos terrapl'!$C$3:$K$47,6,0)</f>
        <v>02</v>
      </c>
      <c r="M873" s="29" t="str">
        <f>VLOOKUP(G873,'insumos terrapl'!$C$3:$K$47,7,0)</f>
        <v>00</v>
      </c>
      <c r="N873" s="29" t="str">
        <f>VLOOKUP(G873,'insumos terrapl'!$C$3:$K$47,8,0)</f>
        <v>00</v>
      </c>
      <c r="O873" s="97" t="str">
        <f>VLOOKUP(G873,'insumos terrapl'!$C$3:$K$47,9,0)</f>
        <v>00</v>
      </c>
    </row>
    <row r="874" spans="1:15" ht="30">
      <c r="A874" s="125"/>
      <c r="B874" s="127"/>
      <c r="C874" s="125"/>
      <c r="D874" s="115"/>
      <c r="E874" s="115"/>
      <c r="F874" s="11" t="s">
        <v>655</v>
      </c>
      <c r="G874" s="20" t="s">
        <v>656</v>
      </c>
      <c r="H874" s="29" t="str">
        <f>VLOOKUP(G874,'insumos terrapl'!$C$3:$K$47,2,0)</f>
        <v>2Q  62  02  10  00  00  00</v>
      </c>
      <c r="I874" s="29" t="str">
        <f>VLOOKUP(G874,'insumos terrapl'!$C$3:$K$47,3,0)</f>
        <v>2Q</v>
      </c>
      <c r="J874" s="29">
        <f>VLOOKUP(G874,'insumos terrapl'!$C$3:$K$47,4,0)</f>
        <v>62</v>
      </c>
      <c r="K874" s="29" t="str">
        <f>VLOOKUP(G874,'insumos terrapl'!$C$3:$K$47,5,0)</f>
        <v>02</v>
      </c>
      <c r="L874" s="29" t="str">
        <f>VLOOKUP(G874,'insumos terrapl'!$C$3:$K$47,6,0)</f>
        <v>10</v>
      </c>
      <c r="M874" s="29" t="str">
        <f>VLOOKUP(G874,'insumos terrapl'!$C$3:$K$47,7,0)</f>
        <v>00</v>
      </c>
      <c r="N874" s="29" t="str">
        <f>VLOOKUP(G874,'insumos terrapl'!$C$3:$K$47,8,0)</f>
        <v>00</v>
      </c>
      <c r="O874" s="97" t="str">
        <f>VLOOKUP(G874,'insumos terrapl'!$C$3:$K$47,9,0)</f>
        <v>00</v>
      </c>
    </row>
    <row r="875" spans="1:15">
      <c r="A875" s="125"/>
      <c r="B875" s="127"/>
      <c r="C875" s="125"/>
      <c r="D875" s="115"/>
      <c r="E875" s="115"/>
      <c r="F875" s="11" t="s">
        <v>588</v>
      </c>
      <c r="G875" s="20" t="s">
        <v>589</v>
      </c>
      <c r="H875" s="29" t="str">
        <f>VLOOKUP(G875,'insumos terrapl'!$C$3:$K$47,2,0)</f>
        <v>2N  20  14  08  00  00  00</v>
      </c>
      <c r="I875" s="29" t="str">
        <f>VLOOKUP(G875,'insumos terrapl'!$C$3:$K$47,3,0)</f>
        <v>2N</v>
      </c>
      <c r="J875" s="29">
        <f>VLOOKUP(G875,'insumos terrapl'!$C$3:$K$47,4,0)</f>
        <v>20</v>
      </c>
      <c r="K875" s="29">
        <f>VLOOKUP(G875,'insumos terrapl'!$C$3:$K$47,5,0)</f>
        <v>14</v>
      </c>
      <c r="L875" s="29" t="str">
        <f>VLOOKUP(G875,'insumos terrapl'!$C$3:$K$47,6,0)</f>
        <v>08</v>
      </c>
      <c r="M875" s="29" t="str">
        <f>VLOOKUP(G875,'insumos terrapl'!$C$3:$K$47,7,0)</f>
        <v>00</v>
      </c>
      <c r="N875" s="29" t="str">
        <f>VLOOKUP(G875,'insumos terrapl'!$C$3:$K$47,8,0)</f>
        <v>00</v>
      </c>
      <c r="O875" s="97" t="str">
        <f>VLOOKUP(G875,'insumos terrapl'!$C$3:$K$47,9,0)</f>
        <v>00</v>
      </c>
    </row>
    <row r="876" spans="1:15">
      <c r="A876" s="125"/>
      <c r="B876" s="127"/>
      <c r="C876" s="132"/>
      <c r="D876" s="116"/>
      <c r="E876" s="116"/>
      <c r="F876" s="13"/>
      <c r="G876" s="21"/>
      <c r="H876" s="31"/>
      <c r="I876" s="31"/>
      <c r="J876" s="31"/>
      <c r="K876" s="31"/>
      <c r="L876" s="31"/>
      <c r="M876" s="31"/>
      <c r="N876" s="31"/>
      <c r="O876" s="98"/>
    </row>
    <row r="877" spans="1:15">
      <c r="A877" s="125"/>
      <c r="B877" s="127"/>
      <c r="C877" s="124" t="s">
        <v>194</v>
      </c>
      <c r="D877" s="114" t="str">
        <f>$A$692</f>
        <v>2.6.6</v>
      </c>
      <c r="E877" s="114" t="s">
        <v>412</v>
      </c>
      <c r="F877" s="12" t="s">
        <v>194</v>
      </c>
      <c r="G877" s="19"/>
      <c r="H877" s="28"/>
      <c r="I877" s="28"/>
      <c r="J877" s="28"/>
      <c r="K877" s="28"/>
      <c r="L877" s="28"/>
      <c r="M877" s="28"/>
      <c r="N877" s="28"/>
      <c r="O877" s="99"/>
    </row>
    <row r="878" spans="1:15" ht="30">
      <c r="A878" s="125"/>
      <c r="B878" s="127"/>
      <c r="C878" s="125"/>
      <c r="D878" s="115"/>
      <c r="E878" s="115"/>
      <c r="F878" s="11" t="s">
        <v>651</v>
      </c>
      <c r="G878" s="20" t="s">
        <v>652</v>
      </c>
      <c r="H878" s="29" t="str">
        <f>VLOOKUP(G878,'insumos terrapl'!$C$3:$K$47,2,0)</f>
        <v>2Q  66  10  02  00  00  00</v>
      </c>
      <c r="I878" s="29" t="str">
        <f>VLOOKUP(G878,'insumos terrapl'!$C$3:$K$47,3,0)</f>
        <v>2Q</v>
      </c>
      <c r="J878" s="29">
        <f>VLOOKUP(G878,'insumos terrapl'!$C$3:$K$47,4,0)</f>
        <v>66</v>
      </c>
      <c r="K878" s="29" t="str">
        <f>VLOOKUP(G878,'insumos terrapl'!$C$3:$K$47,5,0)</f>
        <v>10</v>
      </c>
      <c r="L878" s="29" t="str">
        <f>VLOOKUP(G878,'insumos terrapl'!$C$3:$K$47,6,0)</f>
        <v>02</v>
      </c>
      <c r="M878" s="29" t="str">
        <f>VLOOKUP(G878,'insumos terrapl'!$C$3:$K$47,7,0)</f>
        <v>00</v>
      </c>
      <c r="N878" s="29" t="str">
        <f>VLOOKUP(G878,'insumos terrapl'!$C$3:$K$47,8,0)</f>
        <v>00</v>
      </c>
      <c r="O878" s="97" t="str">
        <f>VLOOKUP(G878,'insumos terrapl'!$C$3:$K$47,9,0)</f>
        <v>00</v>
      </c>
    </row>
    <row r="879" spans="1:15" ht="30">
      <c r="A879" s="125"/>
      <c r="B879" s="127"/>
      <c r="C879" s="125"/>
      <c r="D879" s="115"/>
      <c r="E879" s="115"/>
      <c r="F879" s="11" t="s">
        <v>655</v>
      </c>
      <c r="G879" s="20" t="s">
        <v>656</v>
      </c>
      <c r="H879" s="29" t="str">
        <f>VLOOKUP(G879,'insumos terrapl'!$C$3:$K$47,2,0)</f>
        <v>2Q  62  02  10  00  00  00</v>
      </c>
      <c r="I879" s="29" t="str">
        <f>VLOOKUP(G879,'insumos terrapl'!$C$3:$K$47,3,0)</f>
        <v>2Q</v>
      </c>
      <c r="J879" s="29">
        <f>VLOOKUP(G879,'insumos terrapl'!$C$3:$K$47,4,0)</f>
        <v>62</v>
      </c>
      <c r="K879" s="29" t="str">
        <f>VLOOKUP(G879,'insumos terrapl'!$C$3:$K$47,5,0)</f>
        <v>02</v>
      </c>
      <c r="L879" s="29" t="str">
        <f>VLOOKUP(G879,'insumos terrapl'!$C$3:$K$47,6,0)</f>
        <v>10</v>
      </c>
      <c r="M879" s="29" t="str">
        <f>VLOOKUP(G879,'insumos terrapl'!$C$3:$K$47,7,0)</f>
        <v>00</v>
      </c>
      <c r="N879" s="29" t="str">
        <f>VLOOKUP(G879,'insumos terrapl'!$C$3:$K$47,8,0)</f>
        <v>00</v>
      </c>
      <c r="O879" s="97" t="str">
        <f>VLOOKUP(G879,'insumos terrapl'!$C$3:$K$47,9,0)</f>
        <v>00</v>
      </c>
    </row>
    <row r="880" spans="1:15">
      <c r="A880" s="125"/>
      <c r="B880" s="127"/>
      <c r="C880" s="125"/>
      <c r="D880" s="115"/>
      <c r="E880" s="115"/>
      <c r="F880" s="11" t="s">
        <v>588</v>
      </c>
      <c r="G880" s="20" t="s">
        <v>589</v>
      </c>
      <c r="H880" s="29" t="str">
        <f>VLOOKUP(G880,'insumos terrapl'!$C$3:$K$47,2,0)</f>
        <v>2N  20  14  08  00  00  00</v>
      </c>
      <c r="I880" s="29" t="str">
        <f>VLOOKUP(G880,'insumos terrapl'!$C$3:$K$47,3,0)</f>
        <v>2N</v>
      </c>
      <c r="J880" s="29">
        <f>VLOOKUP(G880,'insumos terrapl'!$C$3:$K$47,4,0)</f>
        <v>20</v>
      </c>
      <c r="K880" s="29">
        <f>VLOOKUP(G880,'insumos terrapl'!$C$3:$K$47,5,0)</f>
        <v>14</v>
      </c>
      <c r="L880" s="29" t="str">
        <f>VLOOKUP(G880,'insumos terrapl'!$C$3:$K$47,6,0)</f>
        <v>08</v>
      </c>
      <c r="M880" s="29" t="str">
        <f>VLOOKUP(G880,'insumos terrapl'!$C$3:$K$47,7,0)</f>
        <v>00</v>
      </c>
      <c r="N880" s="29" t="str">
        <f>VLOOKUP(G880,'insumos terrapl'!$C$3:$K$47,8,0)</f>
        <v>00</v>
      </c>
      <c r="O880" s="97" t="str">
        <f>VLOOKUP(G880,'insumos terrapl'!$C$3:$K$47,9,0)</f>
        <v>00</v>
      </c>
    </row>
    <row r="881" spans="1:15">
      <c r="A881" s="125"/>
      <c r="B881" s="127"/>
      <c r="C881" s="132"/>
      <c r="D881" s="116"/>
      <c r="E881" s="115"/>
      <c r="F881" s="11"/>
      <c r="G881" s="20"/>
      <c r="H881" s="29"/>
      <c r="I881" s="29"/>
      <c r="J881" s="29"/>
      <c r="K881" s="29"/>
      <c r="L881" s="29"/>
      <c r="M881" s="29"/>
      <c r="N881" s="29"/>
      <c r="O881" s="97"/>
    </row>
    <row r="882" spans="1:15">
      <c r="A882" s="125"/>
      <c r="B882" s="127"/>
      <c r="C882" s="124" t="s">
        <v>195</v>
      </c>
      <c r="D882" s="114" t="str">
        <f>$A$692</f>
        <v>2.6.6</v>
      </c>
      <c r="E882" s="114" t="s">
        <v>414</v>
      </c>
      <c r="F882" s="12" t="s">
        <v>195</v>
      </c>
      <c r="G882" s="19"/>
      <c r="H882" s="28"/>
      <c r="I882" s="28"/>
      <c r="J882" s="28"/>
      <c r="K882" s="28"/>
      <c r="L882" s="28"/>
      <c r="M882" s="28"/>
      <c r="N882" s="28"/>
      <c r="O882" s="99"/>
    </row>
    <row r="883" spans="1:15" ht="30">
      <c r="A883" s="125"/>
      <c r="B883" s="127"/>
      <c r="C883" s="125"/>
      <c r="D883" s="115"/>
      <c r="E883" s="115"/>
      <c r="F883" s="11" t="s">
        <v>651</v>
      </c>
      <c r="G883" s="20" t="s">
        <v>652</v>
      </c>
      <c r="H883" s="29" t="str">
        <f>VLOOKUP(G883,'insumos terrapl'!$C$3:$K$47,2,0)</f>
        <v>2Q  66  10  02  00  00  00</v>
      </c>
      <c r="I883" s="29" t="str">
        <f>VLOOKUP(G883,'insumos terrapl'!$C$3:$K$47,3,0)</f>
        <v>2Q</v>
      </c>
      <c r="J883" s="29">
        <f>VLOOKUP(G883,'insumos terrapl'!$C$3:$K$47,4,0)</f>
        <v>66</v>
      </c>
      <c r="K883" s="29" t="str">
        <f>VLOOKUP(G883,'insumos terrapl'!$C$3:$K$47,5,0)</f>
        <v>10</v>
      </c>
      <c r="L883" s="29" t="str">
        <f>VLOOKUP(G883,'insumos terrapl'!$C$3:$K$47,6,0)</f>
        <v>02</v>
      </c>
      <c r="M883" s="29" t="str">
        <f>VLOOKUP(G883,'insumos terrapl'!$C$3:$K$47,7,0)</f>
        <v>00</v>
      </c>
      <c r="N883" s="29" t="str">
        <f>VLOOKUP(G883,'insumos terrapl'!$C$3:$K$47,8,0)</f>
        <v>00</v>
      </c>
      <c r="O883" s="97" t="str">
        <f>VLOOKUP(G883,'insumos terrapl'!$C$3:$K$47,9,0)</f>
        <v>00</v>
      </c>
    </row>
    <row r="884" spans="1:15" ht="30">
      <c r="A884" s="125"/>
      <c r="B884" s="127"/>
      <c r="C884" s="125"/>
      <c r="D884" s="115"/>
      <c r="E884" s="115"/>
      <c r="F884" s="11" t="s">
        <v>655</v>
      </c>
      <c r="G884" s="20" t="s">
        <v>656</v>
      </c>
      <c r="H884" s="29" t="str">
        <f>VLOOKUP(G884,'insumos terrapl'!$C$3:$K$47,2,0)</f>
        <v>2Q  62  02  10  00  00  00</v>
      </c>
      <c r="I884" s="29" t="str">
        <f>VLOOKUP(G884,'insumos terrapl'!$C$3:$K$47,3,0)</f>
        <v>2Q</v>
      </c>
      <c r="J884" s="29">
        <f>VLOOKUP(G884,'insumos terrapl'!$C$3:$K$47,4,0)</f>
        <v>62</v>
      </c>
      <c r="K884" s="29" t="str">
        <f>VLOOKUP(G884,'insumos terrapl'!$C$3:$K$47,5,0)</f>
        <v>02</v>
      </c>
      <c r="L884" s="29" t="str">
        <f>VLOOKUP(G884,'insumos terrapl'!$C$3:$K$47,6,0)</f>
        <v>10</v>
      </c>
      <c r="M884" s="29" t="str">
        <f>VLOOKUP(G884,'insumos terrapl'!$C$3:$K$47,7,0)</f>
        <v>00</v>
      </c>
      <c r="N884" s="29" t="str">
        <f>VLOOKUP(G884,'insumos terrapl'!$C$3:$K$47,8,0)</f>
        <v>00</v>
      </c>
      <c r="O884" s="97" t="str">
        <f>VLOOKUP(G884,'insumos terrapl'!$C$3:$K$47,9,0)</f>
        <v>00</v>
      </c>
    </row>
    <row r="885" spans="1:15">
      <c r="A885" s="125"/>
      <c r="B885" s="127"/>
      <c r="C885" s="125"/>
      <c r="D885" s="115"/>
      <c r="E885" s="115"/>
      <c r="F885" s="11" t="s">
        <v>588</v>
      </c>
      <c r="G885" s="20" t="s">
        <v>589</v>
      </c>
      <c r="H885" s="29" t="str">
        <f>VLOOKUP(G885,'insumos terrapl'!$C$3:$K$47,2,0)</f>
        <v>2N  20  14  08  00  00  00</v>
      </c>
      <c r="I885" s="29" t="str">
        <f>VLOOKUP(G885,'insumos terrapl'!$C$3:$K$47,3,0)</f>
        <v>2N</v>
      </c>
      <c r="J885" s="29">
        <f>VLOOKUP(G885,'insumos terrapl'!$C$3:$K$47,4,0)</f>
        <v>20</v>
      </c>
      <c r="K885" s="29">
        <f>VLOOKUP(G885,'insumos terrapl'!$C$3:$K$47,5,0)</f>
        <v>14</v>
      </c>
      <c r="L885" s="29" t="str">
        <f>VLOOKUP(G885,'insumos terrapl'!$C$3:$K$47,6,0)</f>
        <v>08</v>
      </c>
      <c r="M885" s="29" t="str">
        <f>VLOOKUP(G885,'insumos terrapl'!$C$3:$K$47,7,0)</f>
        <v>00</v>
      </c>
      <c r="N885" s="29" t="str">
        <f>VLOOKUP(G885,'insumos terrapl'!$C$3:$K$47,8,0)</f>
        <v>00</v>
      </c>
      <c r="O885" s="97" t="str">
        <f>VLOOKUP(G885,'insumos terrapl'!$C$3:$K$47,9,0)</f>
        <v>00</v>
      </c>
    </row>
    <row r="886" spans="1:15">
      <c r="A886" s="125"/>
      <c r="B886" s="127"/>
      <c r="C886" s="132"/>
      <c r="D886" s="116"/>
      <c r="E886" s="115"/>
      <c r="F886" s="11"/>
      <c r="G886" s="20"/>
      <c r="H886" s="29"/>
      <c r="I886" s="29"/>
      <c r="J886" s="29"/>
      <c r="K886" s="29"/>
      <c r="L886" s="29"/>
      <c r="M886" s="29"/>
      <c r="N886" s="29"/>
      <c r="O886" s="97"/>
    </row>
    <row r="887" spans="1:15">
      <c r="A887" s="125"/>
      <c r="B887" s="127"/>
      <c r="C887" s="124" t="s">
        <v>196</v>
      </c>
      <c r="D887" s="114" t="str">
        <f>$A$692</f>
        <v>2.6.6</v>
      </c>
      <c r="E887" s="114" t="s">
        <v>416</v>
      </c>
      <c r="F887" s="12" t="s">
        <v>196</v>
      </c>
      <c r="G887" s="19"/>
      <c r="H887" s="28"/>
      <c r="I887" s="28"/>
      <c r="J887" s="28"/>
      <c r="K887" s="28"/>
      <c r="L887" s="28"/>
      <c r="M887" s="28"/>
      <c r="N887" s="28"/>
      <c r="O887" s="99"/>
    </row>
    <row r="888" spans="1:15" ht="30">
      <c r="A888" s="125"/>
      <c r="B888" s="127"/>
      <c r="C888" s="125"/>
      <c r="D888" s="115"/>
      <c r="E888" s="115"/>
      <c r="F888" s="11" t="s">
        <v>651</v>
      </c>
      <c r="G888" s="20" t="s">
        <v>652</v>
      </c>
      <c r="H888" s="29" t="str">
        <f>VLOOKUP(G888,'insumos terrapl'!$C$3:$K$47,2,0)</f>
        <v>2Q  66  10  02  00  00  00</v>
      </c>
      <c r="I888" s="29" t="str">
        <f>VLOOKUP(G888,'insumos terrapl'!$C$3:$K$47,3,0)</f>
        <v>2Q</v>
      </c>
      <c r="J888" s="29">
        <f>VLOOKUP(G888,'insumos terrapl'!$C$3:$K$47,4,0)</f>
        <v>66</v>
      </c>
      <c r="K888" s="29" t="str">
        <f>VLOOKUP(G888,'insumos terrapl'!$C$3:$K$47,5,0)</f>
        <v>10</v>
      </c>
      <c r="L888" s="29" t="str">
        <f>VLOOKUP(G888,'insumos terrapl'!$C$3:$K$47,6,0)</f>
        <v>02</v>
      </c>
      <c r="M888" s="29" t="str">
        <f>VLOOKUP(G888,'insumos terrapl'!$C$3:$K$47,7,0)</f>
        <v>00</v>
      </c>
      <c r="N888" s="29" t="str">
        <f>VLOOKUP(G888,'insumos terrapl'!$C$3:$K$47,8,0)</f>
        <v>00</v>
      </c>
      <c r="O888" s="97" t="str">
        <f>VLOOKUP(G888,'insumos terrapl'!$C$3:$K$47,9,0)</f>
        <v>00</v>
      </c>
    </row>
    <row r="889" spans="1:15" ht="30">
      <c r="A889" s="125"/>
      <c r="B889" s="127"/>
      <c r="C889" s="125"/>
      <c r="D889" s="115"/>
      <c r="E889" s="115"/>
      <c r="F889" s="11" t="s">
        <v>655</v>
      </c>
      <c r="G889" s="20" t="s">
        <v>656</v>
      </c>
      <c r="H889" s="29" t="str">
        <f>VLOOKUP(G889,'insumos terrapl'!$C$3:$K$47,2,0)</f>
        <v>2Q  62  02  10  00  00  00</v>
      </c>
      <c r="I889" s="29" t="str">
        <f>VLOOKUP(G889,'insumos terrapl'!$C$3:$K$47,3,0)</f>
        <v>2Q</v>
      </c>
      <c r="J889" s="29">
        <f>VLOOKUP(G889,'insumos terrapl'!$C$3:$K$47,4,0)</f>
        <v>62</v>
      </c>
      <c r="K889" s="29" t="str">
        <f>VLOOKUP(G889,'insumos terrapl'!$C$3:$K$47,5,0)</f>
        <v>02</v>
      </c>
      <c r="L889" s="29" t="str">
        <f>VLOOKUP(G889,'insumos terrapl'!$C$3:$K$47,6,0)</f>
        <v>10</v>
      </c>
      <c r="M889" s="29" t="str">
        <f>VLOOKUP(G889,'insumos terrapl'!$C$3:$K$47,7,0)</f>
        <v>00</v>
      </c>
      <c r="N889" s="29" t="str">
        <f>VLOOKUP(G889,'insumos terrapl'!$C$3:$K$47,8,0)</f>
        <v>00</v>
      </c>
      <c r="O889" s="97" t="str">
        <f>VLOOKUP(G889,'insumos terrapl'!$C$3:$K$47,9,0)</f>
        <v>00</v>
      </c>
    </row>
    <row r="890" spans="1:15">
      <c r="A890" s="125"/>
      <c r="B890" s="127"/>
      <c r="C890" s="125"/>
      <c r="D890" s="115"/>
      <c r="E890" s="115"/>
      <c r="F890" s="11" t="s">
        <v>588</v>
      </c>
      <c r="G890" s="20" t="s">
        <v>589</v>
      </c>
      <c r="H890" s="29" t="str">
        <f>VLOOKUP(G890,'insumos terrapl'!$C$3:$K$47,2,0)</f>
        <v>2N  20  14  08  00  00  00</v>
      </c>
      <c r="I890" s="29" t="str">
        <f>VLOOKUP(G890,'insumos terrapl'!$C$3:$K$47,3,0)</f>
        <v>2N</v>
      </c>
      <c r="J890" s="29">
        <f>VLOOKUP(G890,'insumos terrapl'!$C$3:$K$47,4,0)</f>
        <v>20</v>
      </c>
      <c r="K890" s="29">
        <f>VLOOKUP(G890,'insumos terrapl'!$C$3:$K$47,5,0)</f>
        <v>14</v>
      </c>
      <c r="L890" s="29" t="str">
        <f>VLOOKUP(G890,'insumos terrapl'!$C$3:$K$47,6,0)</f>
        <v>08</v>
      </c>
      <c r="M890" s="29" t="str">
        <f>VLOOKUP(G890,'insumos terrapl'!$C$3:$K$47,7,0)</f>
        <v>00</v>
      </c>
      <c r="N890" s="29" t="str">
        <f>VLOOKUP(G890,'insumos terrapl'!$C$3:$K$47,8,0)</f>
        <v>00</v>
      </c>
      <c r="O890" s="97" t="str">
        <f>VLOOKUP(G890,'insumos terrapl'!$C$3:$K$47,9,0)</f>
        <v>00</v>
      </c>
    </row>
    <row r="891" spans="1:15">
      <c r="A891" s="125"/>
      <c r="B891" s="127"/>
      <c r="C891" s="132"/>
      <c r="D891" s="116"/>
      <c r="E891" s="115"/>
      <c r="F891" s="11"/>
      <c r="G891" s="20"/>
      <c r="H891" s="29"/>
      <c r="I891" s="29"/>
      <c r="J891" s="29"/>
      <c r="K891" s="29"/>
      <c r="L891" s="29"/>
      <c r="M891" s="29"/>
      <c r="N891" s="29"/>
      <c r="O891" s="97"/>
    </row>
    <row r="892" spans="1:15">
      <c r="A892" s="125"/>
      <c r="B892" s="127"/>
      <c r="C892" s="124" t="s">
        <v>197</v>
      </c>
      <c r="D892" s="114" t="str">
        <f>$A$692</f>
        <v>2.6.6</v>
      </c>
      <c r="E892" s="114" t="s">
        <v>418</v>
      </c>
      <c r="F892" s="12" t="s">
        <v>197</v>
      </c>
      <c r="G892" s="19"/>
      <c r="H892" s="28"/>
      <c r="I892" s="28"/>
      <c r="J892" s="28"/>
      <c r="K892" s="28"/>
      <c r="L892" s="28"/>
      <c r="M892" s="28"/>
      <c r="N892" s="28"/>
      <c r="O892" s="99"/>
    </row>
    <row r="893" spans="1:15" ht="30">
      <c r="A893" s="125"/>
      <c r="B893" s="127"/>
      <c r="C893" s="125"/>
      <c r="D893" s="115"/>
      <c r="E893" s="115"/>
      <c r="F893" s="11" t="s">
        <v>651</v>
      </c>
      <c r="G893" s="20" t="s">
        <v>652</v>
      </c>
      <c r="H893" s="29" t="str">
        <f>VLOOKUP(G893,'insumos terrapl'!$C$3:$K$47,2,0)</f>
        <v>2Q  66  10  02  00  00  00</v>
      </c>
      <c r="I893" s="29" t="str">
        <f>VLOOKUP(G893,'insumos terrapl'!$C$3:$K$47,3,0)</f>
        <v>2Q</v>
      </c>
      <c r="J893" s="29">
        <f>VLOOKUP(G893,'insumos terrapl'!$C$3:$K$47,4,0)</f>
        <v>66</v>
      </c>
      <c r="K893" s="29" t="str">
        <f>VLOOKUP(G893,'insumos terrapl'!$C$3:$K$47,5,0)</f>
        <v>10</v>
      </c>
      <c r="L893" s="29" t="str">
        <f>VLOOKUP(G893,'insumos terrapl'!$C$3:$K$47,6,0)</f>
        <v>02</v>
      </c>
      <c r="M893" s="29" t="str">
        <f>VLOOKUP(G893,'insumos terrapl'!$C$3:$K$47,7,0)</f>
        <v>00</v>
      </c>
      <c r="N893" s="29" t="str">
        <f>VLOOKUP(G893,'insumos terrapl'!$C$3:$K$47,8,0)</f>
        <v>00</v>
      </c>
      <c r="O893" s="97" t="str">
        <f>VLOOKUP(G893,'insumos terrapl'!$C$3:$K$47,9,0)</f>
        <v>00</v>
      </c>
    </row>
    <row r="894" spans="1:15" ht="30">
      <c r="A894" s="125"/>
      <c r="B894" s="127"/>
      <c r="C894" s="125"/>
      <c r="D894" s="115"/>
      <c r="E894" s="115"/>
      <c r="F894" s="11" t="s">
        <v>655</v>
      </c>
      <c r="G894" s="20" t="s">
        <v>656</v>
      </c>
      <c r="H894" s="29" t="str">
        <f>VLOOKUP(G894,'insumos terrapl'!$C$3:$K$47,2,0)</f>
        <v>2Q  62  02  10  00  00  00</v>
      </c>
      <c r="I894" s="29" t="str">
        <f>VLOOKUP(G894,'insumos terrapl'!$C$3:$K$47,3,0)</f>
        <v>2Q</v>
      </c>
      <c r="J894" s="29">
        <f>VLOOKUP(G894,'insumos terrapl'!$C$3:$K$47,4,0)</f>
        <v>62</v>
      </c>
      <c r="K894" s="29" t="str">
        <f>VLOOKUP(G894,'insumos terrapl'!$C$3:$K$47,5,0)</f>
        <v>02</v>
      </c>
      <c r="L894" s="29" t="str">
        <f>VLOOKUP(G894,'insumos terrapl'!$C$3:$K$47,6,0)</f>
        <v>10</v>
      </c>
      <c r="M894" s="29" t="str">
        <f>VLOOKUP(G894,'insumos terrapl'!$C$3:$K$47,7,0)</f>
        <v>00</v>
      </c>
      <c r="N894" s="29" t="str">
        <f>VLOOKUP(G894,'insumos terrapl'!$C$3:$K$47,8,0)</f>
        <v>00</v>
      </c>
      <c r="O894" s="97" t="str">
        <f>VLOOKUP(G894,'insumos terrapl'!$C$3:$K$47,9,0)</f>
        <v>00</v>
      </c>
    </row>
    <row r="895" spans="1:15">
      <c r="A895" s="125"/>
      <c r="B895" s="127"/>
      <c r="C895" s="125"/>
      <c r="D895" s="115"/>
      <c r="E895" s="115"/>
      <c r="F895" s="11" t="s">
        <v>588</v>
      </c>
      <c r="G895" s="20" t="s">
        <v>589</v>
      </c>
      <c r="H895" s="29" t="str">
        <f>VLOOKUP(G895,'insumos terrapl'!$C$3:$K$47,2,0)</f>
        <v>2N  20  14  08  00  00  00</v>
      </c>
      <c r="I895" s="29" t="str">
        <f>VLOOKUP(G895,'insumos terrapl'!$C$3:$K$47,3,0)</f>
        <v>2N</v>
      </c>
      <c r="J895" s="29">
        <f>VLOOKUP(G895,'insumos terrapl'!$C$3:$K$47,4,0)</f>
        <v>20</v>
      </c>
      <c r="K895" s="29">
        <f>VLOOKUP(G895,'insumos terrapl'!$C$3:$K$47,5,0)</f>
        <v>14</v>
      </c>
      <c r="L895" s="29" t="str">
        <f>VLOOKUP(G895,'insumos terrapl'!$C$3:$K$47,6,0)</f>
        <v>08</v>
      </c>
      <c r="M895" s="29" t="str">
        <f>VLOOKUP(G895,'insumos terrapl'!$C$3:$K$47,7,0)</f>
        <v>00</v>
      </c>
      <c r="N895" s="29" t="str">
        <f>VLOOKUP(G895,'insumos terrapl'!$C$3:$K$47,8,0)</f>
        <v>00</v>
      </c>
      <c r="O895" s="97" t="str">
        <f>VLOOKUP(G895,'insumos terrapl'!$C$3:$K$47,9,0)</f>
        <v>00</v>
      </c>
    </row>
    <row r="896" spans="1:15">
      <c r="A896" s="125"/>
      <c r="B896" s="127"/>
      <c r="C896" s="132"/>
      <c r="D896" s="116"/>
      <c r="E896" s="116"/>
      <c r="F896" s="13"/>
      <c r="G896" s="21"/>
      <c r="H896" s="31"/>
      <c r="I896" s="31"/>
      <c r="J896" s="31"/>
      <c r="K896" s="31"/>
      <c r="L896" s="31"/>
      <c r="M896" s="31"/>
      <c r="N896" s="31"/>
      <c r="O896" s="98"/>
    </row>
    <row r="897" spans="1:15">
      <c r="A897" s="125"/>
      <c r="B897" s="127"/>
      <c r="C897" s="124" t="s">
        <v>198</v>
      </c>
      <c r="D897" s="114" t="str">
        <f>$A$692</f>
        <v>2.6.6</v>
      </c>
      <c r="E897" s="115" t="s">
        <v>420</v>
      </c>
      <c r="F897" s="11" t="s">
        <v>198</v>
      </c>
      <c r="G897" s="20"/>
      <c r="H897" s="29"/>
      <c r="I897" s="29"/>
      <c r="J897" s="29"/>
      <c r="K897" s="29"/>
      <c r="L897" s="29"/>
      <c r="M897" s="29"/>
      <c r="N897" s="29"/>
      <c r="O897" s="97"/>
    </row>
    <row r="898" spans="1:15" ht="30">
      <c r="A898" s="125"/>
      <c r="B898" s="127"/>
      <c r="C898" s="125"/>
      <c r="D898" s="115"/>
      <c r="E898" s="115"/>
      <c r="F898" s="11" t="s">
        <v>651</v>
      </c>
      <c r="G898" s="20" t="s">
        <v>652</v>
      </c>
      <c r="H898" s="29" t="str">
        <f>VLOOKUP(G898,'insumos terrapl'!$C$3:$K$47,2,0)</f>
        <v>2Q  66  10  02  00  00  00</v>
      </c>
      <c r="I898" s="29" t="str">
        <f>VLOOKUP(G898,'insumos terrapl'!$C$3:$K$47,3,0)</f>
        <v>2Q</v>
      </c>
      <c r="J898" s="29">
        <f>VLOOKUP(G898,'insumos terrapl'!$C$3:$K$47,4,0)</f>
        <v>66</v>
      </c>
      <c r="K898" s="29" t="str">
        <f>VLOOKUP(G898,'insumos terrapl'!$C$3:$K$47,5,0)</f>
        <v>10</v>
      </c>
      <c r="L898" s="29" t="str">
        <f>VLOOKUP(G898,'insumos terrapl'!$C$3:$K$47,6,0)</f>
        <v>02</v>
      </c>
      <c r="M898" s="29" t="str">
        <f>VLOOKUP(G898,'insumos terrapl'!$C$3:$K$47,7,0)</f>
        <v>00</v>
      </c>
      <c r="N898" s="29" t="str">
        <f>VLOOKUP(G898,'insumos terrapl'!$C$3:$K$47,8,0)</f>
        <v>00</v>
      </c>
      <c r="O898" s="97" t="str">
        <f>VLOOKUP(G898,'insumos terrapl'!$C$3:$K$47,9,0)</f>
        <v>00</v>
      </c>
    </row>
    <row r="899" spans="1:15" ht="30">
      <c r="A899" s="125"/>
      <c r="B899" s="127"/>
      <c r="C899" s="125"/>
      <c r="D899" s="115"/>
      <c r="E899" s="115"/>
      <c r="F899" s="11" t="s">
        <v>655</v>
      </c>
      <c r="G899" s="20" t="s">
        <v>656</v>
      </c>
      <c r="H899" s="29" t="str">
        <f>VLOOKUP(G899,'insumos terrapl'!$C$3:$K$47,2,0)</f>
        <v>2Q  62  02  10  00  00  00</v>
      </c>
      <c r="I899" s="29" t="str">
        <f>VLOOKUP(G899,'insumos terrapl'!$C$3:$K$47,3,0)</f>
        <v>2Q</v>
      </c>
      <c r="J899" s="29">
        <f>VLOOKUP(G899,'insumos terrapl'!$C$3:$K$47,4,0)</f>
        <v>62</v>
      </c>
      <c r="K899" s="29" t="str">
        <f>VLOOKUP(G899,'insumos terrapl'!$C$3:$K$47,5,0)</f>
        <v>02</v>
      </c>
      <c r="L899" s="29" t="str">
        <f>VLOOKUP(G899,'insumos terrapl'!$C$3:$K$47,6,0)</f>
        <v>10</v>
      </c>
      <c r="M899" s="29" t="str">
        <f>VLOOKUP(G899,'insumos terrapl'!$C$3:$K$47,7,0)</f>
        <v>00</v>
      </c>
      <c r="N899" s="29" t="str">
        <f>VLOOKUP(G899,'insumos terrapl'!$C$3:$K$47,8,0)</f>
        <v>00</v>
      </c>
      <c r="O899" s="97" t="str">
        <f>VLOOKUP(G899,'insumos terrapl'!$C$3:$K$47,9,0)</f>
        <v>00</v>
      </c>
    </row>
    <row r="900" spans="1:15">
      <c r="A900" s="125"/>
      <c r="B900" s="127"/>
      <c r="C900" s="125"/>
      <c r="D900" s="115"/>
      <c r="E900" s="115"/>
      <c r="F900" s="11" t="s">
        <v>588</v>
      </c>
      <c r="G900" s="20" t="s">
        <v>589</v>
      </c>
      <c r="H900" s="29" t="str">
        <f>VLOOKUP(G900,'insumos terrapl'!$C$3:$K$47,2,0)</f>
        <v>2N  20  14  08  00  00  00</v>
      </c>
      <c r="I900" s="29" t="str">
        <f>VLOOKUP(G900,'insumos terrapl'!$C$3:$K$47,3,0)</f>
        <v>2N</v>
      </c>
      <c r="J900" s="29">
        <f>VLOOKUP(G900,'insumos terrapl'!$C$3:$K$47,4,0)</f>
        <v>20</v>
      </c>
      <c r="K900" s="29">
        <f>VLOOKUP(G900,'insumos terrapl'!$C$3:$K$47,5,0)</f>
        <v>14</v>
      </c>
      <c r="L900" s="29" t="str">
        <f>VLOOKUP(G900,'insumos terrapl'!$C$3:$K$47,6,0)</f>
        <v>08</v>
      </c>
      <c r="M900" s="29" t="str">
        <f>VLOOKUP(G900,'insumos terrapl'!$C$3:$K$47,7,0)</f>
        <v>00</v>
      </c>
      <c r="N900" s="29" t="str">
        <f>VLOOKUP(G900,'insumos terrapl'!$C$3:$K$47,8,0)</f>
        <v>00</v>
      </c>
      <c r="O900" s="97" t="str">
        <f>VLOOKUP(G900,'insumos terrapl'!$C$3:$K$47,9,0)</f>
        <v>00</v>
      </c>
    </row>
    <row r="901" spans="1:15">
      <c r="A901" s="125"/>
      <c r="B901" s="127"/>
      <c r="C901" s="132"/>
      <c r="D901" s="116"/>
      <c r="E901" s="116"/>
      <c r="F901" s="13"/>
      <c r="G901" s="21"/>
      <c r="H901" s="31"/>
      <c r="I901" s="31"/>
      <c r="J901" s="31"/>
      <c r="K901" s="31"/>
      <c r="L901" s="31"/>
      <c r="M901" s="31"/>
      <c r="N901" s="31"/>
      <c r="O901" s="98"/>
    </row>
    <row r="902" spans="1:15">
      <c r="A902" s="125"/>
      <c r="B902" s="127"/>
      <c r="C902" s="124" t="s">
        <v>199</v>
      </c>
      <c r="D902" s="114" t="str">
        <f>$A$692</f>
        <v>2.6.6</v>
      </c>
      <c r="E902" s="115" t="s">
        <v>422</v>
      </c>
      <c r="F902" s="11" t="s">
        <v>199</v>
      </c>
      <c r="G902" s="20"/>
      <c r="H902" s="29"/>
      <c r="I902" s="29"/>
      <c r="J902" s="29"/>
      <c r="K902" s="29"/>
      <c r="L902" s="29"/>
      <c r="M902" s="29"/>
      <c r="N902" s="29"/>
      <c r="O902" s="97"/>
    </row>
    <row r="903" spans="1:15" ht="30">
      <c r="A903" s="125"/>
      <c r="B903" s="127"/>
      <c r="C903" s="125"/>
      <c r="D903" s="115"/>
      <c r="E903" s="115"/>
      <c r="F903" s="11" t="s">
        <v>651</v>
      </c>
      <c r="G903" s="20" t="s">
        <v>652</v>
      </c>
      <c r="H903" s="29" t="str">
        <f>VLOOKUP(G903,'insumos terrapl'!$C$3:$K$47,2,0)</f>
        <v>2Q  66  10  02  00  00  00</v>
      </c>
      <c r="I903" s="29" t="str">
        <f>VLOOKUP(G903,'insumos terrapl'!$C$3:$K$47,3,0)</f>
        <v>2Q</v>
      </c>
      <c r="J903" s="29">
        <f>VLOOKUP(G903,'insumos terrapl'!$C$3:$K$47,4,0)</f>
        <v>66</v>
      </c>
      <c r="K903" s="29" t="str">
        <f>VLOOKUP(G903,'insumos terrapl'!$C$3:$K$47,5,0)</f>
        <v>10</v>
      </c>
      <c r="L903" s="29" t="str">
        <f>VLOOKUP(G903,'insumos terrapl'!$C$3:$K$47,6,0)</f>
        <v>02</v>
      </c>
      <c r="M903" s="29" t="str">
        <f>VLOOKUP(G903,'insumos terrapl'!$C$3:$K$47,7,0)</f>
        <v>00</v>
      </c>
      <c r="N903" s="29" t="str">
        <f>VLOOKUP(G903,'insumos terrapl'!$C$3:$K$47,8,0)</f>
        <v>00</v>
      </c>
      <c r="O903" s="97" t="str">
        <f>VLOOKUP(G903,'insumos terrapl'!$C$3:$K$47,9,0)</f>
        <v>00</v>
      </c>
    </row>
    <row r="904" spans="1:15" ht="30">
      <c r="A904" s="125"/>
      <c r="B904" s="127"/>
      <c r="C904" s="125"/>
      <c r="D904" s="115"/>
      <c r="E904" s="115"/>
      <c r="F904" s="11" t="s">
        <v>655</v>
      </c>
      <c r="G904" s="20" t="s">
        <v>656</v>
      </c>
      <c r="H904" s="29" t="str">
        <f>VLOOKUP(G904,'insumos terrapl'!$C$3:$K$47,2,0)</f>
        <v>2Q  62  02  10  00  00  00</v>
      </c>
      <c r="I904" s="29" t="str">
        <f>VLOOKUP(G904,'insumos terrapl'!$C$3:$K$47,3,0)</f>
        <v>2Q</v>
      </c>
      <c r="J904" s="29">
        <f>VLOOKUP(G904,'insumos terrapl'!$C$3:$K$47,4,0)</f>
        <v>62</v>
      </c>
      <c r="K904" s="29" t="str">
        <f>VLOOKUP(G904,'insumos terrapl'!$C$3:$K$47,5,0)</f>
        <v>02</v>
      </c>
      <c r="L904" s="29" t="str">
        <f>VLOOKUP(G904,'insumos terrapl'!$C$3:$K$47,6,0)</f>
        <v>10</v>
      </c>
      <c r="M904" s="29" t="str">
        <f>VLOOKUP(G904,'insumos terrapl'!$C$3:$K$47,7,0)</f>
        <v>00</v>
      </c>
      <c r="N904" s="29" t="str">
        <f>VLOOKUP(G904,'insumos terrapl'!$C$3:$K$47,8,0)</f>
        <v>00</v>
      </c>
      <c r="O904" s="97" t="str">
        <f>VLOOKUP(G904,'insumos terrapl'!$C$3:$K$47,9,0)</f>
        <v>00</v>
      </c>
    </row>
    <row r="905" spans="1:15">
      <c r="A905" s="125"/>
      <c r="B905" s="127"/>
      <c r="C905" s="125"/>
      <c r="D905" s="115"/>
      <c r="E905" s="115"/>
      <c r="F905" s="11" t="s">
        <v>588</v>
      </c>
      <c r="G905" s="20" t="s">
        <v>589</v>
      </c>
      <c r="H905" s="29" t="str">
        <f>VLOOKUP(G905,'insumos terrapl'!$C$3:$K$47,2,0)</f>
        <v>2N  20  14  08  00  00  00</v>
      </c>
      <c r="I905" s="29" t="str">
        <f>VLOOKUP(G905,'insumos terrapl'!$C$3:$K$47,3,0)</f>
        <v>2N</v>
      </c>
      <c r="J905" s="29">
        <f>VLOOKUP(G905,'insumos terrapl'!$C$3:$K$47,4,0)</f>
        <v>20</v>
      </c>
      <c r="K905" s="29">
        <f>VLOOKUP(G905,'insumos terrapl'!$C$3:$K$47,5,0)</f>
        <v>14</v>
      </c>
      <c r="L905" s="29" t="str">
        <f>VLOOKUP(G905,'insumos terrapl'!$C$3:$K$47,6,0)</f>
        <v>08</v>
      </c>
      <c r="M905" s="29" t="str">
        <f>VLOOKUP(G905,'insumos terrapl'!$C$3:$K$47,7,0)</f>
        <v>00</v>
      </c>
      <c r="N905" s="29" t="str">
        <f>VLOOKUP(G905,'insumos terrapl'!$C$3:$K$47,8,0)</f>
        <v>00</v>
      </c>
      <c r="O905" s="97" t="str">
        <f>VLOOKUP(G905,'insumos terrapl'!$C$3:$K$47,9,0)</f>
        <v>00</v>
      </c>
    </row>
    <row r="906" spans="1:15">
      <c r="A906" s="125"/>
      <c r="B906" s="127"/>
      <c r="C906" s="132"/>
      <c r="D906" s="116"/>
      <c r="E906" s="115"/>
      <c r="F906" s="10"/>
      <c r="G906" s="20"/>
      <c r="H906" s="29"/>
      <c r="I906" s="29"/>
      <c r="J906" s="29"/>
      <c r="K906" s="29"/>
      <c r="L906" s="29"/>
      <c r="M906" s="29"/>
      <c r="N906" s="29"/>
      <c r="O906" s="97"/>
    </row>
    <row r="907" spans="1:15">
      <c r="A907" s="125"/>
      <c r="B907" s="127"/>
      <c r="C907" s="124" t="s">
        <v>200</v>
      </c>
      <c r="D907" s="114" t="str">
        <f>$A$692</f>
        <v>2.6.6</v>
      </c>
      <c r="E907" s="114" t="s">
        <v>424</v>
      </c>
      <c r="F907" s="12" t="s">
        <v>200</v>
      </c>
      <c r="G907" s="19"/>
      <c r="H907" s="28"/>
      <c r="I907" s="28"/>
      <c r="J907" s="28"/>
      <c r="K907" s="28"/>
      <c r="L907" s="28"/>
      <c r="M907" s="28"/>
      <c r="N907" s="28"/>
      <c r="O907" s="99"/>
    </row>
    <row r="908" spans="1:15" ht="30">
      <c r="A908" s="125"/>
      <c r="B908" s="127"/>
      <c r="C908" s="125"/>
      <c r="D908" s="115"/>
      <c r="E908" s="115"/>
      <c r="F908" s="11" t="s">
        <v>651</v>
      </c>
      <c r="G908" s="20" t="s">
        <v>652</v>
      </c>
      <c r="H908" s="29" t="str">
        <f>VLOOKUP(G908,'insumos terrapl'!$C$3:$K$47,2,0)</f>
        <v>2Q  66  10  02  00  00  00</v>
      </c>
      <c r="I908" s="29" t="str">
        <f>VLOOKUP(G908,'insumos terrapl'!$C$3:$K$47,3,0)</f>
        <v>2Q</v>
      </c>
      <c r="J908" s="29">
        <f>VLOOKUP(G908,'insumos terrapl'!$C$3:$K$47,4,0)</f>
        <v>66</v>
      </c>
      <c r="K908" s="29" t="str">
        <f>VLOOKUP(G908,'insumos terrapl'!$C$3:$K$47,5,0)</f>
        <v>10</v>
      </c>
      <c r="L908" s="29" t="str">
        <f>VLOOKUP(G908,'insumos terrapl'!$C$3:$K$47,6,0)</f>
        <v>02</v>
      </c>
      <c r="M908" s="29" t="str">
        <f>VLOOKUP(G908,'insumos terrapl'!$C$3:$K$47,7,0)</f>
        <v>00</v>
      </c>
      <c r="N908" s="29" t="str">
        <f>VLOOKUP(G908,'insumos terrapl'!$C$3:$K$47,8,0)</f>
        <v>00</v>
      </c>
      <c r="O908" s="97" t="str">
        <f>VLOOKUP(G908,'insumos terrapl'!$C$3:$K$47,9,0)</f>
        <v>00</v>
      </c>
    </row>
    <row r="909" spans="1:15" ht="30">
      <c r="A909" s="125"/>
      <c r="B909" s="127"/>
      <c r="C909" s="125"/>
      <c r="D909" s="115"/>
      <c r="E909" s="115"/>
      <c r="F909" s="11" t="s">
        <v>655</v>
      </c>
      <c r="G909" s="20" t="s">
        <v>656</v>
      </c>
      <c r="H909" s="29" t="str">
        <f>VLOOKUP(G909,'insumos terrapl'!$C$3:$K$47,2,0)</f>
        <v>2Q  62  02  10  00  00  00</v>
      </c>
      <c r="I909" s="29" t="str">
        <f>VLOOKUP(G909,'insumos terrapl'!$C$3:$K$47,3,0)</f>
        <v>2Q</v>
      </c>
      <c r="J909" s="29">
        <f>VLOOKUP(G909,'insumos terrapl'!$C$3:$K$47,4,0)</f>
        <v>62</v>
      </c>
      <c r="K909" s="29" t="str">
        <f>VLOOKUP(G909,'insumos terrapl'!$C$3:$K$47,5,0)</f>
        <v>02</v>
      </c>
      <c r="L909" s="29" t="str">
        <f>VLOOKUP(G909,'insumos terrapl'!$C$3:$K$47,6,0)</f>
        <v>10</v>
      </c>
      <c r="M909" s="29" t="str">
        <f>VLOOKUP(G909,'insumos terrapl'!$C$3:$K$47,7,0)</f>
        <v>00</v>
      </c>
      <c r="N909" s="29" t="str">
        <f>VLOOKUP(G909,'insumos terrapl'!$C$3:$K$47,8,0)</f>
        <v>00</v>
      </c>
      <c r="O909" s="97" t="str">
        <f>VLOOKUP(G909,'insumos terrapl'!$C$3:$K$47,9,0)</f>
        <v>00</v>
      </c>
    </row>
    <row r="910" spans="1:15">
      <c r="A910" s="125"/>
      <c r="B910" s="127"/>
      <c r="C910" s="125"/>
      <c r="D910" s="115"/>
      <c r="E910" s="115"/>
      <c r="F910" s="11" t="s">
        <v>588</v>
      </c>
      <c r="G910" s="20" t="s">
        <v>589</v>
      </c>
      <c r="H910" s="29" t="str">
        <f>VLOOKUP(G910,'insumos terrapl'!$C$3:$K$47,2,0)</f>
        <v>2N  20  14  08  00  00  00</v>
      </c>
      <c r="I910" s="29" t="str">
        <f>VLOOKUP(G910,'insumos terrapl'!$C$3:$K$47,3,0)</f>
        <v>2N</v>
      </c>
      <c r="J910" s="29">
        <f>VLOOKUP(G910,'insumos terrapl'!$C$3:$K$47,4,0)</f>
        <v>20</v>
      </c>
      <c r="K910" s="29">
        <f>VLOOKUP(G910,'insumos terrapl'!$C$3:$K$47,5,0)</f>
        <v>14</v>
      </c>
      <c r="L910" s="29" t="str">
        <f>VLOOKUP(G910,'insumos terrapl'!$C$3:$K$47,6,0)</f>
        <v>08</v>
      </c>
      <c r="M910" s="29" t="str">
        <f>VLOOKUP(G910,'insumos terrapl'!$C$3:$K$47,7,0)</f>
        <v>00</v>
      </c>
      <c r="N910" s="29" t="str">
        <f>VLOOKUP(G910,'insumos terrapl'!$C$3:$K$47,8,0)</f>
        <v>00</v>
      </c>
      <c r="O910" s="97" t="str">
        <f>VLOOKUP(G910,'insumos terrapl'!$C$3:$K$47,9,0)</f>
        <v>00</v>
      </c>
    </row>
    <row r="911" spans="1:15">
      <c r="A911" s="125"/>
      <c r="B911" s="127"/>
      <c r="C911" s="132"/>
      <c r="D911" s="116"/>
      <c r="E911" s="115"/>
      <c r="F911" s="11"/>
      <c r="G911" s="20"/>
      <c r="H911" s="29"/>
      <c r="I911" s="29"/>
      <c r="J911" s="29"/>
      <c r="K911" s="29"/>
      <c r="L911" s="29"/>
      <c r="M911" s="29"/>
      <c r="N911" s="29"/>
      <c r="O911" s="97"/>
    </row>
    <row r="912" spans="1:15">
      <c r="A912" s="125"/>
      <c r="B912" s="127"/>
      <c r="C912" s="124" t="s">
        <v>201</v>
      </c>
      <c r="D912" s="114" t="str">
        <f>$A$692</f>
        <v>2.6.6</v>
      </c>
      <c r="E912" s="114" t="s">
        <v>426</v>
      </c>
      <c r="F912" s="12" t="s">
        <v>201</v>
      </c>
      <c r="G912" s="19"/>
      <c r="H912" s="28"/>
      <c r="I912" s="28"/>
      <c r="J912" s="28"/>
      <c r="K912" s="28"/>
      <c r="L912" s="28"/>
      <c r="M912" s="28"/>
      <c r="N912" s="28"/>
      <c r="O912" s="99"/>
    </row>
    <row r="913" spans="1:15" ht="30">
      <c r="A913" s="125"/>
      <c r="B913" s="127"/>
      <c r="C913" s="125"/>
      <c r="D913" s="115"/>
      <c r="E913" s="115"/>
      <c r="F913" s="11" t="s">
        <v>651</v>
      </c>
      <c r="G913" s="20" t="s">
        <v>652</v>
      </c>
      <c r="H913" s="29" t="str">
        <f>VLOOKUP(G913,'insumos terrapl'!$C$3:$K$47,2,0)</f>
        <v>2Q  66  10  02  00  00  00</v>
      </c>
      <c r="I913" s="29" t="str">
        <f>VLOOKUP(G913,'insumos terrapl'!$C$3:$K$47,3,0)</f>
        <v>2Q</v>
      </c>
      <c r="J913" s="29">
        <f>VLOOKUP(G913,'insumos terrapl'!$C$3:$K$47,4,0)</f>
        <v>66</v>
      </c>
      <c r="K913" s="29" t="str">
        <f>VLOOKUP(G913,'insumos terrapl'!$C$3:$K$47,5,0)</f>
        <v>10</v>
      </c>
      <c r="L913" s="29" t="str">
        <f>VLOOKUP(G913,'insumos terrapl'!$C$3:$K$47,6,0)</f>
        <v>02</v>
      </c>
      <c r="M913" s="29" t="str">
        <f>VLOOKUP(G913,'insumos terrapl'!$C$3:$K$47,7,0)</f>
        <v>00</v>
      </c>
      <c r="N913" s="29" t="str">
        <f>VLOOKUP(G913,'insumos terrapl'!$C$3:$K$47,8,0)</f>
        <v>00</v>
      </c>
      <c r="O913" s="97" t="str">
        <f>VLOOKUP(G913,'insumos terrapl'!$C$3:$K$47,9,0)</f>
        <v>00</v>
      </c>
    </row>
    <row r="914" spans="1:15" ht="30">
      <c r="A914" s="125"/>
      <c r="B914" s="127"/>
      <c r="C914" s="125"/>
      <c r="D914" s="115"/>
      <c r="E914" s="115"/>
      <c r="F914" s="11" t="s">
        <v>655</v>
      </c>
      <c r="G914" s="20" t="s">
        <v>656</v>
      </c>
      <c r="H914" s="29" t="str">
        <f>VLOOKUP(G914,'insumos terrapl'!$C$3:$K$47,2,0)</f>
        <v>2Q  62  02  10  00  00  00</v>
      </c>
      <c r="I914" s="29" t="str">
        <f>VLOOKUP(G914,'insumos terrapl'!$C$3:$K$47,3,0)</f>
        <v>2Q</v>
      </c>
      <c r="J914" s="29">
        <f>VLOOKUP(G914,'insumos terrapl'!$C$3:$K$47,4,0)</f>
        <v>62</v>
      </c>
      <c r="K914" s="29" t="str">
        <f>VLOOKUP(G914,'insumos terrapl'!$C$3:$K$47,5,0)</f>
        <v>02</v>
      </c>
      <c r="L914" s="29" t="str">
        <f>VLOOKUP(G914,'insumos terrapl'!$C$3:$K$47,6,0)</f>
        <v>10</v>
      </c>
      <c r="M914" s="29" t="str">
        <f>VLOOKUP(G914,'insumos terrapl'!$C$3:$K$47,7,0)</f>
        <v>00</v>
      </c>
      <c r="N914" s="29" t="str">
        <f>VLOOKUP(G914,'insumos terrapl'!$C$3:$K$47,8,0)</f>
        <v>00</v>
      </c>
      <c r="O914" s="97" t="str">
        <f>VLOOKUP(G914,'insumos terrapl'!$C$3:$K$47,9,0)</f>
        <v>00</v>
      </c>
    </row>
    <row r="915" spans="1:15">
      <c r="A915" s="125"/>
      <c r="B915" s="127"/>
      <c r="C915" s="125"/>
      <c r="D915" s="115"/>
      <c r="E915" s="115"/>
      <c r="F915" s="11" t="s">
        <v>588</v>
      </c>
      <c r="G915" s="20" t="s">
        <v>589</v>
      </c>
      <c r="H915" s="29" t="str">
        <f>VLOOKUP(G915,'insumos terrapl'!$C$3:$K$47,2,0)</f>
        <v>2N  20  14  08  00  00  00</v>
      </c>
      <c r="I915" s="29" t="str">
        <f>VLOOKUP(G915,'insumos terrapl'!$C$3:$K$47,3,0)</f>
        <v>2N</v>
      </c>
      <c r="J915" s="29">
        <f>VLOOKUP(G915,'insumos terrapl'!$C$3:$K$47,4,0)</f>
        <v>20</v>
      </c>
      <c r="K915" s="29">
        <f>VLOOKUP(G915,'insumos terrapl'!$C$3:$K$47,5,0)</f>
        <v>14</v>
      </c>
      <c r="L915" s="29" t="str">
        <f>VLOOKUP(G915,'insumos terrapl'!$C$3:$K$47,6,0)</f>
        <v>08</v>
      </c>
      <c r="M915" s="29" t="str">
        <f>VLOOKUP(G915,'insumos terrapl'!$C$3:$K$47,7,0)</f>
        <v>00</v>
      </c>
      <c r="N915" s="29" t="str">
        <f>VLOOKUP(G915,'insumos terrapl'!$C$3:$K$47,8,0)</f>
        <v>00</v>
      </c>
      <c r="O915" s="97" t="str">
        <f>VLOOKUP(G915,'insumos terrapl'!$C$3:$K$47,9,0)</f>
        <v>00</v>
      </c>
    </row>
    <row r="916" spans="1:15">
      <c r="A916" s="125"/>
      <c r="B916" s="127"/>
      <c r="C916" s="132"/>
      <c r="D916" s="116"/>
      <c r="E916" s="116"/>
      <c r="F916" s="13"/>
      <c r="G916" s="21"/>
      <c r="H916" s="31"/>
      <c r="I916" s="31"/>
      <c r="J916" s="31"/>
      <c r="K916" s="31"/>
      <c r="L916" s="31"/>
      <c r="M916" s="31"/>
      <c r="N916" s="31"/>
      <c r="O916" s="98"/>
    </row>
    <row r="917" spans="1:15">
      <c r="A917" s="125"/>
      <c r="B917" s="127"/>
      <c r="C917" s="124" t="s">
        <v>202</v>
      </c>
      <c r="D917" s="114" t="str">
        <f>$A$692</f>
        <v>2.6.6</v>
      </c>
      <c r="E917" s="114" t="s">
        <v>428</v>
      </c>
      <c r="F917" s="12" t="s">
        <v>202</v>
      </c>
      <c r="G917" s="19"/>
      <c r="H917" s="28"/>
      <c r="I917" s="28"/>
      <c r="J917" s="28"/>
      <c r="K917" s="28"/>
      <c r="L917" s="28"/>
      <c r="M917" s="28"/>
      <c r="N917" s="28"/>
      <c r="O917" s="99"/>
    </row>
    <row r="918" spans="1:15" ht="30">
      <c r="A918" s="125"/>
      <c r="B918" s="127"/>
      <c r="C918" s="125"/>
      <c r="D918" s="115"/>
      <c r="E918" s="115"/>
      <c r="F918" s="11" t="s">
        <v>651</v>
      </c>
      <c r="G918" s="20" t="s">
        <v>652</v>
      </c>
      <c r="H918" s="29" t="str">
        <f>VLOOKUP(G918,'insumos terrapl'!$C$3:$K$47,2,0)</f>
        <v>2Q  66  10  02  00  00  00</v>
      </c>
      <c r="I918" s="29" t="str">
        <f>VLOOKUP(G918,'insumos terrapl'!$C$3:$K$47,3,0)</f>
        <v>2Q</v>
      </c>
      <c r="J918" s="29">
        <f>VLOOKUP(G918,'insumos terrapl'!$C$3:$K$47,4,0)</f>
        <v>66</v>
      </c>
      <c r="K918" s="29" t="str">
        <f>VLOOKUP(G918,'insumos terrapl'!$C$3:$K$47,5,0)</f>
        <v>10</v>
      </c>
      <c r="L918" s="29" t="str">
        <f>VLOOKUP(G918,'insumos terrapl'!$C$3:$K$47,6,0)</f>
        <v>02</v>
      </c>
      <c r="M918" s="29" t="str">
        <f>VLOOKUP(G918,'insumos terrapl'!$C$3:$K$47,7,0)</f>
        <v>00</v>
      </c>
      <c r="N918" s="29" t="str">
        <f>VLOOKUP(G918,'insumos terrapl'!$C$3:$K$47,8,0)</f>
        <v>00</v>
      </c>
      <c r="O918" s="97" t="str">
        <f>VLOOKUP(G918,'insumos terrapl'!$C$3:$K$47,9,0)</f>
        <v>00</v>
      </c>
    </row>
    <row r="919" spans="1:15" ht="30">
      <c r="A919" s="125"/>
      <c r="B919" s="127"/>
      <c r="C919" s="125"/>
      <c r="D919" s="115"/>
      <c r="E919" s="115"/>
      <c r="F919" s="11" t="s">
        <v>655</v>
      </c>
      <c r="G919" s="20" t="s">
        <v>656</v>
      </c>
      <c r="H919" s="29" t="str">
        <f>VLOOKUP(G919,'insumos terrapl'!$C$3:$K$47,2,0)</f>
        <v>2Q  62  02  10  00  00  00</v>
      </c>
      <c r="I919" s="29" t="str">
        <f>VLOOKUP(G919,'insumos terrapl'!$C$3:$K$47,3,0)</f>
        <v>2Q</v>
      </c>
      <c r="J919" s="29">
        <f>VLOOKUP(G919,'insumos terrapl'!$C$3:$K$47,4,0)</f>
        <v>62</v>
      </c>
      <c r="K919" s="29" t="str">
        <f>VLOOKUP(G919,'insumos terrapl'!$C$3:$K$47,5,0)</f>
        <v>02</v>
      </c>
      <c r="L919" s="29" t="str">
        <f>VLOOKUP(G919,'insumos terrapl'!$C$3:$K$47,6,0)</f>
        <v>10</v>
      </c>
      <c r="M919" s="29" t="str">
        <f>VLOOKUP(G919,'insumos terrapl'!$C$3:$K$47,7,0)</f>
        <v>00</v>
      </c>
      <c r="N919" s="29" t="str">
        <f>VLOOKUP(G919,'insumos terrapl'!$C$3:$K$47,8,0)</f>
        <v>00</v>
      </c>
      <c r="O919" s="97" t="str">
        <f>VLOOKUP(G919,'insumos terrapl'!$C$3:$K$47,9,0)</f>
        <v>00</v>
      </c>
    </row>
    <row r="920" spans="1:15">
      <c r="A920" s="125"/>
      <c r="B920" s="127"/>
      <c r="C920" s="125"/>
      <c r="D920" s="115"/>
      <c r="E920" s="115"/>
      <c r="F920" s="11" t="s">
        <v>588</v>
      </c>
      <c r="G920" s="20" t="s">
        <v>589</v>
      </c>
      <c r="H920" s="29" t="str">
        <f>VLOOKUP(G920,'insumos terrapl'!$C$3:$K$47,2,0)</f>
        <v>2N  20  14  08  00  00  00</v>
      </c>
      <c r="I920" s="29" t="str">
        <f>VLOOKUP(G920,'insumos terrapl'!$C$3:$K$47,3,0)</f>
        <v>2N</v>
      </c>
      <c r="J920" s="29">
        <f>VLOOKUP(G920,'insumos terrapl'!$C$3:$K$47,4,0)</f>
        <v>20</v>
      </c>
      <c r="K920" s="29">
        <f>VLOOKUP(G920,'insumos terrapl'!$C$3:$K$47,5,0)</f>
        <v>14</v>
      </c>
      <c r="L920" s="29" t="str">
        <f>VLOOKUP(G920,'insumos terrapl'!$C$3:$K$47,6,0)</f>
        <v>08</v>
      </c>
      <c r="M920" s="29" t="str">
        <f>VLOOKUP(G920,'insumos terrapl'!$C$3:$K$47,7,0)</f>
        <v>00</v>
      </c>
      <c r="N920" s="29" t="str">
        <f>VLOOKUP(G920,'insumos terrapl'!$C$3:$K$47,8,0)</f>
        <v>00</v>
      </c>
      <c r="O920" s="97" t="str">
        <f>VLOOKUP(G920,'insumos terrapl'!$C$3:$K$47,9,0)</f>
        <v>00</v>
      </c>
    </row>
    <row r="921" spans="1:15">
      <c r="A921" s="125"/>
      <c r="B921" s="127"/>
      <c r="C921" s="132"/>
      <c r="D921" s="116"/>
      <c r="E921" s="116"/>
      <c r="F921" s="13"/>
      <c r="G921" s="21"/>
      <c r="H921" s="31"/>
      <c r="I921" s="31"/>
      <c r="J921" s="31"/>
      <c r="K921" s="31"/>
      <c r="L921" s="31"/>
      <c r="M921" s="31"/>
      <c r="N921" s="31"/>
      <c r="O921" s="98"/>
    </row>
    <row r="922" spans="1:15">
      <c r="A922" s="125"/>
      <c r="B922" s="127"/>
      <c r="C922" s="124" t="s">
        <v>203</v>
      </c>
      <c r="D922" s="114" t="str">
        <f>$A$692</f>
        <v>2.6.6</v>
      </c>
      <c r="E922" s="115" t="s">
        <v>430</v>
      </c>
      <c r="F922" s="11" t="s">
        <v>203</v>
      </c>
      <c r="G922" s="20"/>
      <c r="H922" s="29"/>
      <c r="I922" s="29"/>
      <c r="J922" s="29"/>
      <c r="K922" s="29"/>
      <c r="L922" s="29"/>
      <c r="M922" s="29"/>
      <c r="N922" s="29"/>
      <c r="O922" s="97"/>
    </row>
    <row r="923" spans="1:15" ht="30">
      <c r="A923" s="125"/>
      <c r="B923" s="127"/>
      <c r="C923" s="125"/>
      <c r="D923" s="115"/>
      <c r="E923" s="115"/>
      <c r="F923" s="11" t="s">
        <v>651</v>
      </c>
      <c r="G923" s="20" t="s">
        <v>652</v>
      </c>
      <c r="H923" s="29" t="str">
        <f>VLOOKUP(G923,'insumos terrapl'!$C$3:$K$47,2,0)</f>
        <v>2Q  66  10  02  00  00  00</v>
      </c>
      <c r="I923" s="29" t="str">
        <f>VLOOKUP(G923,'insumos terrapl'!$C$3:$K$47,3,0)</f>
        <v>2Q</v>
      </c>
      <c r="J923" s="29">
        <f>VLOOKUP(G923,'insumos terrapl'!$C$3:$K$47,4,0)</f>
        <v>66</v>
      </c>
      <c r="K923" s="29" t="str">
        <f>VLOOKUP(G923,'insumos terrapl'!$C$3:$K$47,5,0)</f>
        <v>10</v>
      </c>
      <c r="L923" s="29" t="str">
        <f>VLOOKUP(G923,'insumos terrapl'!$C$3:$K$47,6,0)</f>
        <v>02</v>
      </c>
      <c r="M923" s="29" t="str">
        <f>VLOOKUP(G923,'insumos terrapl'!$C$3:$K$47,7,0)</f>
        <v>00</v>
      </c>
      <c r="N923" s="29" t="str">
        <f>VLOOKUP(G923,'insumos terrapl'!$C$3:$K$47,8,0)</f>
        <v>00</v>
      </c>
      <c r="O923" s="97" t="str">
        <f>VLOOKUP(G923,'insumos terrapl'!$C$3:$K$47,9,0)</f>
        <v>00</v>
      </c>
    </row>
    <row r="924" spans="1:15" ht="30">
      <c r="A924" s="125"/>
      <c r="B924" s="127"/>
      <c r="C924" s="125"/>
      <c r="D924" s="115"/>
      <c r="E924" s="115"/>
      <c r="F924" s="11" t="s">
        <v>655</v>
      </c>
      <c r="G924" s="20" t="s">
        <v>656</v>
      </c>
      <c r="H924" s="29" t="str">
        <f>VLOOKUP(G924,'insumos terrapl'!$C$3:$K$47,2,0)</f>
        <v>2Q  62  02  10  00  00  00</v>
      </c>
      <c r="I924" s="29" t="str">
        <f>VLOOKUP(G924,'insumos terrapl'!$C$3:$K$47,3,0)</f>
        <v>2Q</v>
      </c>
      <c r="J924" s="29">
        <f>VLOOKUP(G924,'insumos terrapl'!$C$3:$K$47,4,0)</f>
        <v>62</v>
      </c>
      <c r="K924" s="29" t="str">
        <f>VLOOKUP(G924,'insumos terrapl'!$C$3:$K$47,5,0)</f>
        <v>02</v>
      </c>
      <c r="L924" s="29" t="str">
        <f>VLOOKUP(G924,'insumos terrapl'!$C$3:$K$47,6,0)</f>
        <v>10</v>
      </c>
      <c r="M924" s="29" t="str">
        <f>VLOOKUP(G924,'insumos terrapl'!$C$3:$K$47,7,0)</f>
        <v>00</v>
      </c>
      <c r="N924" s="29" t="str">
        <f>VLOOKUP(G924,'insumos terrapl'!$C$3:$K$47,8,0)</f>
        <v>00</v>
      </c>
      <c r="O924" s="97" t="str">
        <f>VLOOKUP(G924,'insumos terrapl'!$C$3:$K$47,9,0)</f>
        <v>00</v>
      </c>
    </row>
    <row r="925" spans="1:15">
      <c r="A925" s="125"/>
      <c r="B925" s="127"/>
      <c r="C925" s="125"/>
      <c r="D925" s="115"/>
      <c r="E925" s="115"/>
      <c r="F925" s="11" t="s">
        <v>588</v>
      </c>
      <c r="G925" s="20" t="s">
        <v>589</v>
      </c>
      <c r="H925" s="29" t="str">
        <f>VLOOKUP(G925,'insumos terrapl'!$C$3:$K$47,2,0)</f>
        <v>2N  20  14  08  00  00  00</v>
      </c>
      <c r="I925" s="29" t="str">
        <f>VLOOKUP(G925,'insumos terrapl'!$C$3:$K$47,3,0)</f>
        <v>2N</v>
      </c>
      <c r="J925" s="29">
        <f>VLOOKUP(G925,'insumos terrapl'!$C$3:$K$47,4,0)</f>
        <v>20</v>
      </c>
      <c r="K925" s="29">
        <f>VLOOKUP(G925,'insumos terrapl'!$C$3:$K$47,5,0)</f>
        <v>14</v>
      </c>
      <c r="L925" s="29" t="str">
        <f>VLOOKUP(G925,'insumos terrapl'!$C$3:$K$47,6,0)</f>
        <v>08</v>
      </c>
      <c r="M925" s="29" t="str">
        <f>VLOOKUP(G925,'insumos terrapl'!$C$3:$K$47,7,0)</f>
        <v>00</v>
      </c>
      <c r="N925" s="29" t="str">
        <f>VLOOKUP(G925,'insumos terrapl'!$C$3:$K$47,8,0)</f>
        <v>00</v>
      </c>
      <c r="O925" s="97" t="str">
        <f>VLOOKUP(G925,'insumos terrapl'!$C$3:$K$47,9,0)</f>
        <v>00</v>
      </c>
    </row>
    <row r="926" spans="1:15">
      <c r="A926" s="125"/>
      <c r="B926" s="127"/>
      <c r="C926" s="132"/>
      <c r="D926" s="116"/>
      <c r="E926" s="115"/>
      <c r="F926" s="11"/>
      <c r="G926" s="20"/>
      <c r="H926" s="29"/>
      <c r="I926" s="29"/>
      <c r="J926" s="29"/>
      <c r="K926" s="29"/>
      <c r="L926" s="29"/>
      <c r="M926" s="29"/>
      <c r="N926" s="29"/>
      <c r="O926" s="97"/>
    </row>
    <row r="927" spans="1:15">
      <c r="A927" s="125"/>
      <c r="B927" s="127"/>
      <c r="C927" s="124" t="s">
        <v>204</v>
      </c>
      <c r="D927" s="114" t="str">
        <f>$A$692</f>
        <v>2.6.6</v>
      </c>
      <c r="E927" s="114" t="s">
        <v>432</v>
      </c>
      <c r="F927" s="12" t="s">
        <v>204</v>
      </c>
      <c r="G927" s="19"/>
      <c r="H927" s="28"/>
      <c r="I927" s="28"/>
      <c r="J927" s="28"/>
      <c r="K927" s="28"/>
      <c r="L927" s="28"/>
      <c r="M927" s="28"/>
      <c r="N927" s="28"/>
      <c r="O927" s="99"/>
    </row>
    <row r="928" spans="1:15" ht="30">
      <c r="A928" s="125"/>
      <c r="B928" s="127"/>
      <c r="C928" s="125"/>
      <c r="D928" s="115"/>
      <c r="E928" s="115"/>
      <c r="F928" s="11" t="s">
        <v>651</v>
      </c>
      <c r="G928" s="20" t="s">
        <v>652</v>
      </c>
      <c r="H928" s="29" t="str">
        <f>VLOOKUP(G928,'insumos terrapl'!$C$3:$K$47,2,0)</f>
        <v>2Q  66  10  02  00  00  00</v>
      </c>
      <c r="I928" s="29" t="str">
        <f>VLOOKUP(G928,'insumos terrapl'!$C$3:$K$47,3,0)</f>
        <v>2Q</v>
      </c>
      <c r="J928" s="29">
        <f>VLOOKUP(G928,'insumos terrapl'!$C$3:$K$47,4,0)</f>
        <v>66</v>
      </c>
      <c r="K928" s="29" t="str">
        <f>VLOOKUP(G928,'insumos terrapl'!$C$3:$K$47,5,0)</f>
        <v>10</v>
      </c>
      <c r="L928" s="29" t="str">
        <f>VLOOKUP(G928,'insumos terrapl'!$C$3:$K$47,6,0)</f>
        <v>02</v>
      </c>
      <c r="M928" s="29" t="str">
        <f>VLOOKUP(G928,'insumos terrapl'!$C$3:$K$47,7,0)</f>
        <v>00</v>
      </c>
      <c r="N928" s="29" t="str">
        <f>VLOOKUP(G928,'insumos terrapl'!$C$3:$K$47,8,0)</f>
        <v>00</v>
      </c>
      <c r="O928" s="97" t="str">
        <f>VLOOKUP(G928,'insumos terrapl'!$C$3:$K$47,9,0)</f>
        <v>00</v>
      </c>
    </row>
    <row r="929" spans="1:15" ht="30">
      <c r="A929" s="125"/>
      <c r="B929" s="127"/>
      <c r="C929" s="125"/>
      <c r="D929" s="115"/>
      <c r="E929" s="115"/>
      <c r="F929" s="11" t="s">
        <v>655</v>
      </c>
      <c r="G929" s="20" t="s">
        <v>656</v>
      </c>
      <c r="H929" s="29" t="str">
        <f>VLOOKUP(G929,'insumos terrapl'!$C$3:$K$47,2,0)</f>
        <v>2Q  62  02  10  00  00  00</v>
      </c>
      <c r="I929" s="29" t="str">
        <f>VLOOKUP(G929,'insumos terrapl'!$C$3:$K$47,3,0)</f>
        <v>2Q</v>
      </c>
      <c r="J929" s="29">
        <f>VLOOKUP(G929,'insumos terrapl'!$C$3:$K$47,4,0)</f>
        <v>62</v>
      </c>
      <c r="K929" s="29" t="str">
        <f>VLOOKUP(G929,'insumos terrapl'!$C$3:$K$47,5,0)</f>
        <v>02</v>
      </c>
      <c r="L929" s="29" t="str">
        <f>VLOOKUP(G929,'insumos terrapl'!$C$3:$K$47,6,0)</f>
        <v>10</v>
      </c>
      <c r="M929" s="29" t="str">
        <f>VLOOKUP(G929,'insumos terrapl'!$C$3:$K$47,7,0)</f>
        <v>00</v>
      </c>
      <c r="N929" s="29" t="str">
        <f>VLOOKUP(G929,'insumos terrapl'!$C$3:$K$47,8,0)</f>
        <v>00</v>
      </c>
      <c r="O929" s="97" t="str">
        <f>VLOOKUP(G929,'insumos terrapl'!$C$3:$K$47,9,0)</f>
        <v>00</v>
      </c>
    </row>
    <row r="930" spans="1:15">
      <c r="A930" s="125"/>
      <c r="B930" s="127"/>
      <c r="C930" s="125"/>
      <c r="D930" s="115"/>
      <c r="E930" s="115"/>
      <c r="F930" s="11" t="s">
        <v>588</v>
      </c>
      <c r="G930" s="20" t="s">
        <v>589</v>
      </c>
      <c r="H930" s="29" t="str">
        <f>VLOOKUP(G930,'insumos terrapl'!$C$3:$K$47,2,0)</f>
        <v>2N  20  14  08  00  00  00</v>
      </c>
      <c r="I930" s="29" t="str">
        <f>VLOOKUP(G930,'insumos terrapl'!$C$3:$K$47,3,0)</f>
        <v>2N</v>
      </c>
      <c r="J930" s="29">
        <f>VLOOKUP(G930,'insumos terrapl'!$C$3:$K$47,4,0)</f>
        <v>20</v>
      </c>
      <c r="K930" s="29">
        <f>VLOOKUP(G930,'insumos terrapl'!$C$3:$K$47,5,0)</f>
        <v>14</v>
      </c>
      <c r="L930" s="29" t="str">
        <f>VLOOKUP(G930,'insumos terrapl'!$C$3:$K$47,6,0)</f>
        <v>08</v>
      </c>
      <c r="M930" s="29" t="str">
        <f>VLOOKUP(G930,'insumos terrapl'!$C$3:$K$47,7,0)</f>
        <v>00</v>
      </c>
      <c r="N930" s="29" t="str">
        <f>VLOOKUP(G930,'insumos terrapl'!$C$3:$K$47,8,0)</f>
        <v>00</v>
      </c>
      <c r="O930" s="97" t="str">
        <f>VLOOKUP(G930,'insumos terrapl'!$C$3:$K$47,9,0)</f>
        <v>00</v>
      </c>
    </row>
    <row r="931" spans="1:15">
      <c r="A931" s="125"/>
      <c r="B931" s="127"/>
      <c r="C931" s="132"/>
      <c r="D931" s="116"/>
      <c r="E931" s="116"/>
      <c r="F931" s="13"/>
      <c r="G931" s="21"/>
      <c r="H931" s="31"/>
      <c r="I931" s="31"/>
      <c r="J931" s="31"/>
      <c r="K931" s="31"/>
      <c r="L931" s="31"/>
      <c r="M931" s="31"/>
      <c r="N931" s="31"/>
      <c r="O931" s="98"/>
    </row>
    <row r="932" spans="1:15">
      <c r="A932" s="125"/>
      <c r="B932" s="127"/>
      <c r="C932" s="124" t="s">
        <v>205</v>
      </c>
      <c r="D932" s="114" t="str">
        <f>$A$692</f>
        <v>2.6.6</v>
      </c>
      <c r="E932" s="115" t="s">
        <v>434</v>
      </c>
      <c r="F932" s="11" t="s">
        <v>205</v>
      </c>
      <c r="G932" s="20"/>
      <c r="H932" s="29"/>
      <c r="I932" s="29"/>
      <c r="J932" s="29"/>
      <c r="K932" s="29"/>
      <c r="L932" s="29"/>
      <c r="M932" s="29"/>
      <c r="N932" s="29"/>
      <c r="O932" s="97"/>
    </row>
    <row r="933" spans="1:15" ht="30">
      <c r="A933" s="125"/>
      <c r="B933" s="127"/>
      <c r="C933" s="125"/>
      <c r="D933" s="115"/>
      <c r="E933" s="115"/>
      <c r="F933" s="11" t="s">
        <v>651</v>
      </c>
      <c r="G933" s="20" t="s">
        <v>652</v>
      </c>
      <c r="H933" s="29" t="str">
        <f>VLOOKUP(G933,'insumos terrapl'!$C$3:$K$47,2,0)</f>
        <v>2Q  66  10  02  00  00  00</v>
      </c>
      <c r="I933" s="29" t="str">
        <f>VLOOKUP(G933,'insumos terrapl'!$C$3:$K$47,3,0)</f>
        <v>2Q</v>
      </c>
      <c r="J933" s="29">
        <f>VLOOKUP(G933,'insumos terrapl'!$C$3:$K$47,4,0)</f>
        <v>66</v>
      </c>
      <c r="K933" s="29" t="str">
        <f>VLOOKUP(G933,'insumos terrapl'!$C$3:$K$47,5,0)</f>
        <v>10</v>
      </c>
      <c r="L933" s="29" t="str">
        <f>VLOOKUP(G933,'insumos terrapl'!$C$3:$K$47,6,0)</f>
        <v>02</v>
      </c>
      <c r="M933" s="29" t="str">
        <f>VLOOKUP(G933,'insumos terrapl'!$C$3:$K$47,7,0)</f>
        <v>00</v>
      </c>
      <c r="N933" s="29" t="str">
        <f>VLOOKUP(G933,'insumos terrapl'!$C$3:$K$47,8,0)</f>
        <v>00</v>
      </c>
      <c r="O933" s="97" t="str">
        <f>VLOOKUP(G933,'insumos terrapl'!$C$3:$K$47,9,0)</f>
        <v>00</v>
      </c>
    </row>
    <row r="934" spans="1:15" ht="30">
      <c r="A934" s="125"/>
      <c r="B934" s="127"/>
      <c r="C934" s="125"/>
      <c r="D934" s="115"/>
      <c r="E934" s="115"/>
      <c r="F934" s="11" t="s">
        <v>655</v>
      </c>
      <c r="G934" s="20" t="s">
        <v>656</v>
      </c>
      <c r="H934" s="29" t="str">
        <f>VLOOKUP(G934,'insumos terrapl'!$C$3:$K$47,2,0)</f>
        <v>2Q  62  02  10  00  00  00</v>
      </c>
      <c r="I934" s="29" t="str">
        <f>VLOOKUP(G934,'insumos terrapl'!$C$3:$K$47,3,0)</f>
        <v>2Q</v>
      </c>
      <c r="J934" s="29">
        <f>VLOOKUP(G934,'insumos terrapl'!$C$3:$K$47,4,0)</f>
        <v>62</v>
      </c>
      <c r="K934" s="29" t="str">
        <f>VLOOKUP(G934,'insumos terrapl'!$C$3:$K$47,5,0)</f>
        <v>02</v>
      </c>
      <c r="L934" s="29" t="str">
        <f>VLOOKUP(G934,'insumos terrapl'!$C$3:$K$47,6,0)</f>
        <v>10</v>
      </c>
      <c r="M934" s="29" t="str">
        <f>VLOOKUP(G934,'insumos terrapl'!$C$3:$K$47,7,0)</f>
        <v>00</v>
      </c>
      <c r="N934" s="29" t="str">
        <f>VLOOKUP(G934,'insumos terrapl'!$C$3:$K$47,8,0)</f>
        <v>00</v>
      </c>
      <c r="O934" s="97" t="str">
        <f>VLOOKUP(G934,'insumos terrapl'!$C$3:$K$47,9,0)</f>
        <v>00</v>
      </c>
    </row>
    <row r="935" spans="1:15">
      <c r="A935" s="125"/>
      <c r="B935" s="127"/>
      <c r="C935" s="125"/>
      <c r="D935" s="115"/>
      <c r="E935" s="115"/>
      <c r="F935" s="11" t="s">
        <v>588</v>
      </c>
      <c r="G935" s="20" t="s">
        <v>589</v>
      </c>
      <c r="H935" s="29" t="str">
        <f>VLOOKUP(G935,'insumos terrapl'!$C$3:$K$47,2,0)</f>
        <v>2N  20  14  08  00  00  00</v>
      </c>
      <c r="I935" s="29" t="str">
        <f>VLOOKUP(G935,'insumos terrapl'!$C$3:$K$47,3,0)</f>
        <v>2N</v>
      </c>
      <c r="J935" s="29">
        <f>VLOOKUP(G935,'insumos terrapl'!$C$3:$K$47,4,0)</f>
        <v>20</v>
      </c>
      <c r="K935" s="29">
        <f>VLOOKUP(G935,'insumos terrapl'!$C$3:$K$47,5,0)</f>
        <v>14</v>
      </c>
      <c r="L935" s="29" t="str">
        <f>VLOOKUP(G935,'insumos terrapl'!$C$3:$K$47,6,0)</f>
        <v>08</v>
      </c>
      <c r="M935" s="29" t="str">
        <f>VLOOKUP(G935,'insumos terrapl'!$C$3:$K$47,7,0)</f>
        <v>00</v>
      </c>
      <c r="N935" s="29" t="str">
        <f>VLOOKUP(G935,'insumos terrapl'!$C$3:$K$47,8,0)</f>
        <v>00</v>
      </c>
      <c r="O935" s="97" t="str">
        <f>VLOOKUP(G935,'insumos terrapl'!$C$3:$K$47,9,0)</f>
        <v>00</v>
      </c>
    </row>
    <row r="936" spans="1:15">
      <c r="A936" s="125"/>
      <c r="B936" s="127"/>
      <c r="C936" s="132"/>
      <c r="D936" s="116"/>
      <c r="E936" s="116"/>
      <c r="F936" s="13"/>
      <c r="G936" s="21"/>
      <c r="H936" s="31"/>
      <c r="I936" s="31"/>
      <c r="J936" s="31"/>
      <c r="K936" s="31"/>
      <c r="L936" s="31"/>
      <c r="M936" s="31"/>
      <c r="N936" s="31"/>
      <c r="O936" s="98"/>
    </row>
    <row r="937" spans="1:15">
      <c r="A937" s="125"/>
      <c r="B937" s="127"/>
      <c r="C937" s="124" t="s">
        <v>206</v>
      </c>
      <c r="D937" s="114" t="str">
        <f>$A$692</f>
        <v>2.6.6</v>
      </c>
      <c r="E937" s="115" t="s">
        <v>436</v>
      </c>
      <c r="F937" s="11" t="s">
        <v>206</v>
      </c>
      <c r="G937" s="20"/>
      <c r="H937" s="29"/>
      <c r="I937" s="29"/>
      <c r="J937" s="29"/>
      <c r="K937" s="29"/>
      <c r="L937" s="29"/>
      <c r="M937" s="29"/>
      <c r="N937" s="29"/>
      <c r="O937" s="97"/>
    </row>
    <row r="938" spans="1:15" ht="30">
      <c r="A938" s="125"/>
      <c r="B938" s="127"/>
      <c r="C938" s="125"/>
      <c r="D938" s="115"/>
      <c r="E938" s="115"/>
      <c r="F938" s="11" t="s">
        <v>651</v>
      </c>
      <c r="G938" s="20" t="s">
        <v>652</v>
      </c>
      <c r="H938" s="29" t="str">
        <f>VLOOKUP(G938,'insumos terrapl'!$C$3:$K$47,2,0)</f>
        <v>2Q  66  10  02  00  00  00</v>
      </c>
      <c r="I938" s="29" t="str">
        <f>VLOOKUP(G938,'insumos terrapl'!$C$3:$K$47,3,0)</f>
        <v>2Q</v>
      </c>
      <c r="J938" s="29">
        <f>VLOOKUP(G938,'insumos terrapl'!$C$3:$K$47,4,0)</f>
        <v>66</v>
      </c>
      <c r="K938" s="29" t="str">
        <f>VLOOKUP(G938,'insumos terrapl'!$C$3:$K$47,5,0)</f>
        <v>10</v>
      </c>
      <c r="L938" s="29" t="str">
        <f>VLOOKUP(G938,'insumos terrapl'!$C$3:$K$47,6,0)</f>
        <v>02</v>
      </c>
      <c r="M938" s="29" t="str">
        <f>VLOOKUP(G938,'insumos terrapl'!$C$3:$K$47,7,0)</f>
        <v>00</v>
      </c>
      <c r="N938" s="29" t="str">
        <f>VLOOKUP(G938,'insumos terrapl'!$C$3:$K$47,8,0)</f>
        <v>00</v>
      </c>
      <c r="O938" s="97" t="str">
        <f>VLOOKUP(G938,'insumos terrapl'!$C$3:$K$47,9,0)</f>
        <v>00</v>
      </c>
    </row>
    <row r="939" spans="1:15" ht="30">
      <c r="A939" s="125"/>
      <c r="B939" s="127"/>
      <c r="C939" s="125"/>
      <c r="D939" s="115"/>
      <c r="E939" s="115"/>
      <c r="F939" s="11" t="s">
        <v>655</v>
      </c>
      <c r="G939" s="20" t="s">
        <v>656</v>
      </c>
      <c r="H939" s="29" t="str">
        <f>VLOOKUP(G939,'insumos terrapl'!$C$3:$K$47,2,0)</f>
        <v>2Q  62  02  10  00  00  00</v>
      </c>
      <c r="I939" s="29" t="str">
        <f>VLOOKUP(G939,'insumos terrapl'!$C$3:$K$47,3,0)</f>
        <v>2Q</v>
      </c>
      <c r="J939" s="29">
        <f>VLOOKUP(G939,'insumos terrapl'!$C$3:$K$47,4,0)</f>
        <v>62</v>
      </c>
      <c r="K939" s="29" t="str">
        <f>VLOOKUP(G939,'insumos terrapl'!$C$3:$K$47,5,0)</f>
        <v>02</v>
      </c>
      <c r="L939" s="29" t="str">
        <f>VLOOKUP(G939,'insumos terrapl'!$C$3:$K$47,6,0)</f>
        <v>10</v>
      </c>
      <c r="M939" s="29" t="str">
        <f>VLOOKUP(G939,'insumos terrapl'!$C$3:$K$47,7,0)</f>
        <v>00</v>
      </c>
      <c r="N939" s="29" t="str">
        <f>VLOOKUP(G939,'insumos terrapl'!$C$3:$K$47,8,0)</f>
        <v>00</v>
      </c>
      <c r="O939" s="97" t="str">
        <f>VLOOKUP(G939,'insumos terrapl'!$C$3:$K$47,9,0)</f>
        <v>00</v>
      </c>
    </row>
    <row r="940" spans="1:15">
      <c r="A940" s="125"/>
      <c r="B940" s="127"/>
      <c r="C940" s="125"/>
      <c r="D940" s="115"/>
      <c r="E940" s="115"/>
      <c r="F940" s="11" t="s">
        <v>588</v>
      </c>
      <c r="G940" s="20" t="s">
        <v>589</v>
      </c>
      <c r="H940" s="29" t="str">
        <f>VLOOKUP(G940,'insumos terrapl'!$C$3:$K$47,2,0)</f>
        <v>2N  20  14  08  00  00  00</v>
      </c>
      <c r="I940" s="29" t="str">
        <f>VLOOKUP(G940,'insumos terrapl'!$C$3:$K$47,3,0)</f>
        <v>2N</v>
      </c>
      <c r="J940" s="29">
        <f>VLOOKUP(G940,'insumos terrapl'!$C$3:$K$47,4,0)</f>
        <v>20</v>
      </c>
      <c r="K940" s="29">
        <f>VLOOKUP(G940,'insumos terrapl'!$C$3:$K$47,5,0)</f>
        <v>14</v>
      </c>
      <c r="L940" s="29" t="str">
        <f>VLOOKUP(G940,'insumos terrapl'!$C$3:$K$47,6,0)</f>
        <v>08</v>
      </c>
      <c r="M940" s="29" t="str">
        <f>VLOOKUP(G940,'insumos terrapl'!$C$3:$K$47,7,0)</f>
        <v>00</v>
      </c>
      <c r="N940" s="29" t="str">
        <f>VLOOKUP(G940,'insumos terrapl'!$C$3:$K$47,8,0)</f>
        <v>00</v>
      </c>
      <c r="O940" s="97" t="str">
        <f>VLOOKUP(G940,'insumos terrapl'!$C$3:$K$47,9,0)</f>
        <v>00</v>
      </c>
    </row>
    <row r="941" spans="1:15">
      <c r="A941" s="125"/>
      <c r="B941" s="127"/>
      <c r="C941" s="132"/>
      <c r="D941" s="116"/>
      <c r="E941" s="115"/>
      <c r="F941" s="10"/>
      <c r="G941" s="20"/>
      <c r="H941" s="29"/>
      <c r="I941" s="29"/>
      <c r="J941" s="29"/>
      <c r="K941" s="29"/>
      <c r="L941" s="29"/>
      <c r="M941" s="29"/>
      <c r="N941" s="29"/>
      <c r="O941" s="97"/>
    </row>
    <row r="942" spans="1:15">
      <c r="A942" s="125"/>
      <c r="B942" s="127"/>
      <c r="C942" s="124" t="s">
        <v>207</v>
      </c>
      <c r="D942" s="114" t="str">
        <f>$A$692</f>
        <v>2.6.6</v>
      </c>
      <c r="E942" s="114" t="s">
        <v>438</v>
      </c>
      <c r="F942" s="12" t="s">
        <v>207</v>
      </c>
      <c r="G942" s="19"/>
      <c r="H942" s="28"/>
      <c r="I942" s="28"/>
      <c r="J942" s="28"/>
      <c r="K942" s="28"/>
      <c r="L942" s="28"/>
      <c r="M942" s="28"/>
      <c r="N942" s="28"/>
      <c r="O942" s="99"/>
    </row>
    <row r="943" spans="1:15" ht="30">
      <c r="A943" s="125"/>
      <c r="B943" s="127"/>
      <c r="C943" s="125"/>
      <c r="D943" s="115"/>
      <c r="E943" s="115"/>
      <c r="F943" s="11" t="s">
        <v>651</v>
      </c>
      <c r="G943" s="20" t="s">
        <v>652</v>
      </c>
      <c r="H943" s="29" t="str">
        <f>VLOOKUP(G943,'insumos terrapl'!$C$3:$K$47,2,0)</f>
        <v>2Q  66  10  02  00  00  00</v>
      </c>
      <c r="I943" s="29" t="str">
        <f>VLOOKUP(G943,'insumos terrapl'!$C$3:$K$47,3,0)</f>
        <v>2Q</v>
      </c>
      <c r="J943" s="29">
        <f>VLOOKUP(G943,'insumos terrapl'!$C$3:$K$47,4,0)</f>
        <v>66</v>
      </c>
      <c r="K943" s="29" t="str">
        <f>VLOOKUP(G943,'insumos terrapl'!$C$3:$K$47,5,0)</f>
        <v>10</v>
      </c>
      <c r="L943" s="29" t="str">
        <f>VLOOKUP(G943,'insumos terrapl'!$C$3:$K$47,6,0)</f>
        <v>02</v>
      </c>
      <c r="M943" s="29" t="str">
        <f>VLOOKUP(G943,'insumos terrapl'!$C$3:$K$47,7,0)</f>
        <v>00</v>
      </c>
      <c r="N943" s="29" t="str">
        <f>VLOOKUP(G943,'insumos terrapl'!$C$3:$K$47,8,0)</f>
        <v>00</v>
      </c>
      <c r="O943" s="97" t="str">
        <f>VLOOKUP(G943,'insumos terrapl'!$C$3:$K$47,9,0)</f>
        <v>00</v>
      </c>
    </row>
    <row r="944" spans="1:15" ht="30">
      <c r="A944" s="125"/>
      <c r="B944" s="127"/>
      <c r="C944" s="125"/>
      <c r="D944" s="115"/>
      <c r="E944" s="115"/>
      <c r="F944" s="11" t="s">
        <v>655</v>
      </c>
      <c r="G944" s="20" t="s">
        <v>656</v>
      </c>
      <c r="H944" s="29" t="str">
        <f>VLOOKUP(G944,'insumos terrapl'!$C$3:$K$47,2,0)</f>
        <v>2Q  62  02  10  00  00  00</v>
      </c>
      <c r="I944" s="29" t="str">
        <f>VLOOKUP(G944,'insumos terrapl'!$C$3:$K$47,3,0)</f>
        <v>2Q</v>
      </c>
      <c r="J944" s="29">
        <f>VLOOKUP(G944,'insumos terrapl'!$C$3:$K$47,4,0)</f>
        <v>62</v>
      </c>
      <c r="K944" s="29" t="str">
        <f>VLOOKUP(G944,'insumos terrapl'!$C$3:$K$47,5,0)</f>
        <v>02</v>
      </c>
      <c r="L944" s="29" t="str">
        <f>VLOOKUP(G944,'insumos terrapl'!$C$3:$K$47,6,0)</f>
        <v>10</v>
      </c>
      <c r="M944" s="29" t="str">
        <f>VLOOKUP(G944,'insumos terrapl'!$C$3:$K$47,7,0)</f>
        <v>00</v>
      </c>
      <c r="N944" s="29" t="str">
        <f>VLOOKUP(G944,'insumos terrapl'!$C$3:$K$47,8,0)</f>
        <v>00</v>
      </c>
      <c r="O944" s="97" t="str">
        <f>VLOOKUP(G944,'insumos terrapl'!$C$3:$K$47,9,0)</f>
        <v>00</v>
      </c>
    </row>
    <row r="945" spans="1:15">
      <c r="A945" s="125"/>
      <c r="B945" s="127"/>
      <c r="C945" s="125"/>
      <c r="D945" s="115"/>
      <c r="E945" s="115"/>
      <c r="F945" s="11" t="s">
        <v>588</v>
      </c>
      <c r="G945" s="20" t="s">
        <v>589</v>
      </c>
      <c r="H945" s="29" t="str">
        <f>VLOOKUP(G945,'insumos terrapl'!$C$3:$K$47,2,0)</f>
        <v>2N  20  14  08  00  00  00</v>
      </c>
      <c r="I945" s="29" t="str">
        <f>VLOOKUP(G945,'insumos terrapl'!$C$3:$K$47,3,0)</f>
        <v>2N</v>
      </c>
      <c r="J945" s="29">
        <f>VLOOKUP(G945,'insumos terrapl'!$C$3:$K$47,4,0)</f>
        <v>20</v>
      </c>
      <c r="K945" s="29">
        <f>VLOOKUP(G945,'insumos terrapl'!$C$3:$K$47,5,0)</f>
        <v>14</v>
      </c>
      <c r="L945" s="29" t="str">
        <f>VLOOKUP(G945,'insumos terrapl'!$C$3:$K$47,6,0)</f>
        <v>08</v>
      </c>
      <c r="M945" s="29" t="str">
        <f>VLOOKUP(G945,'insumos terrapl'!$C$3:$K$47,7,0)</f>
        <v>00</v>
      </c>
      <c r="N945" s="29" t="str">
        <f>VLOOKUP(G945,'insumos terrapl'!$C$3:$K$47,8,0)</f>
        <v>00</v>
      </c>
      <c r="O945" s="97" t="str">
        <f>VLOOKUP(G945,'insumos terrapl'!$C$3:$K$47,9,0)</f>
        <v>00</v>
      </c>
    </row>
    <row r="946" spans="1:15">
      <c r="A946" s="125"/>
      <c r="B946" s="127"/>
      <c r="C946" s="132"/>
      <c r="D946" s="116"/>
      <c r="E946" s="115"/>
      <c r="F946" s="11"/>
      <c r="G946" s="20"/>
      <c r="H946" s="29"/>
      <c r="I946" s="29"/>
      <c r="J946" s="29"/>
      <c r="K946" s="29"/>
      <c r="L946" s="29"/>
      <c r="M946" s="29"/>
      <c r="N946" s="29"/>
      <c r="O946" s="97"/>
    </row>
    <row r="947" spans="1:15">
      <c r="A947" s="125"/>
      <c r="B947" s="127"/>
      <c r="C947" s="124" t="s">
        <v>208</v>
      </c>
      <c r="D947" s="114" t="str">
        <f>$A$692</f>
        <v>2.6.6</v>
      </c>
      <c r="E947" s="114" t="s">
        <v>440</v>
      </c>
      <c r="F947" s="12" t="s">
        <v>208</v>
      </c>
      <c r="G947" s="19"/>
      <c r="H947" s="28"/>
      <c r="I947" s="28"/>
      <c r="J947" s="28"/>
      <c r="K947" s="28"/>
      <c r="L947" s="28"/>
      <c r="M947" s="28"/>
      <c r="N947" s="28"/>
      <c r="O947" s="99"/>
    </row>
    <row r="948" spans="1:15" ht="30">
      <c r="A948" s="125"/>
      <c r="B948" s="127"/>
      <c r="C948" s="125"/>
      <c r="D948" s="115"/>
      <c r="E948" s="115"/>
      <c r="F948" s="11" t="s">
        <v>651</v>
      </c>
      <c r="G948" s="20" t="s">
        <v>652</v>
      </c>
      <c r="H948" s="29" t="str">
        <f>VLOOKUP(G948,'insumos terrapl'!$C$3:$K$47,2,0)</f>
        <v>2Q  66  10  02  00  00  00</v>
      </c>
      <c r="I948" s="29" t="str">
        <f>VLOOKUP(G948,'insumos terrapl'!$C$3:$K$47,3,0)</f>
        <v>2Q</v>
      </c>
      <c r="J948" s="29">
        <f>VLOOKUP(G948,'insumos terrapl'!$C$3:$K$47,4,0)</f>
        <v>66</v>
      </c>
      <c r="K948" s="29" t="str">
        <f>VLOOKUP(G948,'insumos terrapl'!$C$3:$K$47,5,0)</f>
        <v>10</v>
      </c>
      <c r="L948" s="29" t="str">
        <f>VLOOKUP(G948,'insumos terrapl'!$C$3:$K$47,6,0)</f>
        <v>02</v>
      </c>
      <c r="M948" s="29" t="str">
        <f>VLOOKUP(G948,'insumos terrapl'!$C$3:$K$47,7,0)</f>
        <v>00</v>
      </c>
      <c r="N948" s="29" t="str">
        <f>VLOOKUP(G948,'insumos terrapl'!$C$3:$K$47,8,0)</f>
        <v>00</v>
      </c>
      <c r="O948" s="97" t="str">
        <f>VLOOKUP(G948,'insumos terrapl'!$C$3:$K$47,9,0)</f>
        <v>00</v>
      </c>
    </row>
    <row r="949" spans="1:15" ht="30">
      <c r="A949" s="125"/>
      <c r="B949" s="127"/>
      <c r="C949" s="125"/>
      <c r="D949" s="115"/>
      <c r="E949" s="115"/>
      <c r="F949" s="11" t="s">
        <v>655</v>
      </c>
      <c r="G949" s="20" t="s">
        <v>656</v>
      </c>
      <c r="H949" s="29" t="str">
        <f>VLOOKUP(G949,'insumos terrapl'!$C$3:$K$47,2,0)</f>
        <v>2Q  62  02  10  00  00  00</v>
      </c>
      <c r="I949" s="29" t="str">
        <f>VLOOKUP(G949,'insumos terrapl'!$C$3:$K$47,3,0)</f>
        <v>2Q</v>
      </c>
      <c r="J949" s="29">
        <f>VLOOKUP(G949,'insumos terrapl'!$C$3:$K$47,4,0)</f>
        <v>62</v>
      </c>
      <c r="K949" s="29" t="str">
        <f>VLOOKUP(G949,'insumos terrapl'!$C$3:$K$47,5,0)</f>
        <v>02</v>
      </c>
      <c r="L949" s="29" t="str">
        <f>VLOOKUP(G949,'insumos terrapl'!$C$3:$K$47,6,0)</f>
        <v>10</v>
      </c>
      <c r="M949" s="29" t="str">
        <f>VLOOKUP(G949,'insumos terrapl'!$C$3:$K$47,7,0)</f>
        <v>00</v>
      </c>
      <c r="N949" s="29" t="str">
        <f>VLOOKUP(G949,'insumos terrapl'!$C$3:$K$47,8,0)</f>
        <v>00</v>
      </c>
      <c r="O949" s="97" t="str">
        <f>VLOOKUP(G949,'insumos terrapl'!$C$3:$K$47,9,0)</f>
        <v>00</v>
      </c>
    </row>
    <row r="950" spans="1:15">
      <c r="A950" s="125"/>
      <c r="B950" s="127"/>
      <c r="C950" s="125"/>
      <c r="D950" s="115"/>
      <c r="E950" s="115"/>
      <c r="F950" s="11" t="s">
        <v>588</v>
      </c>
      <c r="G950" s="20" t="s">
        <v>589</v>
      </c>
      <c r="H950" s="29" t="str">
        <f>VLOOKUP(G950,'insumos terrapl'!$C$3:$K$47,2,0)</f>
        <v>2N  20  14  08  00  00  00</v>
      </c>
      <c r="I950" s="29" t="str">
        <f>VLOOKUP(G950,'insumos terrapl'!$C$3:$K$47,3,0)</f>
        <v>2N</v>
      </c>
      <c r="J950" s="29">
        <f>VLOOKUP(G950,'insumos terrapl'!$C$3:$K$47,4,0)</f>
        <v>20</v>
      </c>
      <c r="K950" s="29">
        <f>VLOOKUP(G950,'insumos terrapl'!$C$3:$K$47,5,0)</f>
        <v>14</v>
      </c>
      <c r="L950" s="29" t="str">
        <f>VLOOKUP(G950,'insumos terrapl'!$C$3:$K$47,6,0)</f>
        <v>08</v>
      </c>
      <c r="M950" s="29" t="str">
        <f>VLOOKUP(G950,'insumos terrapl'!$C$3:$K$47,7,0)</f>
        <v>00</v>
      </c>
      <c r="N950" s="29" t="str">
        <f>VLOOKUP(G950,'insumos terrapl'!$C$3:$K$47,8,0)</f>
        <v>00</v>
      </c>
      <c r="O950" s="97" t="str">
        <f>VLOOKUP(G950,'insumos terrapl'!$C$3:$K$47,9,0)</f>
        <v>00</v>
      </c>
    </row>
    <row r="951" spans="1:15">
      <c r="A951" s="125"/>
      <c r="B951" s="127"/>
      <c r="C951" s="132"/>
      <c r="D951" s="116"/>
      <c r="E951" s="115"/>
      <c r="F951" s="11"/>
      <c r="G951" s="20"/>
      <c r="H951" s="29"/>
      <c r="I951" s="29"/>
      <c r="J951" s="29"/>
      <c r="K951" s="29"/>
      <c r="L951" s="29"/>
      <c r="M951" s="29"/>
      <c r="N951" s="29"/>
      <c r="O951" s="97"/>
    </row>
    <row r="952" spans="1:15">
      <c r="A952" s="125"/>
      <c r="B952" s="127"/>
      <c r="C952" s="124" t="s">
        <v>209</v>
      </c>
      <c r="D952" s="114" t="str">
        <f>$A$692</f>
        <v>2.6.6</v>
      </c>
      <c r="E952" s="114" t="s">
        <v>442</v>
      </c>
      <c r="F952" s="12" t="s">
        <v>209</v>
      </c>
      <c r="G952" s="19"/>
      <c r="H952" s="28"/>
      <c r="I952" s="28"/>
      <c r="J952" s="28"/>
      <c r="K952" s="28"/>
      <c r="L952" s="28"/>
      <c r="M952" s="28"/>
      <c r="N952" s="28"/>
      <c r="O952" s="99"/>
    </row>
    <row r="953" spans="1:15" ht="30">
      <c r="A953" s="125"/>
      <c r="B953" s="127"/>
      <c r="C953" s="125"/>
      <c r="D953" s="115"/>
      <c r="E953" s="115"/>
      <c r="F953" s="11" t="s">
        <v>651</v>
      </c>
      <c r="G953" s="20" t="s">
        <v>652</v>
      </c>
      <c r="H953" s="29" t="str">
        <f>VLOOKUP(G953,'insumos terrapl'!$C$3:$K$47,2,0)</f>
        <v>2Q  66  10  02  00  00  00</v>
      </c>
      <c r="I953" s="29" t="str">
        <f>VLOOKUP(G953,'insumos terrapl'!$C$3:$K$47,3,0)</f>
        <v>2Q</v>
      </c>
      <c r="J953" s="29">
        <f>VLOOKUP(G953,'insumos terrapl'!$C$3:$K$47,4,0)</f>
        <v>66</v>
      </c>
      <c r="K953" s="29" t="str">
        <f>VLOOKUP(G953,'insumos terrapl'!$C$3:$K$47,5,0)</f>
        <v>10</v>
      </c>
      <c r="L953" s="29" t="str">
        <f>VLOOKUP(G953,'insumos terrapl'!$C$3:$K$47,6,0)</f>
        <v>02</v>
      </c>
      <c r="M953" s="29" t="str">
        <f>VLOOKUP(G953,'insumos terrapl'!$C$3:$K$47,7,0)</f>
        <v>00</v>
      </c>
      <c r="N953" s="29" t="str">
        <f>VLOOKUP(G953,'insumos terrapl'!$C$3:$K$47,8,0)</f>
        <v>00</v>
      </c>
      <c r="O953" s="97" t="str">
        <f>VLOOKUP(G953,'insumos terrapl'!$C$3:$K$47,9,0)</f>
        <v>00</v>
      </c>
    </row>
    <row r="954" spans="1:15" ht="30">
      <c r="A954" s="125"/>
      <c r="B954" s="127"/>
      <c r="C954" s="125"/>
      <c r="D954" s="115"/>
      <c r="E954" s="115"/>
      <c r="F954" s="11" t="s">
        <v>655</v>
      </c>
      <c r="G954" s="20" t="s">
        <v>656</v>
      </c>
      <c r="H954" s="29" t="str">
        <f>VLOOKUP(G954,'insumos terrapl'!$C$3:$K$47,2,0)</f>
        <v>2Q  62  02  10  00  00  00</v>
      </c>
      <c r="I954" s="29" t="str">
        <f>VLOOKUP(G954,'insumos terrapl'!$C$3:$K$47,3,0)</f>
        <v>2Q</v>
      </c>
      <c r="J954" s="29">
        <f>VLOOKUP(G954,'insumos terrapl'!$C$3:$K$47,4,0)</f>
        <v>62</v>
      </c>
      <c r="K954" s="29" t="str">
        <f>VLOOKUP(G954,'insumos terrapl'!$C$3:$K$47,5,0)</f>
        <v>02</v>
      </c>
      <c r="L954" s="29" t="str">
        <f>VLOOKUP(G954,'insumos terrapl'!$C$3:$K$47,6,0)</f>
        <v>10</v>
      </c>
      <c r="M954" s="29" t="str">
        <f>VLOOKUP(G954,'insumos terrapl'!$C$3:$K$47,7,0)</f>
        <v>00</v>
      </c>
      <c r="N954" s="29" t="str">
        <f>VLOOKUP(G954,'insumos terrapl'!$C$3:$K$47,8,0)</f>
        <v>00</v>
      </c>
      <c r="O954" s="97" t="str">
        <f>VLOOKUP(G954,'insumos terrapl'!$C$3:$K$47,9,0)</f>
        <v>00</v>
      </c>
    </row>
    <row r="955" spans="1:15">
      <c r="A955" s="125"/>
      <c r="B955" s="127"/>
      <c r="C955" s="125"/>
      <c r="D955" s="115"/>
      <c r="E955" s="115"/>
      <c r="F955" s="11" t="s">
        <v>588</v>
      </c>
      <c r="G955" s="20" t="s">
        <v>589</v>
      </c>
      <c r="H955" s="29" t="str">
        <f>VLOOKUP(G955,'insumos terrapl'!$C$3:$K$47,2,0)</f>
        <v>2N  20  14  08  00  00  00</v>
      </c>
      <c r="I955" s="29" t="str">
        <f>VLOOKUP(G955,'insumos terrapl'!$C$3:$K$47,3,0)</f>
        <v>2N</v>
      </c>
      <c r="J955" s="29">
        <f>VLOOKUP(G955,'insumos terrapl'!$C$3:$K$47,4,0)</f>
        <v>20</v>
      </c>
      <c r="K955" s="29">
        <f>VLOOKUP(G955,'insumos terrapl'!$C$3:$K$47,5,0)</f>
        <v>14</v>
      </c>
      <c r="L955" s="29" t="str">
        <f>VLOOKUP(G955,'insumos terrapl'!$C$3:$K$47,6,0)</f>
        <v>08</v>
      </c>
      <c r="M955" s="29" t="str">
        <f>VLOOKUP(G955,'insumos terrapl'!$C$3:$K$47,7,0)</f>
        <v>00</v>
      </c>
      <c r="N955" s="29" t="str">
        <f>VLOOKUP(G955,'insumos terrapl'!$C$3:$K$47,8,0)</f>
        <v>00</v>
      </c>
      <c r="O955" s="97" t="str">
        <f>VLOOKUP(G955,'insumos terrapl'!$C$3:$K$47,9,0)</f>
        <v>00</v>
      </c>
    </row>
    <row r="956" spans="1:15">
      <c r="A956" s="125"/>
      <c r="B956" s="127"/>
      <c r="C956" s="132"/>
      <c r="D956" s="116"/>
      <c r="E956" s="116"/>
      <c r="F956" s="13"/>
      <c r="G956" s="21"/>
      <c r="H956" s="31"/>
      <c r="I956" s="31"/>
      <c r="J956" s="31"/>
      <c r="K956" s="31"/>
      <c r="L956" s="31"/>
      <c r="M956" s="31"/>
      <c r="N956" s="31"/>
      <c r="O956" s="98"/>
    </row>
    <row r="957" spans="1:15">
      <c r="A957" s="125"/>
      <c r="B957" s="127"/>
      <c r="C957" s="124" t="s">
        <v>210</v>
      </c>
      <c r="D957" s="114" t="str">
        <f>$A$692</f>
        <v>2.6.6</v>
      </c>
      <c r="E957" s="115" t="s">
        <v>444</v>
      </c>
      <c r="F957" s="11" t="s">
        <v>210</v>
      </c>
      <c r="G957" s="20"/>
      <c r="H957" s="29"/>
      <c r="I957" s="29"/>
      <c r="J957" s="29"/>
      <c r="K957" s="29"/>
      <c r="L957" s="29"/>
      <c r="M957" s="29"/>
      <c r="N957" s="29"/>
      <c r="O957" s="97"/>
    </row>
    <row r="958" spans="1:15" ht="30">
      <c r="A958" s="125"/>
      <c r="B958" s="127"/>
      <c r="C958" s="125"/>
      <c r="D958" s="115"/>
      <c r="E958" s="115"/>
      <c r="F958" s="11" t="s">
        <v>651</v>
      </c>
      <c r="G958" s="20" t="s">
        <v>652</v>
      </c>
      <c r="H958" s="29" t="str">
        <f>VLOOKUP(G958,'insumos terrapl'!$C$3:$K$47,2,0)</f>
        <v>2Q  66  10  02  00  00  00</v>
      </c>
      <c r="I958" s="29" t="str">
        <f>VLOOKUP(G958,'insumos terrapl'!$C$3:$K$47,3,0)</f>
        <v>2Q</v>
      </c>
      <c r="J958" s="29">
        <f>VLOOKUP(G958,'insumos terrapl'!$C$3:$K$47,4,0)</f>
        <v>66</v>
      </c>
      <c r="K958" s="29" t="str">
        <f>VLOOKUP(G958,'insumos terrapl'!$C$3:$K$47,5,0)</f>
        <v>10</v>
      </c>
      <c r="L958" s="29" t="str">
        <f>VLOOKUP(G958,'insumos terrapl'!$C$3:$K$47,6,0)</f>
        <v>02</v>
      </c>
      <c r="M958" s="29" t="str">
        <f>VLOOKUP(G958,'insumos terrapl'!$C$3:$K$47,7,0)</f>
        <v>00</v>
      </c>
      <c r="N958" s="29" t="str">
        <f>VLOOKUP(G958,'insumos terrapl'!$C$3:$K$47,8,0)</f>
        <v>00</v>
      </c>
      <c r="O958" s="97" t="str">
        <f>VLOOKUP(G958,'insumos terrapl'!$C$3:$K$47,9,0)</f>
        <v>00</v>
      </c>
    </row>
    <row r="959" spans="1:15" ht="30">
      <c r="A959" s="125"/>
      <c r="B959" s="127"/>
      <c r="C959" s="125"/>
      <c r="D959" s="115"/>
      <c r="E959" s="115"/>
      <c r="F959" s="11" t="s">
        <v>655</v>
      </c>
      <c r="G959" s="20" t="s">
        <v>656</v>
      </c>
      <c r="H959" s="29" t="str">
        <f>VLOOKUP(G959,'insumos terrapl'!$C$3:$K$47,2,0)</f>
        <v>2Q  62  02  10  00  00  00</v>
      </c>
      <c r="I959" s="29" t="str">
        <f>VLOOKUP(G959,'insumos terrapl'!$C$3:$K$47,3,0)</f>
        <v>2Q</v>
      </c>
      <c r="J959" s="29">
        <f>VLOOKUP(G959,'insumos terrapl'!$C$3:$K$47,4,0)</f>
        <v>62</v>
      </c>
      <c r="K959" s="29" t="str">
        <f>VLOOKUP(G959,'insumos terrapl'!$C$3:$K$47,5,0)</f>
        <v>02</v>
      </c>
      <c r="L959" s="29" t="str">
        <f>VLOOKUP(G959,'insumos terrapl'!$C$3:$K$47,6,0)</f>
        <v>10</v>
      </c>
      <c r="M959" s="29" t="str">
        <f>VLOOKUP(G959,'insumos terrapl'!$C$3:$K$47,7,0)</f>
        <v>00</v>
      </c>
      <c r="N959" s="29" t="str">
        <f>VLOOKUP(G959,'insumos terrapl'!$C$3:$K$47,8,0)</f>
        <v>00</v>
      </c>
      <c r="O959" s="97" t="str">
        <f>VLOOKUP(G959,'insumos terrapl'!$C$3:$K$47,9,0)</f>
        <v>00</v>
      </c>
    </row>
    <row r="960" spans="1:15">
      <c r="A960" s="125"/>
      <c r="B960" s="127"/>
      <c r="C960" s="125"/>
      <c r="D960" s="115"/>
      <c r="E960" s="115"/>
      <c r="F960" s="11" t="s">
        <v>588</v>
      </c>
      <c r="G960" s="20" t="s">
        <v>589</v>
      </c>
      <c r="H960" s="29" t="str">
        <f>VLOOKUP(G960,'insumos terrapl'!$C$3:$K$47,2,0)</f>
        <v>2N  20  14  08  00  00  00</v>
      </c>
      <c r="I960" s="29" t="str">
        <f>VLOOKUP(G960,'insumos terrapl'!$C$3:$K$47,3,0)</f>
        <v>2N</v>
      </c>
      <c r="J960" s="29">
        <f>VLOOKUP(G960,'insumos terrapl'!$C$3:$K$47,4,0)</f>
        <v>20</v>
      </c>
      <c r="K960" s="29">
        <f>VLOOKUP(G960,'insumos terrapl'!$C$3:$K$47,5,0)</f>
        <v>14</v>
      </c>
      <c r="L960" s="29" t="str">
        <f>VLOOKUP(G960,'insumos terrapl'!$C$3:$K$47,6,0)</f>
        <v>08</v>
      </c>
      <c r="M960" s="29" t="str">
        <f>VLOOKUP(G960,'insumos terrapl'!$C$3:$K$47,7,0)</f>
        <v>00</v>
      </c>
      <c r="N960" s="29" t="str">
        <f>VLOOKUP(G960,'insumos terrapl'!$C$3:$K$47,8,0)</f>
        <v>00</v>
      </c>
      <c r="O960" s="97" t="str">
        <f>VLOOKUP(G960,'insumos terrapl'!$C$3:$K$47,9,0)</f>
        <v>00</v>
      </c>
    </row>
    <row r="961" spans="1:15">
      <c r="A961" s="125"/>
      <c r="B961" s="127"/>
      <c r="C961" s="132"/>
      <c r="D961" s="116"/>
      <c r="E961" s="115"/>
      <c r="F961" s="11"/>
      <c r="G961" s="20"/>
      <c r="H961" s="29"/>
      <c r="I961" s="29"/>
      <c r="J961" s="29"/>
      <c r="K961" s="29"/>
      <c r="L961" s="29"/>
      <c r="M961" s="29"/>
      <c r="N961" s="29"/>
      <c r="O961" s="97"/>
    </row>
    <row r="962" spans="1:15">
      <c r="A962" s="125"/>
      <c r="B962" s="127"/>
      <c r="C962" s="124" t="s">
        <v>211</v>
      </c>
      <c r="D962" s="114" t="str">
        <f>$A$692</f>
        <v>2.6.6</v>
      </c>
      <c r="E962" s="114" t="s">
        <v>446</v>
      </c>
      <c r="F962" s="12" t="s">
        <v>211</v>
      </c>
      <c r="G962" s="19"/>
      <c r="H962" s="28"/>
      <c r="I962" s="28"/>
      <c r="J962" s="28"/>
      <c r="K962" s="28"/>
      <c r="L962" s="28"/>
      <c r="M962" s="28"/>
      <c r="N962" s="28"/>
      <c r="O962" s="99"/>
    </row>
    <row r="963" spans="1:15" ht="30">
      <c r="A963" s="125"/>
      <c r="B963" s="127"/>
      <c r="C963" s="125"/>
      <c r="D963" s="115"/>
      <c r="E963" s="115"/>
      <c r="F963" s="11" t="s">
        <v>651</v>
      </c>
      <c r="G963" s="20" t="s">
        <v>652</v>
      </c>
      <c r="H963" s="29" t="str">
        <f>VLOOKUP(G963,'insumos terrapl'!$C$3:$K$47,2,0)</f>
        <v>2Q  66  10  02  00  00  00</v>
      </c>
      <c r="I963" s="29" t="str">
        <f>VLOOKUP(G963,'insumos terrapl'!$C$3:$K$47,3,0)</f>
        <v>2Q</v>
      </c>
      <c r="J963" s="29">
        <f>VLOOKUP(G963,'insumos terrapl'!$C$3:$K$47,4,0)</f>
        <v>66</v>
      </c>
      <c r="K963" s="29" t="str">
        <f>VLOOKUP(G963,'insumos terrapl'!$C$3:$K$47,5,0)</f>
        <v>10</v>
      </c>
      <c r="L963" s="29" t="str">
        <f>VLOOKUP(G963,'insumos terrapl'!$C$3:$K$47,6,0)</f>
        <v>02</v>
      </c>
      <c r="M963" s="29" t="str">
        <f>VLOOKUP(G963,'insumos terrapl'!$C$3:$K$47,7,0)</f>
        <v>00</v>
      </c>
      <c r="N963" s="29" t="str">
        <f>VLOOKUP(G963,'insumos terrapl'!$C$3:$K$47,8,0)</f>
        <v>00</v>
      </c>
      <c r="O963" s="97" t="str">
        <f>VLOOKUP(G963,'insumos terrapl'!$C$3:$K$47,9,0)</f>
        <v>00</v>
      </c>
    </row>
    <row r="964" spans="1:15" ht="30">
      <c r="A964" s="125"/>
      <c r="B964" s="127"/>
      <c r="C964" s="125"/>
      <c r="D964" s="115"/>
      <c r="E964" s="115"/>
      <c r="F964" s="11" t="s">
        <v>655</v>
      </c>
      <c r="G964" s="20" t="s">
        <v>656</v>
      </c>
      <c r="H964" s="29" t="str">
        <f>VLOOKUP(G964,'insumos terrapl'!$C$3:$K$47,2,0)</f>
        <v>2Q  62  02  10  00  00  00</v>
      </c>
      <c r="I964" s="29" t="str">
        <f>VLOOKUP(G964,'insumos terrapl'!$C$3:$K$47,3,0)</f>
        <v>2Q</v>
      </c>
      <c r="J964" s="29">
        <f>VLOOKUP(G964,'insumos terrapl'!$C$3:$K$47,4,0)</f>
        <v>62</v>
      </c>
      <c r="K964" s="29" t="str">
        <f>VLOOKUP(G964,'insumos terrapl'!$C$3:$K$47,5,0)</f>
        <v>02</v>
      </c>
      <c r="L964" s="29" t="str">
        <f>VLOOKUP(G964,'insumos terrapl'!$C$3:$K$47,6,0)</f>
        <v>10</v>
      </c>
      <c r="M964" s="29" t="str">
        <f>VLOOKUP(G964,'insumos terrapl'!$C$3:$K$47,7,0)</f>
        <v>00</v>
      </c>
      <c r="N964" s="29" t="str">
        <f>VLOOKUP(G964,'insumos terrapl'!$C$3:$K$47,8,0)</f>
        <v>00</v>
      </c>
      <c r="O964" s="97" t="str">
        <f>VLOOKUP(G964,'insumos terrapl'!$C$3:$K$47,9,0)</f>
        <v>00</v>
      </c>
    </row>
    <row r="965" spans="1:15">
      <c r="A965" s="125"/>
      <c r="B965" s="127"/>
      <c r="C965" s="125"/>
      <c r="D965" s="115"/>
      <c r="E965" s="115"/>
      <c r="F965" s="11" t="s">
        <v>588</v>
      </c>
      <c r="G965" s="20" t="s">
        <v>589</v>
      </c>
      <c r="H965" s="29" t="str">
        <f>VLOOKUP(G965,'insumos terrapl'!$C$3:$K$47,2,0)</f>
        <v>2N  20  14  08  00  00  00</v>
      </c>
      <c r="I965" s="29" t="str">
        <f>VLOOKUP(G965,'insumos terrapl'!$C$3:$K$47,3,0)</f>
        <v>2N</v>
      </c>
      <c r="J965" s="29">
        <f>VLOOKUP(G965,'insumos terrapl'!$C$3:$K$47,4,0)</f>
        <v>20</v>
      </c>
      <c r="K965" s="29">
        <f>VLOOKUP(G965,'insumos terrapl'!$C$3:$K$47,5,0)</f>
        <v>14</v>
      </c>
      <c r="L965" s="29" t="str">
        <f>VLOOKUP(G965,'insumos terrapl'!$C$3:$K$47,6,0)</f>
        <v>08</v>
      </c>
      <c r="M965" s="29" t="str">
        <f>VLOOKUP(G965,'insumos terrapl'!$C$3:$K$47,7,0)</f>
        <v>00</v>
      </c>
      <c r="N965" s="29" t="str">
        <f>VLOOKUP(G965,'insumos terrapl'!$C$3:$K$47,8,0)</f>
        <v>00</v>
      </c>
      <c r="O965" s="97" t="str">
        <f>VLOOKUP(G965,'insumos terrapl'!$C$3:$K$47,9,0)</f>
        <v>00</v>
      </c>
    </row>
    <row r="966" spans="1:15">
      <c r="A966" s="125"/>
      <c r="B966" s="127"/>
      <c r="C966" s="132"/>
      <c r="D966" s="116"/>
      <c r="E966" s="116"/>
      <c r="F966" s="13"/>
      <c r="G966" s="21"/>
      <c r="H966" s="31"/>
      <c r="I966" s="31"/>
      <c r="J966" s="31"/>
      <c r="K966" s="31"/>
      <c r="L966" s="31"/>
      <c r="M966" s="31"/>
      <c r="N966" s="31"/>
      <c r="O966" s="98"/>
    </row>
    <row r="967" spans="1:15">
      <c r="A967" s="125"/>
      <c r="B967" s="127"/>
      <c r="C967" s="124" t="s">
        <v>212</v>
      </c>
      <c r="D967" s="114" t="str">
        <f>$A$692</f>
        <v>2.6.6</v>
      </c>
      <c r="E967" s="115" t="s">
        <v>448</v>
      </c>
      <c r="F967" s="11" t="s">
        <v>212</v>
      </c>
      <c r="G967" s="20"/>
      <c r="H967" s="29"/>
      <c r="I967" s="29"/>
      <c r="J967" s="29"/>
      <c r="K967" s="29"/>
      <c r="L967" s="29"/>
      <c r="M967" s="29"/>
      <c r="N967" s="29"/>
      <c r="O967" s="97"/>
    </row>
    <row r="968" spans="1:15" ht="30">
      <c r="A968" s="125"/>
      <c r="B968" s="127"/>
      <c r="C968" s="125"/>
      <c r="D968" s="115"/>
      <c r="E968" s="115"/>
      <c r="F968" s="11" t="s">
        <v>651</v>
      </c>
      <c r="G968" s="20" t="s">
        <v>652</v>
      </c>
      <c r="H968" s="29" t="str">
        <f>VLOOKUP(G968,'insumos terrapl'!$C$3:$K$47,2,0)</f>
        <v>2Q  66  10  02  00  00  00</v>
      </c>
      <c r="I968" s="29" t="str">
        <f>VLOOKUP(G968,'insumos terrapl'!$C$3:$K$47,3,0)</f>
        <v>2Q</v>
      </c>
      <c r="J968" s="29">
        <f>VLOOKUP(G968,'insumos terrapl'!$C$3:$K$47,4,0)</f>
        <v>66</v>
      </c>
      <c r="K968" s="29" t="str">
        <f>VLOOKUP(G968,'insumos terrapl'!$C$3:$K$47,5,0)</f>
        <v>10</v>
      </c>
      <c r="L968" s="29" t="str">
        <f>VLOOKUP(G968,'insumos terrapl'!$C$3:$K$47,6,0)</f>
        <v>02</v>
      </c>
      <c r="M968" s="29" t="str">
        <f>VLOOKUP(G968,'insumos terrapl'!$C$3:$K$47,7,0)</f>
        <v>00</v>
      </c>
      <c r="N968" s="29" t="str">
        <f>VLOOKUP(G968,'insumos terrapl'!$C$3:$K$47,8,0)</f>
        <v>00</v>
      </c>
      <c r="O968" s="97" t="str">
        <f>VLOOKUP(G968,'insumos terrapl'!$C$3:$K$47,9,0)</f>
        <v>00</v>
      </c>
    </row>
    <row r="969" spans="1:15" ht="30">
      <c r="A969" s="125"/>
      <c r="B969" s="127"/>
      <c r="C969" s="125"/>
      <c r="D969" s="115"/>
      <c r="E969" s="115"/>
      <c r="F969" s="11" t="s">
        <v>655</v>
      </c>
      <c r="G969" s="20" t="s">
        <v>656</v>
      </c>
      <c r="H969" s="29" t="str">
        <f>VLOOKUP(G969,'insumos terrapl'!$C$3:$K$47,2,0)</f>
        <v>2Q  62  02  10  00  00  00</v>
      </c>
      <c r="I969" s="29" t="str">
        <f>VLOOKUP(G969,'insumos terrapl'!$C$3:$K$47,3,0)</f>
        <v>2Q</v>
      </c>
      <c r="J969" s="29">
        <f>VLOOKUP(G969,'insumos terrapl'!$C$3:$K$47,4,0)</f>
        <v>62</v>
      </c>
      <c r="K969" s="29" t="str">
        <f>VLOOKUP(G969,'insumos terrapl'!$C$3:$K$47,5,0)</f>
        <v>02</v>
      </c>
      <c r="L969" s="29" t="str">
        <f>VLOOKUP(G969,'insumos terrapl'!$C$3:$K$47,6,0)</f>
        <v>10</v>
      </c>
      <c r="M969" s="29" t="str">
        <f>VLOOKUP(G969,'insumos terrapl'!$C$3:$K$47,7,0)</f>
        <v>00</v>
      </c>
      <c r="N969" s="29" t="str">
        <f>VLOOKUP(G969,'insumos terrapl'!$C$3:$K$47,8,0)</f>
        <v>00</v>
      </c>
      <c r="O969" s="97" t="str">
        <f>VLOOKUP(G969,'insumos terrapl'!$C$3:$K$47,9,0)</f>
        <v>00</v>
      </c>
    </row>
    <row r="970" spans="1:15">
      <c r="A970" s="125"/>
      <c r="B970" s="127"/>
      <c r="C970" s="125"/>
      <c r="D970" s="115"/>
      <c r="E970" s="115"/>
      <c r="F970" s="11" t="s">
        <v>588</v>
      </c>
      <c r="G970" s="20" t="s">
        <v>589</v>
      </c>
      <c r="H970" s="29" t="str">
        <f>VLOOKUP(G970,'insumos terrapl'!$C$3:$K$47,2,0)</f>
        <v>2N  20  14  08  00  00  00</v>
      </c>
      <c r="I970" s="29" t="str">
        <f>VLOOKUP(G970,'insumos terrapl'!$C$3:$K$47,3,0)</f>
        <v>2N</v>
      </c>
      <c r="J970" s="29">
        <f>VLOOKUP(G970,'insumos terrapl'!$C$3:$K$47,4,0)</f>
        <v>20</v>
      </c>
      <c r="K970" s="29">
        <f>VLOOKUP(G970,'insumos terrapl'!$C$3:$K$47,5,0)</f>
        <v>14</v>
      </c>
      <c r="L970" s="29" t="str">
        <f>VLOOKUP(G970,'insumos terrapl'!$C$3:$K$47,6,0)</f>
        <v>08</v>
      </c>
      <c r="M970" s="29" t="str">
        <f>VLOOKUP(G970,'insumos terrapl'!$C$3:$K$47,7,0)</f>
        <v>00</v>
      </c>
      <c r="N970" s="29" t="str">
        <f>VLOOKUP(G970,'insumos terrapl'!$C$3:$K$47,8,0)</f>
        <v>00</v>
      </c>
      <c r="O970" s="97" t="str">
        <f>VLOOKUP(G970,'insumos terrapl'!$C$3:$K$47,9,0)</f>
        <v>00</v>
      </c>
    </row>
    <row r="971" spans="1:15">
      <c r="A971" s="125"/>
      <c r="B971" s="127"/>
      <c r="C971" s="132"/>
      <c r="D971" s="116"/>
      <c r="E971" s="116"/>
      <c r="F971" s="13"/>
      <c r="G971" s="21"/>
      <c r="H971" s="31"/>
      <c r="I971" s="31"/>
      <c r="J971" s="31"/>
      <c r="K971" s="31"/>
      <c r="L971" s="31"/>
      <c r="M971" s="31"/>
      <c r="N971" s="31"/>
      <c r="O971" s="98"/>
    </row>
    <row r="972" spans="1:15">
      <c r="A972" s="125"/>
      <c r="B972" s="127"/>
      <c r="C972" s="124" t="s">
        <v>213</v>
      </c>
      <c r="D972" s="114" t="str">
        <f>$A$692</f>
        <v>2.6.6</v>
      </c>
      <c r="E972" s="115" t="s">
        <v>450</v>
      </c>
      <c r="F972" s="11" t="s">
        <v>213</v>
      </c>
      <c r="G972" s="20"/>
      <c r="H972" s="29"/>
      <c r="I972" s="29"/>
      <c r="J972" s="29"/>
      <c r="K972" s="29"/>
      <c r="L972" s="29"/>
      <c r="M972" s="29"/>
      <c r="N972" s="29"/>
      <c r="O972" s="97"/>
    </row>
    <row r="973" spans="1:15" ht="30">
      <c r="A973" s="125"/>
      <c r="B973" s="127"/>
      <c r="C973" s="125"/>
      <c r="D973" s="115"/>
      <c r="E973" s="115"/>
      <c r="F973" s="11" t="s">
        <v>651</v>
      </c>
      <c r="G973" s="20" t="s">
        <v>652</v>
      </c>
      <c r="H973" s="29" t="str">
        <f>VLOOKUP(G973,'insumos terrapl'!$C$3:$K$47,2,0)</f>
        <v>2Q  66  10  02  00  00  00</v>
      </c>
      <c r="I973" s="29" t="str">
        <f>VLOOKUP(G973,'insumos terrapl'!$C$3:$K$47,3,0)</f>
        <v>2Q</v>
      </c>
      <c r="J973" s="29">
        <f>VLOOKUP(G973,'insumos terrapl'!$C$3:$K$47,4,0)</f>
        <v>66</v>
      </c>
      <c r="K973" s="29" t="str">
        <f>VLOOKUP(G973,'insumos terrapl'!$C$3:$K$47,5,0)</f>
        <v>10</v>
      </c>
      <c r="L973" s="29" t="str">
        <f>VLOOKUP(G973,'insumos terrapl'!$C$3:$K$47,6,0)</f>
        <v>02</v>
      </c>
      <c r="M973" s="29" t="str">
        <f>VLOOKUP(G973,'insumos terrapl'!$C$3:$K$47,7,0)</f>
        <v>00</v>
      </c>
      <c r="N973" s="29" t="str">
        <f>VLOOKUP(G973,'insumos terrapl'!$C$3:$K$47,8,0)</f>
        <v>00</v>
      </c>
      <c r="O973" s="97" t="str">
        <f>VLOOKUP(G973,'insumos terrapl'!$C$3:$K$47,9,0)</f>
        <v>00</v>
      </c>
    </row>
    <row r="974" spans="1:15" ht="30">
      <c r="A974" s="125"/>
      <c r="B974" s="127"/>
      <c r="C974" s="125"/>
      <c r="D974" s="115"/>
      <c r="E974" s="115"/>
      <c r="F974" s="11" t="s">
        <v>655</v>
      </c>
      <c r="G974" s="20" t="s">
        <v>656</v>
      </c>
      <c r="H974" s="29" t="str">
        <f>VLOOKUP(G974,'insumos terrapl'!$C$3:$K$47,2,0)</f>
        <v>2Q  62  02  10  00  00  00</v>
      </c>
      <c r="I974" s="29" t="str">
        <f>VLOOKUP(G974,'insumos terrapl'!$C$3:$K$47,3,0)</f>
        <v>2Q</v>
      </c>
      <c r="J974" s="29">
        <f>VLOOKUP(G974,'insumos terrapl'!$C$3:$K$47,4,0)</f>
        <v>62</v>
      </c>
      <c r="K974" s="29" t="str">
        <f>VLOOKUP(G974,'insumos terrapl'!$C$3:$K$47,5,0)</f>
        <v>02</v>
      </c>
      <c r="L974" s="29" t="str">
        <f>VLOOKUP(G974,'insumos terrapl'!$C$3:$K$47,6,0)</f>
        <v>10</v>
      </c>
      <c r="M974" s="29" t="str">
        <f>VLOOKUP(G974,'insumos terrapl'!$C$3:$K$47,7,0)</f>
        <v>00</v>
      </c>
      <c r="N974" s="29" t="str">
        <f>VLOOKUP(G974,'insumos terrapl'!$C$3:$K$47,8,0)</f>
        <v>00</v>
      </c>
      <c r="O974" s="97" t="str">
        <f>VLOOKUP(G974,'insumos terrapl'!$C$3:$K$47,9,0)</f>
        <v>00</v>
      </c>
    </row>
    <row r="975" spans="1:15">
      <c r="A975" s="125"/>
      <c r="B975" s="127"/>
      <c r="C975" s="125"/>
      <c r="D975" s="115"/>
      <c r="E975" s="115"/>
      <c r="F975" s="11" t="s">
        <v>588</v>
      </c>
      <c r="G975" s="20" t="s">
        <v>589</v>
      </c>
      <c r="H975" s="29" t="str">
        <f>VLOOKUP(G975,'insumos terrapl'!$C$3:$K$47,2,0)</f>
        <v>2N  20  14  08  00  00  00</v>
      </c>
      <c r="I975" s="29" t="str">
        <f>VLOOKUP(G975,'insumos terrapl'!$C$3:$K$47,3,0)</f>
        <v>2N</v>
      </c>
      <c r="J975" s="29">
        <f>VLOOKUP(G975,'insumos terrapl'!$C$3:$K$47,4,0)</f>
        <v>20</v>
      </c>
      <c r="K975" s="29">
        <f>VLOOKUP(G975,'insumos terrapl'!$C$3:$K$47,5,0)</f>
        <v>14</v>
      </c>
      <c r="L975" s="29" t="str">
        <f>VLOOKUP(G975,'insumos terrapl'!$C$3:$K$47,6,0)</f>
        <v>08</v>
      </c>
      <c r="M975" s="29" t="str">
        <f>VLOOKUP(G975,'insumos terrapl'!$C$3:$K$47,7,0)</f>
        <v>00</v>
      </c>
      <c r="N975" s="29" t="str">
        <f>VLOOKUP(G975,'insumos terrapl'!$C$3:$K$47,8,0)</f>
        <v>00</v>
      </c>
      <c r="O975" s="97" t="str">
        <f>VLOOKUP(G975,'insumos terrapl'!$C$3:$K$47,9,0)</f>
        <v>00</v>
      </c>
    </row>
    <row r="976" spans="1:15">
      <c r="A976" s="125"/>
      <c r="B976" s="127"/>
      <c r="C976" s="132"/>
      <c r="D976" s="116"/>
      <c r="E976" s="116"/>
      <c r="F976" s="13"/>
      <c r="G976" s="21"/>
      <c r="H976" s="31"/>
      <c r="I976" s="31"/>
      <c r="J976" s="31"/>
      <c r="K976" s="31"/>
      <c r="L976" s="31"/>
      <c r="M976" s="31"/>
      <c r="N976" s="31"/>
      <c r="O976" s="98"/>
    </row>
    <row r="977" spans="1:15">
      <c r="A977" s="125"/>
      <c r="B977" s="127"/>
      <c r="C977" s="124" t="s">
        <v>214</v>
      </c>
      <c r="D977" s="114" t="str">
        <f>$A$692</f>
        <v>2.6.6</v>
      </c>
      <c r="E977" s="115" t="s">
        <v>452</v>
      </c>
      <c r="F977" s="11" t="s">
        <v>214</v>
      </c>
      <c r="G977" s="20"/>
      <c r="H977" s="29"/>
      <c r="I977" s="29"/>
      <c r="J977" s="29"/>
      <c r="K977" s="29"/>
      <c r="L977" s="29"/>
      <c r="M977" s="29"/>
      <c r="N977" s="29"/>
      <c r="O977" s="97"/>
    </row>
    <row r="978" spans="1:15" ht="30">
      <c r="A978" s="125"/>
      <c r="B978" s="127"/>
      <c r="C978" s="125"/>
      <c r="D978" s="115"/>
      <c r="E978" s="115"/>
      <c r="F978" s="11" t="s">
        <v>651</v>
      </c>
      <c r="G978" s="20" t="s">
        <v>652</v>
      </c>
      <c r="H978" s="29" t="str">
        <f>VLOOKUP(G978,'insumos terrapl'!$C$3:$K$47,2,0)</f>
        <v>2Q  66  10  02  00  00  00</v>
      </c>
      <c r="I978" s="29" t="str">
        <f>VLOOKUP(G978,'insumos terrapl'!$C$3:$K$47,3,0)</f>
        <v>2Q</v>
      </c>
      <c r="J978" s="29">
        <f>VLOOKUP(G978,'insumos terrapl'!$C$3:$K$47,4,0)</f>
        <v>66</v>
      </c>
      <c r="K978" s="29" t="str">
        <f>VLOOKUP(G978,'insumos terrapl'!$C$3:$K$47,5,0)</f>
        <v>10</v>
      </c>
      <c r="L978" s="29" t="str">
        <f>VLOOKUP(G978,'insumos terrapl'!$C$3:$K$47,6,0)</f>
        <v>02</v>
      </c>
      <c r="M978" s="29" t="str">
        <f>VLOOKUP(G978,'insumos terrapl'!$C$3:$K$47,7,0)</f>
        <v>00</v>
      </c>
      <c r="N978" s="29" t="str">
        <f>VLOOKUP(G978,'insumos terrapl'!$C$3:$K$47,8,0)</f>
        <v>00</v>
      </c>
      <c r="O978" s="97" t="str">
        <f>VLOOKUP(G978,'insumos terrapl'!$C$3:$K$47,9,0)</f>
        <v>00</v>
      </c>
    </row>
    <row r="979" spans="1:15" ht="30">
      <c r="A979" s="125"/>
      <c r="B979" s="127"/>
      <c r="C979" s="125"/>
      <c r="D979" s="115"/>
      <c r="E979" s="115"/>
      <c r="F979" s="11" t="s">
        <v>655</v>
      </c>
      <c r="G979" s="20" t="s">
        <v>656</v>
      </c>
      <c r="H979" s="29" t="str">
        <f>VLOOKUP(G979,'insumos terrapl'!$C$3:$K$47,2,0)</f>
        <v>2Q  62  02  10  00  00  00</v>
      </c>
      <c r="I979" s="29" t="str">
        <f>VLOOKUP(G979,'insumos terrapl'!$C$3:$K$47,3,0)</f>
        <v>2Q</v>
      </c>
      <c r="J979" s="29">
        <f>VLOOKUP(G979,'insumos terrapl'!$C$3:$K$47,4,0)</f>
        <v>62</v>
      </c>
      <c r="K979" s="29" t="str">
        <f>VLOOKUP(G979,'insumos terrapl'!$C$3:$K$47,5,0)</f>
        <v>02</v>
      </c>
      <c r="L979" s="29" t="str">
        <f>VLOOKUP(G979,'insumos terrapl'!$C$3:$K$47,6,0)</f>
        <v>10</v>
      </c>
      <c r="M979" s="29" t="str">
        <f>VLOOKUP(G979,'insumos terrapl'!$C$3:$K$47,7,0)</f>
        <v>00</v>
      </c>
      <c r="N979" s="29" t="str">
        <f>VLOOKUP(G979,'insumos terrapl'!$C$3:$K$47,8,0)</f>
        <v>00</v>
      </c>
      <c r="O979" s="97" t="str">
        <f>VLOOKUP(G979,'insumos terrapl'!$C$3:$K$47,9,0)</f>
        <v>00</v>
      </c>
    </row>
    <row r="980" spans="1:15">
      <c r="A980" s="125"/>
      <c r="B980" s="127"/>
      <c r="C980" s="125"/>
      <c r="D980" s="115"/>
      <c r="E980" s="115"/>
      <c r="F980" s="11" t="s">
        <v>588</v>
      </c>
      <c r="G980" s="20" t="s">
        <v>589</v>
      </c>
      <c r="H980" s="29" t="str">
        <f>VLOOKUP(G980,'insumos terrapl'!$C$3:$K$47,2,0)</f>
        <v>2N  20  14  08  00  00  00</v>
      </c>
      <c r="I980" s="29" t="str">
        <f>VLOOKUP(G980,'insumos terrapl'!$C$3:$K$47,3,0)</f>
        <v>2N</v>
      </c>
      <c r="J980" s="29">
        <f>VLOOKUP(G980,'insumos terrapl'!$C$3:$K$47,4,0)</f>
        <v>20</v>
      </c>
      <c r="K980" s="29">
        <f>VLOOKUP(G980,'insumos terrapl'!$C$3:$K$47,5,0)</f>
        <v>14</v>
      </c>
      <c r="L980" s="29" t="str">
        <f>VLOOKUP(G980,'insumos terrapl'!$C$3:$K$47,6,0)</f>
        <v>08</v>
      </c>
      <c r="M980" s="29" t="str">
        <f>VLOOKUP(G980,'insumos terrapl'!$C$3:$K$47,7,0)</f>
        <v>00</v>
      </c>
      <c r="N980" s="29" t="str">
        <f>VLOOKUP(G980,'insumos terrapl'!$C$3:$K$47,8,0)</f>
        <v>00</v>
      </c>
      <c r="O980" s="97" t="str">
        <f>VLOOKUP(G980,'insumos terrapl'!$C$3:$K$47,9,0)</f>
        <v>00</v>
      </c>
    </row>
    <row r="981" spans="1:15">
      <c r="A981" s="125"/>
      <c r="B981" s="127"/>
      <c r="C981" s="132"/>
      <c r="D981" s="116"/>
      <c r="E981" s="115"/>
      <c r="F981" s="10"/>
      <c r="G981" s="20"/>
      <c r="H981" s="29"/>
      <c r="I981" s="29"/>
      <c r="J981" s="29"/>
      <c r="K981" s="29"/>
      <c r="L981" s="29"/>
      <c r="M981" s="29"/>
      <c r="N981" s="29"/>
      <c r="O981" s="97"/>
    </row>
    <row r="982" spans="1:15">
      <c r="A982" s="125"/>
      <c r="B982" s="127"/>
      <c r="C982" s="124" t="s">
        <v>215</v>
      </c>
      <c r="D982" s="114" t="str">
        <f>$A$692</f>
        <v>2.6.6</v>
      </c>
      <c r="E982" s="114" t="s">
        <v>454</v>
      </c>
      <c r="F982" s="12" t="s">
        <v>215</v>
      </c>
      <c r="G982" s="19"/>
      <c r="H982" s="28"/>
      <c r="I982" s="28"/>
      <c r="J982" s="28"/>
      <c r="K982" s="28"/>
      <c r="L982" s="28"/>
      <c r="M982" s="28"/>
      <c r="N982" s="28"/>
      <c r="O982" s="99"/>
    </row>
    <row r="983" spans="1:15" ht="30">
      <c r="A983" s="125"/>
      <c r="B983" s="127"/>
      <c r="C983" s="125"/>
      <c r="D983" s="115"/>
      <c r="E983" s="115"/>
      <c r="F983" s="11" t="s">
        <v>651</v>
      </c>
      <c r="G983" s="20" t="s">
        <v>652</v>
      </c>
      <c r="H983" s="29" t="str">
        <f>VLOOKUP(G983,'insumos terrapl'!$C$3:$K$47,2,0)</f>
        <v>2Q  66  10  02  00  00  00</v>
      </c>
      <c r="I983" s="29" t="str">
        <f>VLOOKUP(G983,'insumos terrapl'!$C$3:$K$47,3,0)</f>
        <v>2Q</v>
      </c>
      <c r="J983" s="29">
        <f>VLOOKUP(G983,'insumos terrapl'!$C$3:$K$47,4,0)</f>
        <v>66</v>
      </c>
      <c r="K983" s="29" t="str">
        <f>VLOOKUP(G983,'insumos terrapl'!$C$3:$K$47,5,0)</f>
        <v>10</v>
      </c>
      <c r="L983" s="29" t="str">
        <f>VLOOKUP(G983,'insumos terrapl'!$C$3:$K$47,6,0)</f>
        <v>02</v>
      </c>
      <c r="M983" s="29" t="str">
        <f>VLOOKUP(G983,'insumos terrapl'!$C$3:$K$47,7,0)</f>
        <v>00</v>
      </c>
      <c r="N983" s="29" t="str">
        <f>VLOOKUP(G983,'insumos terrapl'!$C$3:$K$47,8,0)</f>
        <v>00</v>
      </c>
      <c r="O983" s="97" t="str">
        <f>VLOOKUP(G983,'insumos terrapl'!$C$3:$K$47,9,0)</f>
        <v>00</v>
      </c>
    </row>
    <row r="984" spans="1:15" ht="30">
      <c r="A984" s="125"/>
      <c r="B984" s="127"/>
      <c r="C984" s="125"/>
      <c r="D984" s="115"/>
      <c r="E984" s="115"/>
      <c r="F984" s="11" t="s">
        <v>655</v>
      </c>
      <c r="G984" s="20" t="s">
        <v>656</v>
      </c>
      <c r="H984" s="29" t="str">
        <f>VLOOKUP(G984,'insumos terrapl'!$C$3:$K$47,2,0)</f>
        <v>2Q  62  02  10  00  00  00</v>
      </c>
      <c r="I984" s="29" t="str">
        <f>VLOOKUP(G984,'insumos terrapl'!$C$3:$K$47,3,0)</f>
        <v>2Q</v>
      </c>
      <c r="J984" s="29">
        <f>VLOOKUP(G984,'insumos terrapl'!$C$3:$K$47,4,0)</f>
        <v>62</v>
      </c>
      <c r="K984" s="29" t="str">
        <f>VLOOKUP(G984,'insumos terrapl'!$C$3:$K$47,5,0)</f>
        <v>02</v>
      </c>
      <c r="L984" s="29" t="str">
        <f>VLOOKUP(G984,'insumos terrapl'!$C$3:$K$47,6,0)</f>
        <v>10</v>
      </c>
      <c r="M984" s="29" t="str">
        <f>VLOOKUP(G984,'insumos terrapl'!$C$3:$K$47,7,0)</f>
        <v>00</v>
      </c>
      <c r="N984" s="29" t="str">
        <f>VLOOKUP(G984,'insumos terrapl'!$C$3:$K$47,8,0)</f>
        <v>00</v>
      </c>
      <c r="O984" s="97" t="str">
        <f>VLOOKUP(G984,'insumos terrapl'!$C$3:$K$47,9,0)</f>
        <v>00</v>
      </c>
    </row>
    <row r="985" spans="1:15">
      <c r="A985" s="125"/>
      <c r="B985" s="127"/>
      <c r="C985" s="125"/>
      <c r="D985" s="115"/>
      <c r="E985" s="115"/>
      <c r="F985" s="11" t="s">
        <v>588</v>
      </c>
      <c r="G985" s="20" t="s">
        <v>589</v>
      </c>
      <c r="H985" s="29" t="str">
        <f>VLOOKUP(G985,'insumos terrapl'!$C$3:$K$47,2,0)</f>
        <v>2N  20  14  08  00  00  00</v>
      </c>
      <c r="I985" s="29" t="str">
        <f>VLOOKUP(G985,'insumos terrapl'!$C$3:$K$47,3,0)</f>
        <v>2N</v>
      </c>
      <c r="J985" s="29">
        <f>VLOOKUP(G985,'insumos terrapl'!$C$3:$K$47,4,0)</f>
        <v>20</v>
      </c>
      <c r="K985" s="29">
        <f>VLOOKUP(G985,'insumos terrapl'!$C$3:$K$47,5,0)</f>
        <v>14</v>
      </c>
      <c r="L985" s="29" t="str">
        <f>VLOOKUP(G985,'insumos terrapl'!$C$3:$K$47,6,0)</f>
        <v>08</v>
      </c>
      <c r="M985" s="29" t="str">
        <f>VLOOKUP(G985,'insumos terrapl'!$C$3:$K$47,7,0)</f>
        <v>00</v>
      </c>
      <c r="N985" s="29" t="str">
        <f>VLOOKUP(G985,'insumos terrapl'!$C$3:$K$47,8,0)</f>
        <v>00</v>
      </c>
      <c r="O985" s="97" t="str">
        <f>VLOOKUP(G985,'insumos terrapl'!$C$3:$K$47,9,0)</f>
        <v>00</v>
      </c>
    </row>
    <row r="986" spans="1:15">
      <c r="A986" s="125"/>
      <c r="B986" s="127"/>
      <c r="C986" s="132"/>
      <c r="D986" s="116"/>
      <c r="E986" s="116"/>
      <c r="F986" s="13"/>
      <c r="G986" s="21"/>
      <c r="H986" s="31"/>
      <c r="I986" s="31"/>
      <c r="J986" s="31"/>
      <c r="K986" s="31"/>
      <c r="L986" s="31"/>
      <c r="M986" s="31"/>
      <c r="N986" s="31"/>
      <c r="O986" s="98"/>
    </row>
    <row r="987" spans="1:15">
      <c r="A987" s="125"/>
      <c r="B987" s="127"/>
      <c r="C987" s="124" t="s">
        <v>216</v>
      </c>
      <c r="D987" s="114" t="str">
        <f>$A$692</f>
        <v>2.6.6</v>
      </c>
      <c r="E987" s="115" t="s">
        <v>456</v>
      </c>
      <c r="F987" s="11" t="s">
        <v>216</v>
      </c>
      <c r="G987" s="20"/>
      <c r="H987" s="29"/>
      <c r="I987" s="29"/>
      <c r="J987" s="29"/>
      <c r="K987" s="29"/>
      <c r="L987" s="29"/>
      <c r="M987" s="29"/>
      <c r="N987" s="29"/>
      <c r="O987" s="97"/>
    </row>
    <row r="988" spans="1:15" ht="30">
      <c r="A988" s="125"/>
      <c r="B988" s="127"/>
      <c r="C988" s="125"/>
      <c r="D988" s="115"/>
      <c r="E988" s="115"/>
      <c r="F988" s="11" t="s">
        <v>651</v>
      </c>
      <c r="G988" s="20" t="s">
        <v>652</v>
      </c>
      <c r="H988" s="29" t="str">
        <f>VLOOKUP(G988,'insumos terrapl'!$C$3:$K$47,2,0)</f>
        <v>2Q  66  10  02  00  00  00</v>
      </c>
      <c r="I988" s="29" t="str">
        <f>VLOOKUP(G988,'insumos terrapl'!$C$3:$K$47,3,0)</f>
        <v>2Q</v>
      </c>
      <c r="J988" s="29">
        <f>VLOOKUP(G988,'insumos terrapl'!$C$3:$K$47,4,0)</f>
        <v>66</v>
      </c>
      <c r="K988" s="29" t="str">
        <f>VLOOKUP(G988,'insumos terrapl'!$C$3:$K$47,5,0)</f>
        <v>10</v>
      </c>
      <c r="L988" s="29" t="str">
        <f>VLOOKUP(G988,'insumos terrapl'!$C$3:$K$47,6,0)</f>
        <v>02</v>
      </c>
      <c r="M988" s="29" t="str">
        <f>VLOOKUP(G988,'insumos terrapl'!$C$3:$K$47,7,0)</f>
        <v>00</v>
      </c>
      <c r="N988" s="29" t="str">
        <f>VLOOKUP(G988,'insumos terrapl'!$C$3:$K$47,8,0)</f>
        <v>00</v>
      </c>
      <c r="O988" s="97" t="str">
        <f>VLOOKUP(G988,'insumos terrapl'!$C$3:$K$47,9,0)</f>
        <v>00</v>
      </c>
    </row>
    <row r="989" spans="1:15" ht="30">
      <c r="A989" s="125"/>
      <c r="B989" s="127"/>
      <c r="C989" s="125"/>
      <c r="D989" s="115"/>
      <c r="E989" s="115"/>
      <c r="F989" s="11" t="s">
        <v>655</v>
      </c>
      <c r="G989" s="20" t="s">
        <v>656</v>
      </c>
      <c r="H989" s="29" t="str">
        <f>VLOOKUP(G989,'insumos terrapl'!$C$3:$K$47,2,0)</f>
        <v>2Q  62  02  10  00  00  00</v>
      </c>
      <c r="I989" s="29" t="str">
        <f>VLOOKUP(G989,'insumos terrapl'!$C$3:$K$47,3,0)</f>
        <v>2Q</v>
      </c>
      <c r="J989" s="29">
        <f>VLOOKUP(G989,'insumos terrapl'!$C$3:$K$47,4,0)</f>
        <v>62</v>
      </c>
      <c r="K989" s="29" t="str">
        <f>VLOOKUP(G989,'insumos terrapl'!$C$3:$K$47,5,0)</f>
        <v>02</v>
      </c>
      <c r="L989" s="29" t="str">
        <f>VLOOKUP(G989,'insumos terrapl'!$C$3:$K$47,6,0)</f>
        <v>10</v>
      </c>
      <c r="M989" s="29" t="str">
        <f>VLOOKUP(G989,'insumos terrapl'!$C$3:$K$47,7,0)</f>
        <v>00</v>
      </c>
      <c r="N989" s="29" t="str">
        <f>VLOOKUP(G989,'insumos terrapl'!$C$3:$K$47,8,0)</f>
        <v>00</v>
      </c>
      <c r="O989" s="97" t="str">
        <f>VLOOKUP(G989,'insumos terrapl'!$C$3:$K$47,9,0)</f>
        <v>00</v>
      </c>
    </row>
    <row r="990" spans="1:15">
      <c r="A990" s="125"/>
      <c r="B990" s="127"/>
      <c r="C990" s="125"/>
      <c r="D990" s="115"/>
      <c r="E990" s="115"/>
      <c r="F990" s="11" t="s">
        <v>588</v>
      </c>
      <c r="G990" s="20" t="s">
        <v>589</v>
      </c>
      <c r="H990" s="29" t="str">
        <f>VLOOKUP(G990,'insumos terrapl'!$C$3:$K$47,2,0)</f>
        <v>2N  20  14  08  00  00  00</v>
      </c>
      <c r="I990" s="29" t="str">
        <f>VLOOKUP(G990,'insumos terrapl'!$C$3:$K$47,3,0)</f>
        <v>2N</v>
      </c>
      <c r="J990" s="29">
        <f>VLOOKUP(G990,'insumos terrapl'!$C$3:$K$47,4,0)</f>
        <v>20</v>
      </c>
      <c r="K990" s="29">
        <f>VLOOKUP(G990,'insumos terrapl'!$C$3:$K$47,5,0)</f>
        <v>14</v>
      </c>
      <c r="L990" s="29" t="str">
        <f>VLOOKUP(G990,'insumos terrapl'!$C$3:$K$47,6,0)</f>
        <v>08</v>
      </c>
      <c r="M990" s="29" t="str">
        <f>VLOOKUP(G990,'insumos terrapl'!$C$3:$K$47,7,0)</f>
        <v>00</v>
      </c>
      <c r="N990" s="29" t="str">
        <f>VLOOKUP(G990,'insumos terrapl'!$C$3:$K$47,8,0)</f>
        <v>00</v>
      </c>
      <c r="O990" s="97" t="str">
        <f>VLOOKUP(G990,'insumos terrapl'!$C$3:$K$47,9,0)</f>
        <v>00</v>
      </c>
    </row>
    <row r="991" spans="1:15">
      <c r="A991" s="125"/>
      <c r="B991" s="127"/>
      <c r="C991" s="132"/>
      <c r="D991" s="116"/>
      <c r="E991" s="115"/>
      <c r="F991" s="10"/>
      <c r="G991" s="20"/>
      <c r="H991" s="29"/>
      <c r="I991" s="29"/>
      <c r="J991" s="29"/>
      <c r="K991" s="29"/>
      <c r="L991" s="29"/>
      <c r="M991" s="29"/>
      <c r="N991" s="29"/>
      <c r="O991" s="97"/>
    </row>
    <row r="992" spans="1:15">
      <c r="A992" s="125"/>
      <c r="B992" s="127"/>
      <c r="C992" s="124" t="s">
        <v>217</v>
      </c>
      <c r="D992" s="114" t="str">
        <f>$A$692</f>
        <v>2.6.6</v>
      </c>
      <c r="E992" s="114" t="s">
        <v>458</v>
      </c>
      <c r="F992" s="12" t="s">
        <v>217</v>
      </c>
      <c r="G992" s="19"/>
      <c r="H992" s="28"/>
      <c r="I992" s="28"/>
      <c r="J992" s="28"/>
      <c r="K992" s="28"/>
      <c r="L992" s="28"/>
      <c r="M992" s="28"/>
      <c r="N992" s="28"/>
      <c r="O992" s="99"/>
    </row>
    <row r="993" spans="1:15" ht="30">
      <c r="A993" s="125"/>
      <c r="B993" s="127"/>
      <c r="C993" s="125"/>
      <c r="D993" s="115"/>
      <c r="E993" s="115"/>
      <c r="F993" s="11" t="s">
        <v>651</v>
      </c>
      <c r="G993" s="20" t="s">
        <v>652</v>
      </c>
      <c r="H993" s="29" t="str">
        <f>VLOOKUP(G993,'insumos terrapl'!$C$3:$K$47,2,0)</f>
        <v>2Q  66  10  02  00  00  00</v>
      </c>
      <c r="I993" s="29" t="str">
        <f>VLOOKUP(G993,'insumos terrapl'!$C$3:$K$47,3,0)</f>
        <v>2Q</v>
      </c>
      <c r="J993" s="29">
        <f>VLOOKUP(G993,'insumos terrapl'!$C$3:$K$47,4,0)</f>
        <v>66</v>
      </c>
      <c r="K993" s="29" t="str">
        <f>VLOOKUP(G993,'insumos terrapl'!$C$3:$K$47,5,0)</f>
        <v>10</v>
      </c>
      <c r="L993" s="29" t="str">
        <f>VLOOKUP(G993,'insumos terrapl'!$C$3:$K$47,6,0)</f>
        <v>02</v>
      </c>
      <c r="M993" s="29" t="str">
        <f>VLOOKUP(G993,'insumos terrapl'!$C$3:$K$47,7,0)</f>
        <v>00</v>
      </c>
      <c r="N993" s="29" t="str">
        <f>VLOOKUP(G993,'insumos terrapl'!$C$3:$K$47,8,0)</f>
        <v>00</v>
      </c>
      <c r="O993" s="97" t="str">
        <f>VLOOKUP(G993,'insumos terrapl'!$C$3:$K$47,9,0)</f>
        <v>00</v>
      </c>
    </row>
    <row r="994" spans="1:15" ht="30">
      <c r="A994" s="125"/>
      <c r="B994" s="127"/>
      <c r="C994" s="125"/>
      <c r="D994" s="115"/>
      <c r="E994" s="115"/>
      <c r="F994" s="11" t="s">
        <v>655</v>
      </c>
      <c r="G994" s="20" t="s">
        <v>656</v>
      </c>
      <c r="H994" s="29" t="str">
        <f>VLOOKUP(G994,'insumos terrapl'!$C$3:$K$47,2,0)</f>
        <v>2Q  62  02  10  00  00  00</v>
      </c>
      <c r="I994" s="29" t="str">
        <f>VLOOKUP(G994,'insumos terrapl'!$C$3:$K$47,3,0)</f>
        <v>2Q</v>
      </c>
      <c r="J994" s="29">
        <f>VLOOKUP(G994,'insumos terrapl'!$C$3:$K$47,4,0)</f>
        <v>62</v>
      </c>
      <c r="K994" s="29" t="str">
        <f>VLOOKUP(G994,'insumos terrapl'!$C$3:$K$47,5,0)</f>
        <v>02</v>
      </c>
      <c r="L994" s="29" t="str">
        <f>VLOOKUP(G994,'insumos terrapl'!$C$3:$K$47,6,0)</f>
        <v>10</v>
      </c>
      <c r="M994" s="29" t="str">
        <f>VLOOKUP(G994,'insumos terrapl'!$C$3:$K$47,7,0)</f>
        <v>00</v>
      </c>
      <c r="N994" s="29" t="str">
        <f>VLOOKUP(G994,'insumos terrapl'!$C$3:$K$47,8,0)</f>
        <v>00</v>
      </c>
      <c r="O994" s="97" t="str">
        <f>VLOOKUP(G994,'insumos terrapl'!$C$3:$K$47,9,0)</f>
        <v>00</v>
      </c>
    </row>
    <row r="995" spans="1:15">
      <c r="A995" s="125"/>
      <c r="B995" s="127"/>
      <c r="C995" s="125"/>
      <c r="D995" s="115"/>
      <c r="E995" s="115"/>
      <c r="F995" s="11" t="s">
        <v>588</v>
      </c>
      <c r="G995" s="20" t="s">
        <v>589</v>
      </c>
      <c r="H995" s="29" t="str">
        <f>VLOOKUP(G995,'insumos terrapl'!$C$3:$K$47,2,0)</f>
        <v>2N  20  14  08  00  00  00</v>
      </c>
      <c r="I995" s="29" t="str">
        <f>VLOOKUP(G995,'insumos terrapl'!$C$3:$K$47,3,0)</f>
        <v>2N</v>
      </c>
      <c r="J995" s="29">
        <f>VLOOKUP(G995,'insumos terrapl'!$C$3:$K$47,4,0)</f>
        <v>20</v>
      </c>
      <c r="K995" s="29">
        <f>VLOOKUP(G995,'insumos terrapl'!$C$3:$K$47,5,0)</f>
        <v>14</v>
      </c>
      <c r="L995" s="29" t="str">
        <f>VLOOKUP(G995,'insumos terrapl'!$C$3:$K$47,6,0)</f>
        <v>08</v>
      </c>
      <c r="M995" s="29" t="str">
        <f>VLOOKUP(G995,'insumos terrapl'!$C$3:$K$47,7,0)</f>
        <v>00</v>
      </c>
      <c r="N995" s="29" t="str">
        <f>VLOOKUP(G995,'insumos terrapl'!$C$3:$K$47,8,0)</f>
        <v>00</v>
      </c>
      <c r="O995" s="97" t="str">
        <f>VLOOKUP(G995,'insumos terrapl'!$C$3:$K$47,9,0)</f>
        <v>00</v>
      </c>
    </row>
    <row r="996" spans="1:15">
      <c r="A996" s="125"/>
      <c r="B996" s="127"/>
      <c r="C996" s="132"/>
      <c r="D996" s="116"/>
      <c r="E996" s="115"/>
      <c r="F996" s="11"/>
      <c r="G996" s="20"/>
      <c r="H996" s="29"/>
      <c r="I996" s="29"/>
      <c r="J996" s="29"/>
      <c r="K996" s="29"/>
      <c r="L996" s="29"/>
      <c r="M996" s="29"/>
      <c r="N996" s="29"/>
      <c r="O996" s="97"/>
    </row>
    <row r="997" spans="1:15">
      <c r="A997" s="125"/>
      <c r="B997" s="127"/>
      <c r="C997" s="124" t="s">
        <v>218</v>
      </c>
      <c r="D997" s="114" t="str">
        <f>$A$692</f>
        <v>2.6.6</v>
      </c>
      <c r="E997" s="114" t="s">
        <v>460</v>
      </c>
      <c r="F997" s="12" t="s">
        <v>218</v>
      </c>
      <c r="G997" s="19"/>
      <c r="H997" s="28"/>
      <c r="I997" s="28"/>
      <c r="J997" s="28"/>
      <c r="K997" s="28"/>
      <c r="L997" s="28"/>
      <c r="M997" s="28"/>
      <c r="N997" s="28"/>
      <c r="O997" s="99"/>
    </row>
    <row r="998" spans="1:15" ht="30">
      <c r="A998" s="125"/>
      <c r="B998" s="127"/>
      <c r="C998" s="125"/>
      <c r="D998" s="115"/>
      <c r="E998" s="115"/>
      <c r="F998" s="11" t="s">
        <v>651</v>
      </c>
      <c r="G998" s="20" t="s">
        <v>652</v>
      </c>
      <c r="H998" s="29" t="str">
        <f>VLOOKUP(G998,'insumos terrapl'!$C$3:$K$47,2,0)</f>
        <v>2Q  66  10  02  00  00  00</v>
      </c>
      <c r="I998" s="29" t="str">
        <f>VLOOKUP(G998,'insumos terrapl'!$C$3:$K$47,3,0)</f>
        <v>2Q</v>
      </c>
      <c r="J998" s="29">
        <f>VLOOKUP(G998,'insumos terrapl'!$C$3:$K$47,4,0)</f>
        <v>66</v>
      </c>
      <c r="K998" s="29" t="str">
        <f>VLOOKUP(G998,'insumos terrapl'!$C$3:$K$47,5,0)</f>
        <v>10</v>
      </c>
      <c r="L998" s="29" t="str">
        <f>VLOOKUP(G998,'insumos terrapl'!$C$3:$K$47,6,0)</f>
        <v>02</v>
      </c>
      <c r="M998" s="29" t="str">
        <f>VLOOKUP(G998,'insumos terrapl'!$C$3:$K$47,7,0)</f>
        <v>00</v>
      </c>
      <c r="N998" s="29" t="str">
        <f>VLOOKUP(G998,'insumos terrapl'!$C$3:$K$47,8,0)</f>
        <v>00</v>
      </c>
      <c r="O998" s="97" t="str">
        <f>VLOOKUP(G998,'insumos terrapl'!$C$3:$K$47,9,0)</f>
        <v>00</v>
      </c>
    </row>
    <row r="999" spans="1:15" ht="30">
      <c r="A999" s="125"/>
      <c r="B999" s="127"/>
      <c r="C999" s="125"/>
      <c r="D999" s="115"/>
      <c r="E999" s="115"/>
      <c r="F999" s="11" t="s">
        <v>655</v>
      </c>
      <c r="G999" s="20" t="s">
        <v>656</v>
      </c>
      <c r="H999" s="29" t="str">
        <f>VLOOKUP(G999,'insumos terrapl'!$C$3:$K$47,2,0)</f>
        <v>2Q  62  02  10  00  00  00</v>
      </c>
      <c r="I999" s="29" t="str">
        <f>VLOOKUP(G999,'insumos terrapl'!$C$3:$K$47,3,0)</f>
        <v>2Q</v>
      </c>
      <c r="J999" s="29">
        <f>VLOOKUP(G999,'insumos terrapl'!$C$3:$K$47,4,0)</f>
        <v>62</v>
      </c>
      <c r="K999" s="29" t="str">
        <f>VLOOKUP(G999,'insumos terrapl'!$C$3:$K$47,5,0)</f>
        <v>02</v>
      </c>
      <c r="L999" s="29" t="str">
        <f>VLOOKUP(G999,'insumos terrapl'!$C$3:$K$47,6,0)</f>
        <v>10</v>
      </c>
      <c r="M999" s="29" t="str">
        <f>VLOOKUP(G999,'insumos terrapl'!$C$3:$K$47,7,0)</f>
        <v>00</v>
      </c>
      <c r="N999" s="29" t="str">
        <f>VLOOKUP(G999,'insumos terrapl'!$C$3:$K$47,8,0)</f>
        <v>00</v>
      </c>
      <c r="O999" s="97" t="str">
        <f>VLOOKUP(G999,'insumos terrapl'!$C$3:$K$47,9,0)</f>
        <v>00</v>
      </c>
    </row>
    <row r="1000" spans="1:15">
      <c r="A1000" s="125"/>
      <c r="B1000" s="127"/>
      <c r="C1000" s="125"/>
      <c r="D1000" s="115"/>
      <c r="E1000" s="115"/>
      <c r="F1000" s="11" t="s">
        <v>588</v>
      </c>
      <c r="G1000" s="20" t="s">
        <v>589</v>
      </c>
      <c r="H1000" s="29" t="str">
        <f>VLOOKUP(G1000,'insumos terrapl'!$C$3:$K$47,2,0)</f>
        <v>2N  20  14  08  00  00  00</v>
      </c>
      <c r="I1000" s="29" t="str">
        <f>VLOOKUP(G1000,'insumos terrapl'!$C$3:$K$47,3,0)</f>
        <v>2N</v>
      </c>
      <c r="J1000" s="29">
        <f>VLOOKUP(G1000,'insumos terrapl'!$C$3:$K$47,4,0)</f>
        <v>20</v>
      </c>
      <c r="K1000" s="29">
        <f>VLOOKUP(G1000,'insumos terrapl'!$C$3:$K$47,5,0)</f>
        <v>14</v>
      </c>
      <c r="L1000" s="29" t="str">
        <f>VLOOKUP(G1000,'insumos terrapl'!$C$3:$K$47,6,0)</f>
        <v>08</v>
      </c>
      <c r="M1000" s="29" t="str">
        <f>VLOOKUP(G1000,'insumos terrapl'!$C$3:$K$47,7,0)</f>
        <v>00</v>
      </c>
      <c r="N1000" s="29" t="str">
        <f>VLOOKUP(G1000,'insumos terrapl'!$C$3:$K$47,8,0)</f>
        <v>00</v>
      </c>
      <c r="O1000" s="97" t="str">
        <f>VLOOKUP(G1000,'insumos terrapl'!$C$3:$K$47,9,0)</f>
        <v>00</v>
      </c>
    </row>
    <row r="1001" spans="1:15">
      <c r="A1001" s="125"/>
      <c r="B1001" s="127"/>
      <c r="C1001" s="132"/>
      <c r="D1001" s="116"/>
      <c r="E1001" s="116"/>
      <c r="F1001" s="11"/>
      <c r="G1001" s="20"/>
      <c r="H1001" s="29"/>
      <c r="I1001" s="29"/>
      <c r="J1001" s="29"/>
      <c r="K1001" s="29"/>
      <c r="L1001" s="29"/>
      <c r="M1001" s="29"/>
      <c r="N1001" s="29"/>
      <c r="O1001" s="97"/>
    </row>
    <row r="1002" spans="1:15">
      <c r="A1002" s="125"/>
      <c r="B1002" s="127"/>
      <c r="C1002" s="124" t="s">
        <v>219</v>
      </c>
      <c r="D1002" s="114" t="str">
        <f>$A$692</f>
        <v>2.6.6</v>
      </c>
      <c r="E1002" s="114" t="s">
        <v>462</v>
      </c>
      <c r="F1002" s="15" t="s">
        <v>219</v>
      </c>
      <c r="G1002" s="19"/>
      <c r="H1002" s="28"/>
      <c r="I1002" s="28"/>
      <c r="J1002" s="28"/>
      <c r="K1002" s="28"/>
      <c r="L1002" s="28"/>
      <c r="M1002" s="28"/>
      <c r="N1002" s="28"/>
      <c r="O1002" s="99"/>
    </row>
    <row r="1003" spans="1:15" ht="30">
      <c r="A1003" s="125"/>
      <c r="B1003" s="127"/>
      <c r="C1003" s="125"/>
      <c r="D1003" s="115"/>
      <c r="E1003" s="115"/>
      <c r="F1003" s="16" t="s">
        <v>651</v>
      </c>
      <c r="G1003" s="20" t="s">
        <v>652</v>
      </c>
      <c r="H1003" s="29" t="str">
        <f>VLOOKUP(G1003,'insumos terrapl'!$C$3:$K$47,2,0)</f>
        <v>2Q  66  10  02  00  00  00</v>
      </c>
      <c r="I1003" s="29" t="str">
        <f>VLOOKUP(G1003,'insumos terrapl'!$C$3:$K$47,3,0)</f>
        <v>2Q</v>
      </c>
      <c r="J1003" s="29">
        <f>VLOOKUP(G1003,'insumos terrapl'!$C$3:$K$47,4,0)</f>
        <v>66</v>
      </c>
      <c r="K1003" s="29" t="str">
        <f>VLOOKUP(G1003,'insumos terrapl'!$C$3:$K$47,5,0)</f>
        <v>10</v>
      </c>
      <c r="L1003" s="29" t="str">
        <f>VLOOKUP(G1003,'insumos terrapl'!$C$3:$K$47,6,0)</f>
        <v>02</v>
      </c>
      <c r="M1003" s="29" t="str">
        <f>VLOOKUP(G1003,'insumos terrapl'!$C$3:$K$47,7,0)</f>
        <v>00</v>
      </c>
      <c r="N1003" s="29" t="str">
        <f>VLOOKUP(G1003,'insumos terrapl'!$C$3:$K$47,8,0)</f>
        <v>00</v>
      </c>
      <c r="O1003" s="97" t="str">
        <f>VLOOKUP(G1003,'insumos terrapl'!$C$3:$K$47,9,0)</f>
        <v>00</v>
      </c>
    </row>
    <row r="1004" spans="1:15" ht="30">
      <c r="A1004" s="125"/>
      <c r="B1004" s="127"/>
      <c r="C1004" s="125"/>
      <c r="D1004" s="115"/>
      <c r="E1004" s="115"/>
      <c r="F1004" s="16" t="s">
        <v>655</v>
      </c>
      <c r="G1004" s="20" t="s">
        <v>656</v>
      </c>
      <c r="H1004" s="29" t="str">
        <f>VLOOKUP(G1004,'insumos terrapl'!$C$3:$K$47,2,0)</f>
        <v>2Q  62  02  10  00  00  00</v>
      </c>
      <c r="I1004" s="29" t="str">
        <f>VLOOKUP(G1004,'insumos terrapl'!$C$3:$K$47,3,0)</f>
        <v>2Q</v>
      </c>
      <c r="J1004" s="29">
        <f>VLOOKUP(G1004,'insumos terrapl'!$C$3:$K$47,4,0)</f>
        <v>62</v>
      </c>
      <c r="K1004" s="29" t="str">
        <f>VLOOKUP(G1004,'insumos terrapl'!$C$3:$K$47,5,0)</f>
        <v>02</v>
      </c>
      <c r="L1004" s="29" t="str">
        <f>VLOOKUP(G1004,'insumos terrapl'!$C$3:$K$47,6,0)</f>
        <v>10</v>
      </c>
      <c r="M1004" s="29" t="str">
        <f>VLOOKUP(G1004,'insumos terrapl'!$C$3:$K$47,7,0)</f>
        <v>00</v>
      </c>
      <c r="N1004" s="29" t="str">
        <f>VLOOKUP(G1004,'insumos terrapl'!$C$3:$K$47,8,0)</f>
        <v>00</v>
      </c>
      <c r="O1004" s="97" t="str">
        <f>VLOOKUP(G1004,'insumos terrapl'!$C$3:$K$47,9,0)</f>
        <v>00</v>
      </c>
    </row>
    <row r="1005" spans="1:15">
      <c r="A1005" s="125"/>
      <c r="B1005" s="127"/>
      <c r="C1005" s="125"/>
      <c r="D1005" s="115"/>
      <c r="E1005" s="115"/>
      <c r="F1005" s="16" t="s">
        <v>588</v>
      </c>
      <c r="G1005" s="20" t="s">
        <v>589</v>
      </c>
      <c r="H1005" s="29" t="str">
        <f>VLOOKUP(G1005,'insumos terrapl'!$C$3:$K$47,2,0)</f>
        <v>2N  20  14  08  00  00  00</v>
      </c>
      <c r="I1005" s="29" t="str">
        <f>VLOOKUP(G1005,'insumos terrapl'!$C$3:$K$47,3,0)</f>
        <v>2N</v>
      </c>
      <c r="J1005" s="29">
        <f>VLOOKUP(G1005,'insumos terrapl'!$C$3:$K$47,4,0)</f>
        <v>20</v>
      </c>
      <c r="K1005" s="29">
        <f>VLOOKUP(G1005,'insumos terrapl'!$C$3:$K$47,5,0)</f>
        <v>14</v>
      </c>
      <c r="L1005" s="29" t="str">
        <f>VLOOKUP(G1005,'insumos terrapl'!$C$3:$K$47,6,0)</f>
        <v>08</v>
      </c>
      <c r="M1005" s="29" t="str">
        <f>VLOOKUP(G1005,'insumos terrapl'!$C$3:$K$47,7,0)</f>
        <v>00</v>
      </c>
      <c r="N1005" s="29" t="str">
        <f>VLOOKUP(G1005,'insumos terrapl'!$C$3:$K$47,8,0)</f>
        <v>00</v>
      </c>
      <c r="O1005" s="97" t="str">
        <f>VLOOKUP(G1005,'insumos terrapl'!$C$3:$K$47,9,0)</f>
        <v>00</v>
      </c>
    </row>
    <row r="1006" spans="1:15">
      <c r="A1006" s="125"/>
      <c r="B1006" s="127"/>
      <c r="C1006" s="132"/>
      <c r="D1006" s="116"/>
      <c r="E1006" s="116"/>
      <c r="F1006" s="17"/>
      <c r="G1006" s="21"/>
      <c r="H1006" s="31"/>
      <c r="I1006" s="31"/>
      <c r="J1006" s="31"/>
      <c r="K1006" s="31"/>
      <c r="L1006" s="31"/>
      <c r="M1006" s="31"/>
      <c r="N1006" s="31"/>
      <c r="O1006" s="98"/>
    </row>
    <row r="1007" spans="1:15">
      <c r="A1007" s="125"/>
      <c r="B1007" s="127"/>
      <c r="C1007" s="124" t="s">
        <v>220</v>
      </c>
      <c r="D1007" s="114" t="str">
        <f>$A$692</f>
        <v>2.6.6</v>
      </c>
      <c r="E1007" s="115" t="s">
        <v>464</v>
      </c>
      <c r="F1007" s="16" t="s">
        <v>220</v>
      </c>
      <c r="G1007" s="20"/>
      <c r="H1007" s="29"/>
      <c r="I1007" s="29"/>
      <c r="J1007" s="29"/>
      <c r="K1007" s="29"/>
      <c r="L1007" s="29"/>
      <c r="M1007" s="29"/>
      <c r="N1007" s="29"/>
      <c r="O1007" s="97"/>
    </row>
    <row r="1008" spans="1:15" ht="30">
      <c r="A1008" s="125"/>
      <c r="B1008" s="127"/>
      <c r="C1008" s="125"/>
      <c r="D1008" s="115"/>
      <c r="E1008" s="115"/>
      <c r="F1008" s="16" t="s">
        <v>651</v>
      </c>
      <c r="G1008" s="20" t="s">
        <v>652</v>
      </c>
      <c r="H1008" s="29" t="str">
        <f>VLOOKUP(G1008,'insumos terrapl'!$C$3:$K$47,2,0)</f>
        <v>2Q  66  10  02  00  00  00</v>
      </c>
      <c r="I1008" s="29" t="str">
        <f>VLOOKUP(G1008,'insumos terrapl'!$C$3:$K$47,3,0)</f>
        <v>2Q</v>
      </c>
      <c r="J1008" s="29">
        <f>VLOOKUP(G1008,'insumos terrapl'!$C$3:$K$47,4,0)</f>
        <v>66</v>
      </c>
      <c r="K1008" s="29" t="str">
        <f>VLOOKUP(G1008,'insumos terrapl'!$C$3:$K$47,5,0)</f>
        <v>10</v>
      </c>
      <c r="L1008" s="29" t="str">
        <f>VLOOKUP(G1008,'insumos terrapl'!$C$3:$K$47,6,0)</f>
        <v>02</v>
      </c>
      <c r="M1008" s="29" t="str">
        <f>VLOOKUP(G1008,'insumos terrapl'!$C$3:$K$47,7,0)</f>
        <v>00</v>
      </c>
      <c r="N1008" s="29" t="str">
        <f>VLOOKUP(G1008,'insumos terrapl'!$C$3:$K$47,8,0)</f>
        <v>00</v>
      </c>
      <c r="O1008" s="97" t="str">
        <f>VLOOKUP(G1008,'insumos terrapl'!$C$3:$K$47,9,0)</f>
        <v>00</v>
      </c>
    </row>
    <row r="1009" spans="1:15" ht="30">
      <c r="A1009" s="125"/>
      <c r="B1009" s="127"/>
      <c r="C1009" s="125"/>
      <c r="D1009" s="115"/>
      <c r="E1009" s="115"/>
      <c r="F1009" s="16" t="s">
        <v>655</v>
      </c>
      <c r="G1009" s="20" t="s">
        <v>656</v>
      </c>
      <c r="H1009" s="29" t="str">
        <f>VLOOKUP(G1009,'insumos terrapl'!$C$3:$K$47,2,0)</f>
        <v>2Q  62  02  10  00  00  00</v>
      </c>
      <c r="I1009" s="29" t="str">
        <f>VLOOKUP(G1009,'insumos terrapl'!$C$3:$K$47,3,0)</f>
        <v>2Q</v>
      </c>
      <c r="J1009" s="29">
        <f>VLOOKUP(G1009,'insumos terrapl'!$C$3:$K$47,4,0)</f>
        <v>62</v>
      </c>
      <c r="K1009" s="29" t="str">
        <f>VLOOKUP(G1009,'insumos terrapl'!$C$3:$K$47,5,0)</f>
        <v>02</v>
      </c>
      <c r="L1009" s="29" t="str">
        <f>VLOOKUP(G1009,'insumos terrapl'!$C$3:$K$47,6,0)</f>
        <v>10</v>
      </c>
      <c r="M1009" s="29" t="str">
        <f>VLOOKUP(G1009,'insumos terrapl'!$C$3:$K$47,7,0)</f>
        <v>00</v>
      </c>
      <c r="N1009" s="29" t="str">
        <f>VLOOKUP(G1009,'insumos terrapl'!$C$3:$K$47,8,0)</f>
        <v>00</v>
      </c>
      <c r="O1009" s="97" t="str">
        <f>VLOOKUP(G1009,'insumos terrapl'!$C$3:$K$47,9,0)</f>
        <v>00</v>
      </c>
    </row>
    <row r="1010" spans="1:15">
      <c r="A1010" s="125"/>
      <c r="B1010" s="127"/>
      <c r="C1010" s="125"/>
      <c r="D1010" s="115"/>
      <c r="E1010" s="115"/>
      <c r="F1010" s="16" t="s">
        <v>588</v>
      </c>
      <c r="G1010" s="20" t="s">
        <v>589</v>
      </c>
      <c r="H1010" s="29" t="str">
        <f>VLOOKUP(G1010,'insumos terrapl'!$C$3:$K$47,2,0)</f>
        <v>2N  20  14  08  00  00  00</v>
      </c>
      <c r="I1010" s="29" t="str">
        <f>VLOOKUP(G1010,'insumos terrapl'!$C$3:$K$47,3,0)</f>
        <v>2N</v>
      </c>
      <c r="J1010" s="29">
        <f>VLOOKUP(G1010,'insumos terrapl'!$C$3:$K$47,4,0)</f>
        <v>20</v>
      </c>
      <c r="K1010" s="29">
        <f>VLOOKUP(G1010,'insumos terrapl'!$C$3:$K$47,5,0)</f>
        <v>14</v>
      </c>
      <c r="L1010" s="29" t="str">
        <f>VLOOKUP(G1010,'insumos terrapl'!$C$3:$K$47,6,0)</f>
        <v>08</v>
      </c>
      <c r="M1010" s="29" t="str">
        <f>VLOOKUP(G1010,'insumos terrapl'!$C$3:$K$47,7,0)</f>
        <v>00</v>
      </c>
      <c r="N1010" s="29" t="str">
        <f>VLOOKUP(G1010,'insumos terrapl'!$C$3:$K$47,8,0)</f>
        <v>00</v>
      </c>
      <c r="O1010" s="97" t="str">
        <f>VLOOKUP(G1010,'insumos terrapl'!$C$3:$K$47,9,0)</f>
        <v>00</v>
      </c>
    </row>
    <row r="1011" spans="1:15">
      <c r="A1011" s="125"/>
      <c r="B1011" s="127"/>
      <c r="C1011" s="132"/>
      <c r="D1011" s="116"/>
      <c r="E1011" s="116"/>
      <c r="F1011" s="17"/>
      <c r="G1011" s="21"/>
      <c r="H1011" s="31"/>
      <c r="I1011" s="31"/>
      <c r="J1011" s="31"/>
      <c r="K1011" s="31"/>
      <c r="L1011" s="31"/>
      <c r="M1011" s="31"/>
      <c r="N1011" s="31"/>
      <c r="O1011" s="98"/>
    </row>
    <row r="1012" spans="1:15">
      <c r="A1012" s="125"/>
      <c r="B1012" s="127"/>
      <c r="C1012" s="124" t="s">
        <v>221</v>
      </c>
      <c r="D1012" s="114" t="str">
        <f>$A$692</f>
        <v>2.6.6</v>
      </c>
      <c r="E1012" s="115" t="s">
        <v>466</v>
      </c>
      <c r="F1012" s="16" t="s">
        <v>221</v>
      </c>
      <c r="G1012" s="20"/>
      <c r="H1012" s="29"/>
      <c r="I1012" s="29"/>
      <c r="J1012" s="29"/>
      <c r="K1012" s="29"/>
      <c r="L1012" s="29"/>
      <c r="M1012" s="29"/>
      <c r="N1012" s="29"/>
      <c r="O1012" s="97"/>
    </row>
    <row r="1013" spans="1:15" ht="30">
      <c r="A1013" s="125"/>
      <c r="B1013" s="127"/>
      <c r="C1013" s="125"/>
      <c r="D1013" s="115"/>
      <c r="E1013" s="115"/>
      <c r="F1013" s="16" t="s">
        <v>651</v>
      </c>
      <c r="G1013" s="20" t="s">
        <v>652</v>
      </c>
      <c r="H1013" s="29" t="str">
        <f>VLOOKUP(G1013,'insumos terrapl'!$C$3:$K$47,2,0)</f>
        <v>2Q  66  10  02  00  00  00</v>
      </c>
      <c r="I1013" s="29" t="str">
        <f>VLOOKUP(G1013,'insumos terrapl'!$C$3:$K$47,3,0)</f>
        <v>2Q</v>
      </c>
      <c r="J1013" s="29">
        <f>VLOOKUP(G1013,'insumos terrapl'!$C$3:$K$47,4,0)</f>
        <v>66</v>
      </c>
      <c r="K1013" s="29" t="str">
        <f>VLOOKUP(G1013,'insumos terrapl'!$C$3:$K$47,5,0)</f>
        <v>10</v>
      </c>
      <c r="L1013" s="29" t="str">
        <f>VLOOKUP(G1013,'insumos terrapl'!$C$3:$K$47,6,0)</f>
        <v>02</v>
      </c>
      <c r="M1013" s="29" t="str">
        <f>VLOOKUP(G1013,'insumos terrapl'!$C$3:$K$47,7,0)</f>
        <v>00</v>
      </c>
      <c r="N1013" s="29" t="str">
        <f>VLOOKUP(G1013,'insumos terrapl'!$C$3:$K$47,8,0)</f>
        <v>00</v>
      </c>
      <c r="O1013" s="97" t="str">
        <f>VLOOKUP(G1013,'insumos terrapl'!$C$3:$K$47,9,0)</f>
        <v>00</v>
      </c>
    </row>
    <row r="1014" spans="1:15" ht="30">
      <c r="A1014" s="125"/>
      <c r="B1014" s="127"/>
      <c r="C1014" s="125"/>
      <c r="D1014" s="115"/>
      <c r="E1014" s="115"/>
      <c r="F1014" s="16" t="s">
        <v>655</v>
      </c>
      <c r="G1014" s="20" t="s">
        <v>656</v>
      </c>
      <c r="H1014" s="29" t="str">
        <f>VLOOKUP(G1014,'insumos terrapl'!$C$3:$K$47,2,0)</f>
        <v>2Q  62  02  10  00  00  00</v>
      </c>
      <c r="I1014" s="29" t="str">
        <f>VLOOKUP(G1014,'insumos terrapl'!$C$3:$K$47,3,0)</f>
        <v>2Q</v>
      </c>
      <c r="J1014" s="29">
        <f>VLOOKUP(G1014,'insumos terrapl'!$C$3:$K$47,4,0)</f>
        <v>62</v>
      </c>
      <c r="K1014" s="29" t="str">
        <f>VLOOKUP(G1014,'insumos terrapl'!$C$3:$K$47,5,0)</f>
        <v>02</v>
      </c>
      <c r="L1014" s="29" t="str">
        <f>VLOOKUP(G1014,'insumos terrapl'!$C$3:$K$47,6,0)</f>
        <v>10</v>
      </c>
      <c r="M1014" s="29" t="str">
        <f>VLOOKUP(G1014,'insumos terrapl'!$C$3:$K$47,7,0)</f>
        <v>00</v>
      </c>
      <c r="N1014" s="29" t="str">
        <f>VLOOKUP(G1014,'insumos terrapl'!$C$3:$K$47,8,0)</f>
        <v>00</v>
      </c>
      <c r="O1014" s="97" t="str">
        <f>VLOOKUP(G1014,'insumos terrapl'!$C$3:$K$47,9,0)</f>
        <v>00</v>
      </c>
    </row>
    <row r="1015" spans="1:15">
      <c r="A1015" s="125"/>
      <c r="B1015" s="127"/>
      <c r="C1015" s="125"/>
      <c r="D1015" s="115"/>
      <c r="E1015" s="115"/>
      <c r="F1015" s="16" t="s">
        <v>588</v>
      </c>
      <c r="G1015" s="20" t="s">
        <v>589</v>
      </c>
      <c r="H1015" s="29" t="str">
        <f>VLOOKUP(G1015,'insumos terrapl'!$C$3:$K$47,2,0)</f>
        <v>2N  20  14  08  00  00  00</v>
      </c>
      <c r="I1015" s="29" t="str">
        <f>VLOOKUP(G1015,'insumos terrapl'!$C$3:$K$47,3,0)</f>
        <v>2N</v>
      </c>
      <c r="J1015" s="29">
        <f>VLOOKUP(G1015,'insumos terrapl'!$C$3:$K$47,4,0)</f>
        <v>20</v>
      </c>
      <c r="K1015" s="29">
        <f>VLOOKUP(G1015,'insumos terrapl'!$C$3:$K$47,5,0)</f>
        <v>14</v>
      </c>
      <c r="L1015" s="29" t="str">
        <f>VLOOKUP(G1015,'insumos terrapl'!$C$3:$K$47,6,0)</f>
        <v>08</v>
      </c>
      <c r="M1015" s="29" t="str">
        <f>VLOOKUP(G1015,'insumos terrapl'!$C$3:$K$47,7,0)</f>
        <v>00</v>
      </c>
      <c r="N1015" s="29" t="str">
        <f>VLOOKUP(G1015,'insumos terrapl'!$C$3:$K$47,8,0)</f>
        <v>00</v>
      </c>
      <c r="O1015" s="97" t="str">
        <f>VLOOKUP(G1015,'insumos terrapl'!$C$3:$K$47,9,0)</f>
        <v>00</v>
      </c>
    </row>
    <row r="1016" spans="1:15">
      <c r="A1016" s="125"/>
      <c r="B1016" s="127"/>
      <c r="C1016" s="132"/>
      <c r="D1016" s="116"/>
      <c r="E1016" s="115"/>
      <c r="F1016" s="16"/>
      <c r="G1016" s="20"/>
      <c r="H1016" s="29"/>
      <c r="I1016" s="29"/>
      <c r="J1016" s="29"/>
      <c r="K1016" s="29"/>
      <c r="L1016" s="29"/>
      <c r="M1016" s="29"/>
      <c r="N1016" s="29"/>
      <c r="O1016" s="97"/>
    </row>
    <row r="1017" spans="1:15">
      <c r="A1017" s="125"/>
      <c r="B1017" s="127"/>
      <c r="C1017" s="124" t="s">
        <v>222</v>
      </c>
      <c r="D1017" s="114" t="str">
        <f>$A$692</f>
        <v>2.6.6</v>
      </c>
      <c r="E1017" s="114" t="s">
        <v>468</v>
      </c>
      <c r="F1017" s="15" t="s">
        <v>222</v>
      </c>
      <c r="G1017" s="19"/>
      <c r="H1017" s="28"/>
      <c r="I1017" s="28"/>
      <c r="J1017" s="28"/>
      <c r="K1017" s="28"/>
      <c r="L1017" s="28"/>
      <c r="M1017" s="28"/>
      <c r="N1017" s="28"/>
      <c r="O1017" s="99"/>
    </row>
    <row r="1018" spans="1:15" ht="30">
      <c r="A1018" s="125"/>
      <c r="B1018" s="127"/>
      <c r="C1018" s="125"/>
      <c r="D1018" s="115"/>
      <c r="E1018" s="115"/>
      <c r="F1018" s="16" t="s">
        <v>651</v>
      </c>
      <c r="G1018" s="20" t="s">
        <v>652</v>
      </c>
      <c r="H1018" s="29" t="str">
        <f>VLOOKUP(G1018,'insumos terrapl'!$C$3:$K$47,2,0)</f>
        <v>2Q  66  10  02  00  00  00</v>
      </c>
      <c r="I1018" s="29" t="str">
        <f>VLOOKUP(G1018,'insumos terrapl'!$C$3:$K$47,3,0)</f>
        <v>2Q</v>
      </c>
      <c r="J1018" s="29">
        <f>VLOOKUP(G1018,'insumos terrapl'!$C$3:$K$47,4,0)</f>
        <v>66</v>
      </c>
      <c r="K1018" s="29" t="str">
        <f>VLOOKUP(G1018,'insumos terrapl'!$C$3:$K$47,5,0)</f>
        <v>10</v>
      </c>
      <c r="L1018" s="29" t="str">
        <f>VLOOKUP(G1018,'insumos terrapl'!$C$3:$K$47,6,0)</f>
        <v>02</v>
      </c>
      <c r="M1018" s="29" t="str">
        <f>VLOOKUP(G1018,'insumos terrapl'!$C$3:$K$47,7,0)</f>
        <v>00</v>
      </c>
      <c r="N1018" s="29" t="str">
        <f>VLOOKUP(G1018,'insumos terrapl'!$C$3:$K$47,8,0)</f>
        <v>00</v>
      </c>
      <c r="O1018" s="97" t="str">
        <f>VLOOKUP(G1018,'insumos terrapl'!$C$3:$K$47,9,0)</f>
        <v>00</v>
      </c>
    </row>
    <row r="1019" spans="1:15" ht="30">
      <c r="A1019" s="125"/>
      <c r="B1019" s="127"/>
      <c r="C1019" s="125"/>
      <c r="D1019" s="115"/>
      <c r="E1019" s="115"/>
      <c r="F1019" s="16" t="s">
        <v>655</v>
      </c>
      <c r="G1019" s="20" t="s">
        <v>656</v>
      </c>
      <c r="H1019" s="29" t="str">
        <f>VLOOKUP(G1019,'insumos terrapl'!$C$3:$K$47,2,0)</f>
        <v>2Q  62  02  10  00  00  00</v>
      </c>
      <c r="I1019" s="29" t="str">
        <f>VLOOKUP(G1019,'insumos terrapl'!$C$3:$K$47,3,0)</f>
        <v>2Q</v>
      </c>
      <c r="J1019" s="29">
        <f>VLOOKUP(G1019,'insumos terrapl'!$C$3:$K$47,4,0)</f>
        <v>62</v>
      </c>
      <c r="K1019" s="29" t="str">
        <f>VLOOKUP(G1019,'insumos terrapl'!$C$3:$K$47,5,0)</f>
        <v>02</v>
      </c>
      <c r="L1019" s="29" t="str">
        <f>VLOOKUP(G1019,'insumos terrapl'!$C$3:$K$47,6,0)</f>
        <v>10</v>
      </c>
      <c r="M1019" s="29" t="str">
        <f>VLOOKUP(G1019,'insumos terrapl'!$C$3:$K$47,7,0)</f>
        <v>00</v>
      </c>
      <c r="N1019" s="29" t="str">
        <f>VLOOKUP(G1019,'insumos terrapl'!$C$3:$K$47,8,0)</f>
        <v>00</v>
      </c>
      <c r="O1019" s="97" t="str">
        <f>VLOOKUP(G1019,'insumos terrapl'!$C$3:$K$47,9,0)</f>
        <v>00</v>
      </c>
    </row>
    <row r="1020" spans="1:15">
      <c r="A1020" s="125"/>
      <c r="B1020" s="127"/>
      <c r="C1020" s="125"/>
      <c r="D1020" s="115"/>
      <c r="E1020" s="115"/>
      <c r="F1020" s="16" t="s">
        <v>588</v>
      </c>
      <c r="G1020" s="20" t="s">
        <v>589</v>
      </c>
      <c r="H1020" s="29" t="str">
        <f>VLOOKUP(G1020,'insumos terrapl'!$C$3:$K$47,2,0)</f>
        <v>2N  20  14  08  00  00  00</v>
      </c>
      <c r="I1020" s="29" t="str">
        <f>VLOOKUP(G1020,'insumos terrapl'!$C$3:$K$47,3,0)</f>
        <v>2N</v>
      </c>
      <c r="J1020" s="29">
        <f>VLOOKUP(G1020,'insumos terrapl'!$C$3:$K$47,4,0)</f>
        <v>20</v>
      </c>
      <c r="K1020" s="29">
        <f>VLOOKUP(G1020,'insumos terrapl'!$C$3:$K$47,5,0)</f>
        <v>14</v>
      </c>
      <c r="L1020" s="29" t="str">
        <f>VLOOKUP(G1020,'insumos terrapl'!$C$3:$K$47,6,0)</f>
        <v>08</v>
      </c>
      <c r="M1020" s="29" t="str">
        <f>VLOOKUP(G1020,'insumos terrapl'!$C$3:$K$47,7,0)</f>
        <v>00</v>
      </c>
      <c r="N1020" s="29" t="str">
        <f>VLOOKUP(G1020,'insumos terrapl'!$C$3:$K$47,8,0)</f>
        <v>00</v>
      </c>
      <c r="O1020" s="97" t="str">
        <f>VLOOKUP(G1020,'insumos terrapl'!$C$3:$K$47,9,0)</f>
        <v>00</v>
      </c>
    </row>
    <row r="1021" spans="1:15">
      <c r="A1021" s="125"/>
      <c r="B1021" s="127"/>
      <c r="C1021" s="132"/>
      <c r="D1021" s="116"/>
      <c r="E1021" s="116"/>
      <c r="F1021" s="17"/>
      <c r="G1021" s="21"/>
      <c r="H1021" s="31"/>
      <c r="I1021" s="31"/>
      <c r="J1021" s="31"/>
      <c r="K1021" s="31"/>
      <c r="L1021" s="31"/>
      <c r="M1021" s="31"/>
      <c r="N1021" s="31"/>
      <c r="O1021" s="98"/>
    </row>
    <row r="1022" spans="1:15">
      <c r="A1022" s="125"/>
      <c r="B1022" s="127"/>
      <c r="C1022" s="124" t="s">
        <v>223</v>
      </c>
      <c r="D1022" s="114" t="str">
        <f>$A$692</f>
        <v>2.6.6</v>
      </c>
      <c r="E1022" s="115" t="s">
        <v>470</v>
      </c>
      <c r="F1022" s="16" t="s">
        <v>223</v>
      </c>
      <c r="G1022" s="20"/>
      <c r="H1022" s="29"/>
      <c r="I1022" s="29"/>
      <c r="J1022" s="29"/>
      <c r="K1022" s="29"/>
      <c r="L1022" s="29"/>
      <c r="M1022" s="29"/>
      <c r="N1022" s="29"/>
      <c r="O1022" s="97"/>
    </row>
    <row r="1023" spans="1:15" ht="30">
      <c r="A1023" s="125"/>
      <c r="B1023" s="127"/>
      <c r="C1023" s="125"/>
      <c r="D1023" s="115"/>
      <c r="E1023" s="115"/>
      <c r="F1023" s="16" t="s">
        <v>651</v>
      </c>
      <c r="G1023" s="20" t="s">
        <v>652</v>
      </c>
      <c r="H1023" s="29" t="str">
        <f>VLOOKUP(G1023,'insumos terrapl'!$C$3:$K$47,2,0)</f>
        <v>2Q  66  10  02  00  00  00</v>
      </c>
      <c r="I1023" s="29" t="str">
        <f>VLOOKUP(G1023,'insumos terrapl'!$C$3:$K$47,3,0)</f>
        <v>2Q</v>
      </c>
      <c r="J1023" s="29">
        <f>VLOOKUP(G1023,'insumos terrapl'!$C$3:$K$47,4,0)</f>
        <v>66</v>
      </c>
      <c r="K1023" s="29" t="str">
        <f>VLOOKUP(G1023,'insumos terrapl'!$C$3:$K$47,5,0)</f>
        <v>10</v>
      </c>
      <c r="L1023" s="29" t="str">
        <f>VLOOKUP(G1023,'insumos terrapl'!$C$3:$K$47,6,0)</f>
        <v>02</v>
      </c>
      <c r="M1023" s="29" t="str">
        <f>VLOOKUP(G1023,'insumos terrapl'!$C$3:$K$47,7,0)</f>
        <v>00</v>
      </c>
      <c r="N1023" s="29" t="str">
        <f>VLOOKUP(G1023,'insumos terrapl'!$C$3:$K$47,8,0)</f>
        <v>00</v>
      </c>
      <c r="O1023" s="97" t="str">
        <f>VLOOKUP(G1023,'insumos terrapl'!$C$3:$K$47,9,0)</f>
        <v>00</v>
      </c>
    </row>
    <row r="1024" spans="1:15" ht="30">
      <c r="A1024" s="125"/>
      <c r="B1024" s="127"/>
      <c r="C1024" s="125"/>
      <c r="D1024" s="115"/>
      <c r="E1024" s="115"/>
      <c r="F1024" s="16" t="s">
        <v>655</v>
      </c>
      <c r="G1024" s="20" t="s">
        <v>656</v>
      </c>
      <c r="H1024" s="29" t="str">
        <f>VLOOKUP(G1024,'insumos terrapl'!$C$3:$K$47,2,0)</f>
        <v>2Q  62  02  10  00  00  00</v>
      </c>
      <c r="I1024" s="29" t="str">
        <f>VLOOKUP(G1024,'insumos terrapl'!$C$3:$K$47,3,0)</f>
        <v>2Q</v>
      </c>
      <c r="J1024" s="29">
        <f>VLOOKUP(G1024,'insumos terrapl'!$C$3:$K$47,4,0)</f>
        <v>62</v>
      </c>
      <c r="K1024" s="29" t="str">
        <f>VLOOKUP(G1024,'insumos terrapl'!$C$3:$K$47,5,0)</f>
        <v>02</v>
      </c>
      <c r="L1024" s="29" t="str">
        <f>VLOOKUP(G1024,'insumos terrapl'!$C$3:$K$47,6,0)</f>
        <v>10</v>
      </c>
      <c r="M1024" s="29" t="str">
        <f>VLOOKUP(G1024,'insumos terrapl'!$C$3:$K$47,7,0)</f>
        <v>00</v>
      </c>
      <c r="N1024" s="29" t="str">
        <f>VLOOKUP(G1024,'insumos terrapl'!$C$3:$K$47,8,0)</f>
        <v>00</v>
      </c>
      <c r="O1024" s="97" t="str">
        <f>VLOOKUP(G1024,'insumos terrapl'!$C$3:$K$47,9,0)</f>
        <v>00</v>
      </c>
    </row>
    <row r="1025" spans="1:15">
      <c r="A1025" s="125"/>
      <c r="B1025" s="127"/>
      <c r="C1025" s="125"/>
      <c r="D1025" s="115"/>
      <c r="E1025" s="115"/>
      <c r="F1025" s="16" t="s">
        <v>588</v>
      </c>
      <c r="G1025" s="20" t="s">
        <v>589</v>
      </c>
      <c r="H1025" s="29" t="str">
        <f>VLOOKUP(G1025,'insumos terrapl'!$C$3:$K$47,2,0)</f>
        <v>2N  20  14  08  00  00  00</v>
      </c>
      <c r="I1025" s="29" t="str">
        <f>VLOOKUP(G1025,'insumos terrapl'!$C$3:$K$47,3,0)</f>
        <v>2N</v>
      </c>
      <c r="J1025" s="29">
        <f>VLOOKUP(G1025,'insumos terrapl'!$C$3:$K$47,4,0)</f>
        <v>20</v>
      </c>
      <c r="K1025" s="29">
        <f>VLOOKUP(G1025,'insumos terrapl'!$C$3:$K$47,5,0)</f>
        <v>14</v>
      </c>
      <c r="L1025" s="29" t="str">
        <f>VLOOKUP(G1025,'insumos terrapl'!$C$3:$K$47,6,0)</f>
        <v>08</v>
      </c>
      <c r="M1025" s="29" t="str">
        <f>VLOOKUP(G1025,'insumos terrapl'!$C$3:$K$47,7,0)</f>
        <v>00</v>
      </c>
      <c r="N1025" s="29" t="str">
        <f>VLOOKUP(G1025,'insumos terrapl'!$C$3:$K$47,8,0)</f>
        <v>00</v>
      </c>
      <c r="O1025" s="97" t="str">
        <f>VLOOKUP(G1025,'insumos terrapl'!$C$3:$K$47,9,0)</f>
        <v>00</v>
      </c>
    </row>
    <row r="1026" spans="1:15">
      <c r="A1026" s="125"/>
      <c r="B1026" s="127"/>
      <c r="C1026" s="132"/>
      <c r="D1026" s="116"/>
      <c r="E1026" s="115"/>
      <c r="F1026" s="16"/>
      <c r="G1026" s="20"/>
      <c r="H1026" s="29"/>
      <c r="I1026" s="29"/>
      <c r="J1026" s="29"/>
      <c r="K1026" s="29"/>
      <c r="L1026" s="29"/>
      <c r="M1026" s="29"/>
      <c r="N1026" s="29"/>
      <c r="O1026" s="97"/>
    </row>
    <row r="1027" spans="1:15">
      <c r="A1027" s="125"/>
      <c r="B1027" s="127"/>
      <c r="C1027" s="124" t="s">
        <v>224</v>
      </c>
      <c r="D1027" s="114" t="str">
        <f>$A$692</f>
        <v>2.6.6</v>
      </c>
      <c r="E1027" s="114" t="s">
        <v>472</v>
      </c>
      <c r="F1027" s="15" t="s">
        <v>224</v>
      </c>
      <c r="G1027" s="19"/>
      <c r="H1027" s="28"/>
      <c r="I1027" s="28"/>
      <c r="J1027" s="28"/>
      <c r="K1027" s="28"/>
      <c r="L1027" s="28"/>
      <c r="M1027" s="28"/>
      <c r="N1027" s="28"/>
      <c r="O1027" s="99"/>
    </row>
    <row r="1028" spans="1:15" ht="30">
      <c r="A1028" s="125"/>
      <c r="B1028" s="127"/>
      <c r="C1028" s="125"/>
      <c r="D1028" s="115"/>
      <c r="E1028" s="115"/>
      <c r="F1028" s="16" t="s">
        <v>651</v>
      </c>
      <c r="G1028" s="20" t="s">
        <v>652</v>
      </c>
      <c r="H1028" s="29" t="str">
        <f>VLOOKUP(G1028,'insumos terrapl'!$C$3:$K$47,2,0)</f>
        <v>2Q  66  10  02  00  00  00</v>
      </c>
      <c r="I1028" s="29" t="str">
        <f>VLOOKUP(G1028,'insumos terrapl'!$C$3:$K$47,3,0)</f>
        <v>2Q</v>
      </c>
      <c r="J1028" s="29">
        <f>VLOOKUP(G1028,'insumos terrapl'!$C$3:$K$47,4,0)</f>
        <v>66</v>
      </c>
      <c r="K1028" s="29" t="str">
        <f>VLOOKUP(G1028,'insumos terrapl'!$C$3:$K$47,5,0)</f>
        <v>10</v>
      </c>
      <c r="L1028" s="29" t="str">
        <f>VLOOKUP(G1028,'insumos terrapl'!$C$3:$K$47,6,0)</f>
        <v>02</v>
      </c>
      <c r="M1028" s="29" t="str">
        <f>VLOOKUP(G1028,'insumos terrapl'!$C$3:$K$47,7,0)</f>
        <v>00</v>
      </c>
      <c r="N1028" s="29" t="str">
        <f>VLOOKUP(G1028,'insumos terrapl'!$C$3:$K$47,8,0)</f>
        <v>00</v>
      </c>
      <c r="O1028" s="97" t="str">
        <f>VLOOKUP(G1028,'insumos terrapl'!$C$3:$K$47,9,0)</f>
        <v>00</v>
      </c>
    </row>
    <row r="1029" spans="1:15" ht="30">
      <c r="A1029" s="125"/>
      <c r="B1029" s="127"/>
      <c r="C1029" s="125"/>
      <c r="D1029" s="115"/>
      <c r="E1029" s="115"/>
      <c r="F1029" s="16" t="s">
        <v>655</v>
      </c>
      <c r="G1029" s="20" t="s">
        <v>656</v>
      </c>
      <c r="H1029" s="29" t="str">
        <f>VLOOKUP(G1029,'insumos terrapl'!$C$3:$K$47,2,0)</f>
        <v>2Q  62  02  10  00  00  00</v>
      </c>
      <c r="I1029" s="29" t="str">
        <f>VLOOKUP(G1029,'insumos terrapl'!$C$3:$K$47,3,0)</f>
        <v>2Q</v>
      </c>
      <c r="J1029" s="29">
        <f>VLOOKUP(G1029,'insumos terrapl'!$C$3:$K$47,4,0)</f>
        <v>62</v>
      </c>
      <c r="K1029" s="29" t="str">
        <f>VLOOKUP(G1029,'insumos terrapl'!$C$3:$K$47,5,0)</f>
        <v>02</v>
      </c>
      <c r="L1029" s="29" t="str">
        <f>VLOOKUP(G1029,'insumos terrapl'!$C$3:$K$47,6,0)</f>
        <v>10</v>
      </c>
      <c r="M1029" s="29" t="str">
        <f>VLOOKUP(G1029,'insumos terrapl'!$C$3:$K$47,7,0)</f>
        <v>00</v>
      </c>
      <c r="N1029" s="29" t="str">
        <f>VLOOKUP(G1029,'insumos terrapl'!$C$3:$K$47,8,0)</f>
        <v>00</v>
      </c>
      <c r="O1029" s="97" t="str">
        <f>VLOOKUP(G1029,'insumos terrapl'!$C$3:$K$47,9,0)</f>
        <v>00</v>
      </c>
    </row>
    <row r="1030" spans="1:15">
      <c r="A1030" s="125"/>
      <c r="B1030" s="127"/>
      <c r="C1030" s="125"/>
      <c r="D1030" s="115"/>
      <c r="E1030" s="115"/>
      <c r="F1030" s="16" t="s">
        <v>588</v>
      </c>
      <c r="G1030" s="20" t="s">
        <v>589</v>
      </c>
      <c r="H1030" s="29" t="str">
        <f>VLOOKUP(G1030,'insumos terrapl'!$C$3:$K$47,2,0)</f>
        <v>2N  20  14  08  00  00  00</v>
      </c>
      <c r="I1030" s="29" t="str">
        <f>VLOOKUP(G1030,'insumos terrapl'!$C$3:$K$47,3,0)</f>
        <v>2N</v>
      </c>
      <c r="J1030" s="29">
        <f>VLOOKUP(G1030,'insumos terrapl'!$C$3:$K$47,4,0)</f>
        <v>20</v>
      </c>
      <c r="K1030" s="29">
        <f>VLOOKUP(G1030,'insumos terrapl'!$C$3:$K$47,5,0)</f>
        <v>14</v>
      </c>
      <c r="L1030" s="29" t="str">
        <f>VLOOKUP(G1030,'insumos terrapl'!$C$3:$K$47,6,0)</f>
        <v>08</v>
      </c>
      <c r="M1030" s="29" t="str">
        <f>VLOOKUP(G1030,'insumos terrapl'!$C$3:$K$47,7,0)</f>
        <v>00</v>
      </c>
      <c r="N1030" s="29" t="str">
        <f>VLOOKUP(G1030,'insumos terrapl'!$C$3:$K$47,8,0)</f>
        <v>00</v>
      </c>
      <c r="O1030" s="97" t="str">
        <f>VLOOKUP(G1030,'insumos terrapl'!$C$3:$K$47,9,0)</f>
        <v>00</v>
      </c>
    </row>
    <row r="1031" spans="1:15">
      <c r="A1031" s="125"/>
      <c r="B1031" s="127"/>
      <c r="C1031" s="132"/>
      <c r="D1031" s="116"/>
      <c r="E1031" s="116"/>
      <c r="F1031" s="17"/>
      <c r="G1031" s="21"/>
      <c r="H1031" s="31"/>
      <c r="I1031" s="31"/>
      <c r="J1031" s="31"/>
      <c r="K1031" s="31"/>
      <c r="L1031" s="31"/>
      <c r="M1031" s="31"/>
      <c r="N1031" s="31"/>
      <c r="O1031" s="98"/>
    </row>
    <row r="1032" spans="1:15">
      <c r="A1032" s="125"/>
      <c r="B1032" s="127"/>
      <c r="C1032" s="124" t="s">
        <v>225</v>
      </c>
      <c r="D1032" s="114" t="str">
        <f>$A$692</f>
        <v>2.6.6</v>
      </c>
      <c r="E1032" s="115" t="s">
        <v>475</v>
      </c>
      <c r="F1032" s="16" t="s">
        <v>225</v>
      </c>
      <c r="G1032" s="20"/>
      <c r="H1032" s="29"/>
      <c r="I1032" s="29"/>
      <c r="J1032" s="29"/>
      <c r="K1032" s="29"/>
      <c r="L1032" s="29"/>
      <c r="M1032" s="29"/>
      <c r="N1032" s="29"/>
      <c r="O1032" s="97"/>
    </row>
    <row r="1033" spans="1:15" ht="30">
      <c r="A1033" s="125"/>
      <c r="B1033" s="127"/>
      <c r="C1033" s="125"/>
      <c r="D1033" s="115"/>
      <c r="E1033" s="115"/>
      <c r="F1033" s="16" t="s">
        <v>651</v>
      </c>
      <c r="G1033" s="20" t="s">
        <v>652</v>
      </c>
      <c r="H1033" s="29" t="str">
        <f>VLOOKUP(G1033,'insumos terrapl'!$C$3:$K$47,2,0)</f>
        <v>2Q  66  10  02  00  00  00</v>
      </c>
      <c r="I1033" s="29" t="str">
        <f>VLOOKUP(G1033,'insumos terrapl'!$C$3:$K$47,3,0)</f>
        <v>2Q</v>
      </c>
      <c r="J1033" s="29">
        <f>VLOOKUP(G1033,'insumos terrapl'!$C$3:$K$47,4,0)</f>
        <v>66</v>
      </c>
      <c r="K1033" s="29" t="str">
        <f>VLOOKUP(G1033,'insumos terrapl'!$C$3:$K$47,5,0)</f>
        <v>10</v>
      </c>
      <c r="L1033" s="29" t="str">
        <f>VLOOKUP(G1033,'insumos terrapl'!$C$3:$K$47,6,0)</f>
        <v>02</v>
      </c>
      <c r="M1033" s="29" t="str">
        <f>VLOOKUP(G1033,'insumos terrapl'!$C$3:$K$47,7,0)</f>
        <v>00</v>
      </c>
      <c r="N1033" s="29" t="str">
        <f>VLOOKUP(G1033,'insumos terrapl'!$C$3:$K$47,8,0)</f>
        <v>00</v>
      </c>
      <c r="O1033" s="97" t="str">
        <f>VLOOKUP(G1033,'insumos terrapl'!$C$3:$K$47,9,0)</f>
        <v>00</v>
      </c>
    </row>
    <row r="1034" spans="1:15" ht="30">
      <c r="A1034" s="125"/>
      <c r="B1034" s="127"/>
      <c r="C1034" s="125"/>
      <c r="D1034" s="115"/>
      <c r="E1034" s="115"/>
      <c r="F1034" s="16" t="s">
        <v>655</v>
      </c>
      <c r="G1034" s="20" t="s">
        <v>656</v>
      </c>
      <c r="H1034" s="29" t="str">
        <f>VLOOKUP(G1034,'insumos terrapl'!$C$3:$K$47,2,0)</f>
        <v>2Q  62  02  10  00  00  00</v>
      </c>
      <c r="I1034" s="29" t="str">
        <f>VLOOKUP(G1034,'insumos terrapl'!$C$3:$K$47,3,0)</f>
        <v>2Q</v>
      </c>
      <c r="J1034" s="29">
        <f>VLOOKUP(G1034,'insumos terrapl'!$C$3:$K$47,4,0)</f>
        <v>62</v>
      </c>
      <c r="K1034" s="29" t="str">
        <f>VLOOKUP(G1034,'insumos terrapl'!$C$3:$K$47,5,0)</f>
        <v>02</v>
      </c>
      <c r="L1034" s="29" t="str">
        <f>VLOOKUP(G1034,'insumos terrapl'!$C$3:$K$47,6,0)</f>
        <v>10</v>
      </c>
      <c r="M1034" s="29" t="str">
        <f>VLOOKUP(G1034,'insumos terrapl'!$C$3:$K$47,7,0)</f>
        <v>00</v>
      </c>
      <c r="N1034" s="29" t="str">
        <f>VLOOKUP(G1034,'insumos terrapl'!$C$3:$K$47,8,0)</f>
        <v>00</v>
      </c>
      <c r="O1034" s="97" t="str">
        <f>VLOOKUP(G1034,'insumos terrapl'!$C$3:$K$47,9,0)</f>
        <v>00</v>
      </c>
    </row>
    <row r="1035" spans="1:15">
      <c r="A1035" s="125"/>
      <c r="B1035" s="127"/>
      <c r="C1035" s="125"/>
      <c r="D1035" s="115"/>
      <c r="E1035" s="115"/>
      <c r="F1035" s="16" t="s">
        <v>588</v>
      </c>
      <c r="G1035" s="20" t="s">
        <v>589</v>
      </c>
      <c r="H1035" s="29" t="str">
        <f>VLOOKUP(G1035,'insumos terrapl'!$C$3:$K$47,2,0)</f>
        <v>2N  20  14  08  00  00  00</v>
      </c>
      <c r="I1035" s="29" t="str">
        <f>VLOOKUP(G1035,'insumos terrapl'!$C$3:$K$47,3,0)</f>
        <v>2N</v>
      </c>
      <c r="J1035" s="29">
        <f>VLOOKUP(G1035,'insumos terrapl'!$C$3:$K$47,4,0)</f>
        <v>20</v>
      </c>
      <c r="K1035" s="29">
        <f>VLOOKUP(G1035,'insumos terrapl'!$C$3:$K$47,5,0)</f>
        <v>14</v>
      </c>
      <c r="L1035" s="29" t="str">
        <f>VLOOKUP(G1035,'insumos terrapl'!$C$3:$K$47,6,0)</f>
        <v>08</v>
      </c>
      <c r="M1035" s="29" t="str">
        <f>VLOOKUP(G1035,'insumos terrapl'!$C$3:$K$47,7,0)</f>
        <v>00</v>
      </c>
      <c r="N1035" s="29" t="str">
        <f>VLOOKUP(G1035,'insumos terrapl'!$C$3:$K$47,8,0)</f>
        <v>00</v>
      </c>
      <c r="O1035" s="97" t="str">
        <f>VLOOKUP(G1035,'insumos terrapl'!$C$3:$K$47,9,0)</f>
        <v>00</v>
      </c>
    </row>
    <row r="1036" spans="1:15">
      <c r="A1036" s="125"/>
      <c r="B1036" s="127"/>
      <c r="C1036" s="132"/>
      <c r="D1036" s="116"/>
      <c r="E1036" s="115"/>
      <c r="F1036" s="16"/>
      <c r="G1036" s="20"/>
      <c r="H1036" s="29"/>
      <c r="I1036" s="29"/>
      <c r="J1036" s="29"/>
      <c r="K1036" s="29"/>
      <c r="L1036" s="29"/>
      <c r="M1036" s="29"/>
      <c r="N1036" s="29"/>
      <c r="O1036" s="97"/>
    </row>
    <row r="1037" spans="1:15">
      <c r="A1037" s="125"/>
      <c r="B1037" s="127"/>
      <c r="C1037" s="124" t="s">
        <v>226</v>
      </c>
      <c r="D1037" s="114" t="str">
        <f>$A$692</f>
        <v>2.6.6</v>
      </c>
      <c r="E1037" s="114" t="s">
        <v>477</v>
      </c>
      <c r="F1037" s="15" t="s">
        <v>226</v>
      </c>
      <c r="G1037" s="19"/>
      <c r="H1037" s="28"/>
      <c r="I1037" s="28"/>
      <c r="J1037" s="28"/>
      <c r="K1037" s="28"/>
      <c r="L1037" s="28"/>
      <c r="M1037" s="28"/>
      <c r="N1037" s="28"/>
      <c r="O1037" s="99"/>
    </row>
    <row r="1038" spans="1:15" ht="30">
      <c r="A1038" s="125"/>
      <c r="B1038" s="127"/>
      <c r="C1038" s="125"/>
      <c r="D1038" s="115"/>
      <c r="E1038" s="115"/>
      <c r="F1038" s="16" t="s">
        <v>651</v>
      </c>
      <c r="G1038" s="20" t="s">
        <v>652</v>
      </c>
      <c r="H1038" s="29" t="str">
        <f>VLOOKUP(G1038,'insumos terrapl'!$C$3:$K$47,2,0)</f>
        <v>2Q  66  10  02  00  00  00</v>
      </c>
      <c r="I1038" s="29" t="str">
        <f>VLOOKUP(G1038,'insumos terrapl'!$C$3:$K$47,3,0)</f>
        <v>2Q</v>
      </c>
      <c r="J1038" s="29">
        <f>VLOOKUP(G1038,'insumos terrapl'!$C$3:$K$47,4,0)</f>
        <v>66</v>
      </c>
      <c r="K1038" s="29" t="str">
        <f>VLOOKUP(G1038,'insumos terrapl'!$C$3:$K$47,5,0)</f>
        <v>10</v>
      </c>
      <c r="L1038" s="29" t="str">
        <f>VLOOKUP(G1038,'insumos terrapl'!$C$3:$K$47,6,0)</f>
        <v>02</v>
      </c>
      <c r="M1038" s="29" t="str">
        <f>VLOOKUP(G1038,'insumos terrapl'!$C$3:$K$47,7,0)</f>
        <v>00</v>
      </c>
      <c r="N1038" s="29" t="str">
        <f>VLOOKUP(G1038,'insumos terrapl'!$C$3:$K$47,8,0)</f>
        <v>00</v>
      </c>
      <c r="O1038" s="97" t="str">
        <f>VLOOKUP(G1038,'insumos terrapl'!$C$3:$K$47,9,0)</f>
        <v>00</v>
      </c>
    </row>
    <row r="1039" spans="1:15" ht="30">
      <c r="A1039" s="125"/>
      <c r="B1039" s="127"/>
      <c r="C1039" s="125"/>
      <c r="D1039" s="115"/>
      <c r="E1039" s="115"/>
      <c r="F1039" s="16" t="s">
        <v>655</v>
      </c>
      <c r="G1039" s="20" t="s">
        <v>656</v>
      </c>
      <c r="H1039" s="29" t="str">
        <f>VLOOKUP(G1039,'insumos terrapl'!$C$3:$K$47,2,0)</f>
        <v>2Q  62  02  10  00  00  00</v>
      </c>
      <c r="I1039" s="29" t="str">
        <f>VLOOKUP(G1039,'insumos terrapl'!$C$3:$K$47,3,0)</f>
        <v>2Q</v>
      </c>
      <c r="J1039" s="29">
        <f>VLOOKUP(G1039,'insumos terrapl'!$C$3:$K$47,4,0)</f>
        <v>62</v>
      </c>
      <c r="K1039" s="29" t="str">
        <f>VLOOKUP(G1039,'insumos terrapl'!$C$3:$K$47,5,0)</f>
        <v>02</v>
      </c>
      <c r="L1039" s="29" t="str">
        <f>VLOOKUP(G1039,'insumos terrapl'!$C$3:$K$47,6,0)</f>
        <v>10</v>
      </c>
      <c r="M1039" s="29" t="str">
        <f>VLOOKUP(G1039,'insumos terrapl'!$C$3:$K$47,7,0)</f>
        <v>00</v>
      </c>
      <c r="N1039" s="29" t="str">
        <f>VLOOKUP(G1039,'insumos terrapl'!$C$3:$K$47,8,0)</f>
        <v>00</v>
      </c>
      <c r="O1039" s="97" t="str">
        <f>VLOOKUP(G1039,'insumos terrapl'!$C$3:$K$47,9,0)</f>
        <v>00</v>
      </c>
    </row>
    <row r="1040" spans="1:15">
      <c r="A1040" s="125"/>
      <c r="B1040" s="127"/>
      <c r="C1040" s="125"/>
      <c r="D1040" s="115"/>
      <c r="E1040" s="115"/>
      <c r="F1040" s="16" t="s">
        <v>588</v>
      </c>
      <c r="G1040" s="20" t="s">
        <v>589</v>
      </c>
      <c r="H1040" s="29" t="str">
        <f>VLOOKUP(G1040,'insumos terrapl'!$C$3:$K$47,2,0)</f>
        <v>2N  20  14  08  00  00  00</v>
      </c>
      <c r="I1040" s="29" t="str">
        <f>VLOOKUP(G1040,'insumos terrapl'!$C$3:$K$47,3,0)</f>
        <v>2N</v>
      </c>
      <c r="J1040" s="29">
        <f>VLOOKUP(G1040,'insumos terrapl'!$C$3:$K$47,4,0)</f>
        <v>20</v>
      </c>
      <c r="K1040" s="29">
        <f>VLOOKUP(G1040,'insumos terrapl'!$C$3:$K$47,5,0)</f>
        <v>14</v>
      </c>
      <c r="L1040" s="29" t="str">
        <f>VLOOKUP(G1040,'insumos terrapl'!$C$3:$K$47,6,0)</f>
        <v>08</v>
      </c>
      <c r="M1040" s="29" t="str">
        <f>VLOOKUP(G1040,'insumos terrapl'!$C$3:$K$47,7,0)</f>
        <v>00</v>
      </c>
      <c r="N1040" s="29" t="str">
        <f>VLOOKUP(G1040,'insumos terrapl'!$C$3:$K$47,8,0)</f>
        <v>00</v>
      </c>
      <c r="O1040" s="97" t="str">
        <f>VLOOKUP(G1040,'insumos terrapl'!$C$3:$K$47,9,0)</f>
        <v>00</v>
      </c>
    </row>
    <row r="1041" spans="1:15">
      <c r="A1041" s="125"/>
      <c r="B1041" s="127"/>
      <c r="C1041" s="132"/>
      <c r="D1041" s="116"/>
      <c r="E1041" s="116"/>
      <c r="F1041" s="17"/>
      <c r="G1041" s="21"/>
      <c r="H1041" s="31"/>
      <c r="I1041" s="31"/>
      <c r="J1041" s="31"/>
      <c r="K1041" s="31"/>
      <c r="L1041" s="31"/>
      <c r="M1041" s="31"/>
      <c r="N1041" s="31"/>
      <c r="O1041" s="98"/>
    </row>
    <row r="1042" spans="1:15">
      <c r="A1042" s="125"/>
      <c r="B1042" s="127"/>
      <c r="C1042" s="124" t="s">
        <v>227</v>
      </c>
      <c r="D1042" s="114" t="str">
        <f>$A$692</f>
        <v>2.6.6</v>
      </c>
      <c r="E1042" s="114" t="s">
        <v>479</v>
      </c>
      <c r="F1042" s="11" t="s">
        <v>227</v>
      </c>
      <c r="G1042" s="20"/>
      <c r="H1042" s="29"/>
      <c r="I1042" s="29"/>
      <c r="J1042" s="29"/>
      <c r="K1042" s="29"/>
      <c r="L1042" s="29"/>
      <c r="M1042" s="29"/>
      <c r="N1042" s="29"/>
      <c r="O1042" s="97"/>
    </row>
    <row r="1043" spans="1:15" ht="30">
      <c r="A1043" s="125"/>
      <c r="B1043" s="127"/>
      <c r="C1043" s="125"/>
      <c r="D1043" s="115"/>
      <c r="E1043" s="115"/>
      <c r="F1043" s="11" t="s">
        <v>651</v>
      </c>
      <c r="G1043" s="20" t="s">
        <v>652</v>
      </c>
      <c r="H1043" s="29" t="str">
        <f>VLOOKUP(G1043,'insumos terrapl'!$C$3:$K$47,2,0)</f>
        <v>2Q  66  10  02  00  00  00</v>
      </c>
      <c r="I1043" s="29" t="str">
        <f>VLOOKUP(G1043,'insumos terrapl'!$C$3:$K$47,3,0)</f>
        <v>2Q</v>
      </c>
      <c r="J1043" s="29">
        <f>VLOOKUP(G1043,'insumos terrapl'!$C$3:$K$47,4,0)</f>
        <v>66</v>
      </c>
      <c r="K1043" s="29" t="str">
        <f>VLOOKUP(G1043,'insumos terrapl'!$C$3:$K$47,5,0)</f>
        <v>10</v>
      </c>
      <c r="L1043" s="29" t="str">
        <f>VLOOKUP(G1043,'insumos terrapl'!$C$3:$K$47,6,0)</f>
        <v>02</v>
      </c>
      <c r="M1043" s="29" t="str">
        <f>VLOOKUP(G1043,'insumos terrapl'!$C$3:$K$47,7,0)</f>
        <v>00</v>
      </c>
      <c r="N1043" s="29" t="str">
        <f>VLOOKUP(G1043,'insumos terrapl'!$C$3:$K$47,8,0)</f>
        <v>00</v>
      </c>
      <c r="O1043" s="97" t="str">
        <f>VLOOKUP(G1043,'insumos terrapl'!$C$3:$K$47,9,0)</f>
        <v>00</v>
      </c>
    </row>
    <row r="1044" spans="1:15" ht="30">
      <c r="A1044" s="125"/>
      <c r="B1044" s="127"/>
      <c r="C1044" s="125"/>
      <c r="D1044" s="115"/>
      <c r="E1044" s="115"/>
      <c r="F1044" s="11" t="s">
        <v>655</v>
      </c>
      <c r="G1044" s="20" t="s">
        <v>656</v>
      </c>
      <c r="H1044" s="29" t="str">
        <f>VLOOKUP(G1044,'insumos terrapl'!$C$3:$K$47,2,0)</f>
        <v>2Q  62  02  10  00  00  00</v>
      </c>
      <c r="I1044" s="29" t="str">
        <f>VLOOKUP(G1044,'insumos terrapl'!$C$3:$K$47,3,0)</f>
        <v>2Q</v>
      </c>
      <c r="J1044" s="29">
        <f>VLOOKUP(G1044,'insumos terrapl'!$C$3:$K$47,4,0)</f>
        <v>62</v>
      </c>
      <c r="K1044" s="29" t="str">
        <f>VLOOKUP(G1044,'insumos terrapl'!$C$3:$K$47,5,0)</f>
        <v>02</v>
      </c>
      <c r="L1044" s="29" t="str">
        <f>VLOOKUP(G1044,'insumos terrapl'!$C$3:$K$47,6,0)</f>
        <v>10</v>
      </c>
      <c r="M1044" s="29" t="str">
        <f>VLOOKUP(G1044,'insumos terrapl'!$C$3:$K$47,7,0)</f>
        <v>00</v>
      </c>
      <c r="N1044" s="29" t="str">
        <f>VLOOKUP(G1044,'insumos terrapl'!$C$3:$K$47,8,0)</f>
        <v>00</v>
      </c>
      <c r="O1044" s="97" t="str">
        <f>VLOOKUP(G1044,'insumos terrapl'!$C$3:$K$47,9,0)</f>
        <v>00</v>
      </c>
    </row>
    <row r="1045" spans="1:15">
      <c r="A1045" s="125"/>
      <c r="B1045" s="127"/>
      <c r="C1045" s="125"/>
      <c r="D1045" s="115"/>
      <c r="E1045" s="115"/>
      <c r="F1045" s="11" t="s">
        <v>588</v>
      </c>
      <c r="G1045" s="20" t="s">
        <v>589</v>
      </c>
      <c r="H1045" s="29" t="str">
        <f>VLOOKUP(G1045,'insumos terrapl'!$C$3:$K$47,2,0)</f>
        <v>2N  20  14  08  00  00  00</v>
      </c>
      <c r="I1045" s="29" t="str">
        <f>VLOOKUP(G1045,'insumos terrapl'!$C$3:$K$47,3,0)</f>
        <v>2N</v>
      </c>
      <c r="J1045" s="29">
        <f>VLOOKUP(G1045,'insumos terrapl'!$C$3:$K$47,4,0)</f>
        <v>20</v>
      </c>
      <c r="K1045" s="29">
        <f>VLOOKUP(G1045,'insumos terrapl'!$C$3:$K$47,5,0)</f>
        <v>14</v>
      </c>
      <c r="L1045" s="29" t="str">
        <f>VLOOKUP(G1045,'insumos terrapl'!$C$3:$K$47,6,0)</f>
        <v>08</v>
      </c>
      <c r="M1045" s="29" t="str">
        <f>VLOOKUP(G1045,'insumos terrapl'!$C$3:$K$47,7,0)</f>
        <v>00</v>
      </c>
      <c r="N1045" s="29" t="str">
        <f>VLOOKUP(G1045,'insumos terrapl'!$C$3:$K$47,8,0)</f>
        <v>00</v>
      </c>
      <c r="O1045" s="97" t="str">
        <f>VLOOKUP(G1045,'insumos terrapl'!$C$3:$K$47,9,0)</f>
        <v>00</v>
      </c>
    </row>
    <row r="1046" spans="1:15">
      <c r="A1046" s="125"/>
      <c r="B1046" s="127"/>
      <c r="C1046" s="132"/>
      <c r="D1046" s="116"/>
      <c r="E1046" s="115"/>
      <c r="F1046" s="11"/>
      <c r="G1046" s="20"/>
      <c r="H1046" s="29"/>
      <c r="I1046" s="29"/>
      <c r="J1046" s="29"/>
      <c r="K1046" s="29"/>
      <c r="L1046" s="29"/>
      <c r="M1046" s="29"/>
      <c r="N1046" s="29"/>
      <c r="O1046" s="97"/>
    </row>
    <row r="1047" spans="1:15">
      <c r="A1047" s="125"/>
      <c r="B1047" s="127"/>
      <c r="C1047" s="124" t="s">
        <v>228</v>
      </c>
      <c r="D1047" s="114" t="str">
        <f>$A$692</f>
        <v>2.6.6</v>
      </c>
      <c r="E1047" s="114" t="s">
        <v>481</v>
      </c>
      <c r="F1047" s="12" t="s">
        <v>228</v>
      </c>
      <c r="G1047" s="19"/>
      <c r="H1047" s="28"/>
      <c r="I1047" s="28"/>
      <c r="J1047" s="28"/>
      <c r="K1047" s="28"/>
      <c r="L1047" s="28"/>
      <c r="M1047" s="28"/>
      <c r="N1047" s="28"/>
      <c r="O1047" s="99"/>
    </row>
    <row r="1048" spans="1:15" ht="30">
      <c r="A1048" s="125"/>
      <c r="B1048" s="127"/>
      <c r="C1048" s="125"/>
      <c r="D1048" s="115"/>
      <c r="E1048" s="115"/>
      <c r="F1048" s="11" t="s">
        <v>651</v>
      </c>
      <c r="G1048" s="20" t="s">
        <v>652</v>
      </c>
      <c r="H1048" s="29" t="str">
        <f>VLOOKUP(G1048,'insumos terrapl'!$C$3:$K$47,2,0)</f>
        <v>2Q  66  10  02  00  00  00</v>
      </c>
      <c r="I1048" s="29" t="str">
        <f>VLOOKUP(G1048,'insumos terrapl'!$C$3:$K$47,3,0)</f>
        <v>2Q</v>
      </c>
      <c r="J1048" s="29">
        <f>VLOOKUP(G1048,'insumos terrapl'!$C$3:$K$47,4,0)</f>
        <v>66</v>
      </c>
      <c r="K1048" s="29" t="str">
        <f>VLOOKUP(G1048,'insumos terrapl'!$C$3:$K$47,5,0)</f>
        <v>10</v>
      </c>
      <c r="L1048" s="29" t="str">
        <f>VLOOKUP(G1048,'insumos terrapl'!$C$3:$K$47,6,0)</f>
        <v>02</v>
      </c>
      <c r="M1048" s="29" t="str">
        <f>VLOOKUP(G1048,'insumos terrapl'!$C$3:$K$47,7,0)</f>
        <v>00</v>
      </c>
      <c r="N1048" s="29" t="str">
        <f>VLOOKUP(G1048,'insumos terrapl'!$C$3:$K$47,8,0)</f>
        <v>00</v>
      </c>
      <c r="O1048" s="97" t="str">
        <f>VLOOKUP(G1048,'insumos terrapl'!$C$3:$K$47,9,0)</f>
        <v>00</v>
      </c>
    </row>
    <row r="1049" spans="1:15" ht="30">
      <c r="A1049" s="125"/>
      <c r="B1049" s="127"/>
      <c r="C1049" s="125"/>
      <c r="D1049" s="115"/>
      <c r="E1049" s="115"/>
      <c r="F1049" s="11" t="s">
        <v>655</v>
      </c>
      <c r="G1049" s="20" t="s">
        <v>656</v>
      </c>
      <c r="H1049" s="29" t="str">
        <f>VLOOKUP(G1049,'insumos terrapl'!$C$3:$K$47,2,0)</f>
        <v>2Q  62  02  10  00  00  00</v>
      </c>
      <c r="I1049" s="29" t="str">
        <f>VLOOKUP(G1049,'insumos terrapl'!$C$3:$K$47,3,0)</f>
        <v>2Q</v>
      </c>
      <c r="J1049" s="29">
        <f>VLOOKUP(G1049,'insumos terrapl'!$C$3:$K$47,4,0)</f>
        <v>62</v>
      </c>
      <c r="K1049" s="29" t="str">
        <f>VLOOKUP(G1049,'insumos terrapl'!$C$3:$K$47,5,0)</f>
        <v>02</v>
      </c>
      <c r="L1049" s="29" t="str">
        <f>VLOOKUP(G1049,'insumos terrapl'!$C$3:$K$47,6,0)</f>
        <v>10</v>
      </c>
      <c r="M1049" s="29" t="str">
        <f>VLOOKUP(G1049,'insumos terrapl'!$C$3:$K$47,7,0)</f>
        <v>00</v>
      </c>
      <c r="N1049" s="29" t="str">
        <f>VLOOKUP(G1049,'insumos terrapl'!$C$3:$K$47,8,0)</f>
        <v>00</v>
      </c>
      <c r="O1049" s="97" t="str">
        <f>VLOOKUP(G1049,'insumos terrapl'!$C$3:$K$47,9,0)</f>
        <v>00</v>
      </c>
    </row>
    <row r="1050" spans="1:15">
      <c r="A1050" s="125"/>
      <c r="B1050" s="127"/>
      <c r="C1050" s="125"/>
      <c r="D1050" s="115"/>
      <c r="E1050" s="115"/>
      <c r="F1050" s="11" t="s">
        <v>588</v>
      </c>
      <c r="G1050" s="20" t="s">
        <v>589</v>
      </c>
      <c r="H1050" s="29" t="str">
        <f>VLOOKUP(G1050,'insumos terrapl'!$C$3:$K$47,2,0)</f>
        <v>2N  20  14  08  00  00  00</v>
      </c>
      <c r="I1050" s="29" t="str">
        <f>VLOOKUP(G1050,'insumos terrapl'!$C$3:$K$47,3,0)</f>
        <v>2N</v>
      </c>
      <c r="J1050" s="29">
        <f>VLOOKUP(G1050,'insumos terrapl'!$C$3:$K$47,4,0)</f>
        <v>20</v>
      </c>
      <c r="K1050" s="29">
        <f>VLOOKUP(G1050,'insumos terrapl'!$C$3:$K$47,5,0)</f>
        <v>14</v>
      </c>
      <c r="L1050" s="29" t="str">
        <f>VLOOKUP(G1050,'insumos terrapl'!$C$3:$K$47,6,0)</f>
        <v>08</v>
      </c>
      <c r="M1050" s="29" t="str">
        <f>VLOOKUP(G1050,'insumos terrapl'!$C$3:$K$47,7,0)</f>
        <v>00</v>
      </c>
      <c r="N1050" s="29" t="str">
        <f>VLOOKUP(G1050,'insumos terrapl'!$C$3:$K$47,8,0)</f>
        <v>00</v>
      </c>
      <c r="O1050" s="97" t="str">
        <f>VLOOKUP(G1050,'insumos terrapl'!$C$3:$K$47,9,0)</f>
        <v>00</v>
      </c>
    </row>
    <row r="1051" spans="1:15">
      <c r="A1051" s="125"/>
      <c r="B1051" s="127"/>
      <c r="C1051" s="132"/>
      <c r="D1051" s="116"/>
      <c r="E1051" s="116"/>
      <c r="F1051" s="13"/>
      <c r="G1051" s="21"/>
      <c r="H1051" s="31"/>
      <c r="I1051" s="31"/>
      <c r="J1051" s="31"/>
      <c r="K1051" s="31"/>
      <c r="L1051" s="31"/>
      <c r="M1051" s="31"/>
      <c r="N1051" s="31"/>
      <c r="O1051" s="98"/>
    </row>
    <row r="1052" spans="1:15">
      <c r="A1052" s="125"/>
      <c r="B1052" s="127"/>
      <c r="C1052" s="124" t="s">
        <v>229</v>
      </c>
      <c r="D1052" s="114" t="str">
        <f>$A$692</f>
        <v>2.6.6</v>
      </c>
      <c r="E1052" s="115" t="s">
        <v>483</v>
      </c>
      <c r="F1052" s="11" t="s">
        <v>229</v>
      </c>
      <c r="G1052" s="20"/>
      <c r="H1052" s="29"/>
      <c r="I1052" s="29"/>
      <c r="J1052" s="29"/>
      <c r="K1052" s="29"/>
      <c r="L1052" s="29"/>
      <c r="M1052" s="29"/>
      <c r="N1052" s="29"/>
      <c r="O1052" s="97"/>
    </row>
    <row r="1053" spans="1:15" ht="30">
      <c r="A1053" s="125"/>
      <c r="B1053" s="127"/>
      <c r="C1053" s="125"/>
      <c r="D1053" s="115"/>
      <c r="E1053" s="115"/>
      <c r="F1053" s="11" t="s">
        <v>651</v>
      </c>
      <c r="G1053" s="20" t="s">
        <v>652</v>
      </c>
      <c r="H1053" s="29" t="str">
        <f>VLOOKUP(G1053,'insumos terrapl'!$C$3:$K$47,2,0)</f>
        <v>2Q  66  10  02  00  00  00</v>
      </c>
      <c r="I1053" s="29" t="str">
        <f>VLOOKUP(G1053,'insumos terrapl'!$C$3:$K$47,3,0)</f>
        <v>2Q</v>
      </c>
      <c r="J1053" s="29">
        <f>VLOOKUP(G1053,'insumos terrapl'!$C$3:$K$47,4,0)</f>
        <v>66</v>
      </c>
      <c r="K1053" s="29" t="str">
        <f>VLOOKUP(G1053,'insumos terrapl'!$C$3:$K$47,5,0)</f>
        <v>10</v>
      </c>
      <c r="L1053" s="29" t="str">
        <f>VLOOKUP(G1053,'insumos terrapl'!$C$3:$K$47,6,0)</f>
        <v>02</v>
      </c>
      <c r="M1053" s="29" t="str">
        <f>VLOOKUP(G1053,'insumos terrapl'!$C$3:$K$47,7,0)</f>
        <v>00</v>
      </c>
      <c r="N1053" s="29" t="str">
        <f>VLOOKUP(G1053,'insumos terrapl'!$C$3:$K$47,8,0)</f>
        <v>00</v>
      </c>
      <c r="O1053" s="97" t="str">
        <f>VLOOKUP(G1053,'insumos terrapl'!$C$3:$K$47,9,0)</f>
        <v>00</v>
      </c>
    </row>
    <row r="1054" spans="1:15" ht="30">
      <c r="A1054" s="125"/>
      <c r="B1054" s="127"/>
      <c r="C1054" s="125"/>
      <c r="D1054" s="115"/>
      <c r="E1054" s="115"/>
      <c r="F1054" s="11" t="s">
        <v>655</v>
      </c>
      <c r="G1054" s="20" t="s">
        <v>656</v>
      </c>
      <c r="H1054" s="29" t="str">
        <f>VLOOKUP(G1054,'insumos terrapl'!$C$3:$K$47,2,0)</f>
        <v>2Q  62  02  10  00  00  00</v>
      </c>
      <c r="I1054" s="29" t="str">
        <f>VLOOKUP(G1054,'insumos terrapl'!$C$3:$K$47,3,0)</f>
        <v>2Q</v>
      </c>
      <c r="J1054" s="29">
        <f>VLOOKUP(G1054,'insumos terrapl'!$C$3:$K$47,4,0)</f>
        <v>62</v>
      </c>
      <c r="K1054" s="29" t="str">
        <f>VLOOKUP(G1054,'insumos terrapl'!$C$3:$K$47,5,0)</f>
        <v>02</v>
      </c>
      <c r="L1054" s="29" t="str">
        <f>VLOOKUP(G1054,'insumos terrapl'!$C$3:$K$47,6,0)</f>
        <v>10</v>
      </c>
      <c r="M1054" s="29" t="str">
        <f>VLOOKUP(G1054,'insumos terrapl'!$C$3:$K$47,7,0)</f>
        <v>00</v>
      </c>
      <c r="N1054" s="29" t="str">
        <f>VLOOKUP(G1054,'insumos terrapl'!$C$3:$K$47,8,0)</f>
        <v>00</v>
      </c>
      <c r="O1054" s="97" t="str">
        <f>VLOOKUP(G1054,'insumos terrapl'!$C$3:$K$47,9,0)</f>
        <v>00</v>
      </c>
    </row>
    <row r="1055" spans="1:15">
      <c r="A1055" s="125"/>
      <c r="B1055" s="127"/>
      <c r="C1055" s="125"/>
      <c r="D1055" s="115"/>
      <c r="E1055" s="115"/>
      <c r="F1055" s="11" t="s">
        <v>588</v>
      </c>
      <c r="G1055" s="20" t="s">
        <v>589</v>
      </c>
      <c r="H1055" s="29" t="str">
        <f>VLOOKUP(G1055,'insumos terrapl'!$C$3:$K$47,2,0)</f>
        <v>2N  20  14  08  00  00  00</v>
      </c>
      <c r="I1055" s="29" t="str">
        <f>VLOOKUP(G1055,'insumos terrapl'!$C$3:$K$47,3,0)</f>
        <v>2N</v>
      </c>
      <c r="J1055" s="29">
        <f>VLOOKUP(G1055,'insumos terrapl'!$C$3:$K$47,4,0)</f>
        <v>20</v>
      </c>
      <c r="K1055" s="29">
        <f>VLOOKUP(G1055,'insumos terrapl'!$C$3:$K$47,5,0)</f>
        <v>14</v>
      </c>
      <c r="L1055" s="29" t="str">
        <f>VLOOKUP(G1055,'insumos terrapl'!$C$3:$K$47,6,0)</f>
        <v>08</v>
      </c>
      <c r="M1055" s="29" t="str">
        <f>VLOOKUP(G1055,'insumos terrapl'!$C$3:$K$47,7,0)</f>
        <v>00</v>
      </c>
      <c r="N1055" s="29" t="str">
        <f>VLOOKUP(G1055,'insumos terrapl'!$C$3:$K$47,8,0)</f>
        <v>00</v>
      </c>
      <c r="O1055" s="97" t="str">
        <f>VLOOKUP(G1055,'insumos terrapl'!$C$3:$K$47,9,0)</f>
        <v>00</v>
      </c>
    </row>
    <row r="1056" spans="1:15">
      <c r="A1056" s="125"/>
      <c r="B1056" s="127"/>
      <c r="C1056" s="132"/>
      <c r="D1056" s="116"/>
      <c r="E1056" s="116"/>
      <c r="F1056" s="13"/>
      <c r="G1056" s="21"/>
      <c r="H1056" s="31"/>
      <c r="I1056" s="31"/>
      <c r="J1056" s="31"/>
      <c r="K1056" s="31"/>
      <c r="L1056" s="31"/>
      <c r="M1056" s="31"/>
      <c r="N1056" s="31"/>
      <c r="O1056" s="98"/>
    </row>
    <row r="1057" spans="1:15">
      <c r="A1057" s="125"/>
      <c r="B1057" s="127"/>
      <c r="C1057" s="124" t="s">
        <v>230</v>
      </c>
      <c r="D1057" s="114" t="str">
        <f>$A$692</f>
        <v>2.6.6</v>
      </c>
      <c r="E1057" s="115" t="s">
        <v>485</v>
      </c>
      <c r="F1057" s="11" t="s">
        <v>230</v>
      </c>
      <c r="G1057" s="20"/>
      <c r="H1057" s="29"/>
      <c r="I1057" s="29"/>
      <c r="J1057" s="29"/>
      <c r="K1057" s="29"/>
      <c r="L1057" s="29"/>
      <c r="M1057" s="29"/>
      <c r="N1057" s="29"/>
      <c r="O1057" s="97"/>
    </row>
    <row r="1058" spans="1:15" ht="30">
      <c r="A1058" s="125"/>
      <c r="B1058" s="127"/>
      <c r="C1058" s="125"/>
      <c r="D1058" s="115"/>
      <c r="E1058" s="115"/>
      <c r="F1058" s="11" t="s">
        <v>651</v>
      </c>
      <c r="G1058" s="20" t="s">
        <v>652</v>
      </c>
      <c r="H1058" s="29" t="str">
        <f>VLOOKUP(G1058,'insumos terrapl'!$C$3:$K$47,2,0)</f>
        <v>2Q  66  10  02  00  00  00</v>
      </c>
      <c r="I1058" s="29" t="str">
        <f>VLOOKUP(G1058,'insumos terrapl'!$C$3:$K$47,3,0)</f>
        <v>2Q</v>
      </c>
      <c r="J1058" s="29">
        <f>VLOOKUP(G1058,'insumos terrapl'!$C$3:$K$47,4,0)</f>
        <v>66</v>
      </c>
      <c r="K1058" s="29" t="str">
        <f>VLOOKUP(G1058,'insumos terrapl'!$C$3:$K$47,5,0)</f>
        <v>10</v>
      </c>
      <c r="L1058" s="29" t="str">
        <f>VLOOKUP(G1058,'insumos terrapl'!$C$3:$K$47,6,0)</f>
        <v>02</v>
      </c>
      <c r="M1058" s="29" t="str">
        <f>VLOOKUP(G1058,'insumos terrapl'!$C$3:$K$47,7,0)</f>
        <v>00</v>
      </c>
      <c r="N1058" s="29" t="str">
        <f>VLOOKUP(G1058,'insumos terrapl'!$C$3:$K$47,8,0)</f>
        <v>00</v>
      </c>
      <c r="O1058" s="97" t="str">
        <f>VLOOKUP(G1058,'insumos terrapl'!$C$3:$K$47,9,0)</f>
        <v>00</v>
      </c>
    </row>
    <row r="1059" spans="1:15" ht="30">
      <c r="A1059" s="125"/>
      <c r="B1059" s="127"/>
      <c r="C1059" s="125"/>
      <c r="D1059" s="115"/>
      <c r="E1059" s="115"/>
      <c r="F1059" s="11" t="s">
        <v>655</v>
      </c>
      <c r="G1059" s="20" t="s">
        <v>656</v>
      </c>
      <c r="H1059" s="29" t="str">
        <f>VLOOKUP(G1059,'insumos terrapl'!$C$3:$K$47,2,0)</f>
        <v>2Q  62  02  10  00  00  00</v>
      </c>
      <c r="I1059" s="29" t="str">
        <f>VLOOKUP(G1059,'insumos terrapl'!$C$3:$K$47,3,0)</f>
        <v>2Q</v>
      </c>
      <c r="J1059" s="29">
        <f>VLOOKUP(G1059,'insumos terrapl'!$C$3:$K$47,4,0)</f>
        <v>62</v>
      </c>
      <c r="K1059" s="29" t="str">
        <f>VLOOKUP(G1059,'insumos terrapl'!$C$3:$K$47,5,0)</f>
        <v>02</v>
      </c>
      <c r="L1059" s="29" t="str">
        <f>VLOOKUP(G1059,'insumos terrapl'!$C$3:$K$47,6,0)</f>
        <v>10</v>
      </c>
      <c r="M1059" s="29" t="str">
        <f>VLOOKUP(G1059,'insumos terrapl'!$C$3:$K$47,7,0)</f>
        <v>00</v>
      </c>
      <c r="N1059" s="29" t="str">
        <f>VLOOKUP(G1059,'insumos terrapl'!$C$3:$K$47,8,0)</f>
        <v>00</v>
      </c>
      <c r="O1059" s="97" t="str">
        <f>VLOOKUP(G1059,'insumos terrapl'!$C$3:$K$47,9,0)</f>
        <v>00</v>
      </c>
    </row>
    <row r="1060" spans="1:15">
      <c r="A1060" s="125"/>
      <c r="B1060" s="127"/>
      <c r="C1060" s="125"/>
      <c r="D1060" s="115"/>
      <c r="E1060" s="115"/>
      <c r="F1060" s="11" t="s">
        <v>588</v>
      </c>
      <c r="G1060" s="20" t="s">
        <v>589</v>
      </c>
      <c r="H1060" s="29" t="str">
        <f>VLOOKUP(G1060,'insumos terrapl'!$C$3:$K$47,2,0)</f>
        <v>2N  20  14  08  00  00  00</v>
      </c>
      <c r="I1060" s="29" t="str">
        <f>VLOOKUP(G1060,'insumos terrapl'!$C$3:$K$47,3,0)</f>
        <v>2N</v>
      </c>
      <c r="J1060" s="29">
        <f>VLOOKUP(G1060,'insumos terrapl'!$C$3:$K$47,4,0)</f>
        <v>20</v>
      </c>
      <c r="K1060" s="29">
        <f>VLOOKUP(G1060,'insumos terrapl'!$C$3:$K$47,5,0)</f>
        <v>14</v>
      </c>
      <c r="L1060" s="29" t="str">
        <f>VLOOKUP(G1060,'insumos terrapl'!$C$3:$K$47,6,0)</f>
        <v>08</v>
      </c>
      <c r="M1060" s="29" t="str">
        <f>VLOOKUP(G1060,'insumos terrapl'!$C$3:$K$47,7,0)</f>
        <v>00</v>
      </c>
      <c r="N1060" s="29" t="str">
        <f>VLOOKUP(G1060,'insumos terrapl'!$C$3:$K$47,8,0)</f>
        <v>00</v>
      </c>
      <c r="O1060" s="97" t="str">
        <f>VLOOKUP(G1060,'insumos terrapl'!$C$3:$K$47,9,0)</f>
        <v>00</v>
      </c>
    </row>
    <row r="1061" spans="1:15">
      <c r="A1061" s="125"/>
      <c r="B1061" s="127"/>
      <c r="C1061" s="132"/>
      <c r="D1061" s="116"/>
      <c r="E1061" s="115"/>
      <c r="F1061" s="10"/>
      <c r="G1061" s="20"/>
      <c r="H1061" s="29"/>
      <c r="I1061" s="29"/>
      <c r="J1061" s="29"/>
      <c r="K1061" s="29"/>
      <c r="L1061" s="29"/>
      <c r="M1061" s="29"/>
      <c r="N1061" s="29"/>
      <c r="O1061" s="97"/>
    </row>
    <row r="1062" spans="1:15">
      <c r="A1062" s="125"/>
      <c r="B1062" s="127"/>
      <c r="C1062" s="124" t="s">
        <v>231</v>
      </c>
      <c r="D1062" s="114" t="str">
        <f>$A$692</f>
        <v>2.6.6</v>
      </c>
      <c r="E1062" s="114" t="s">
        <v>486</v>
      </c>
      <c r="F1062" s="12" t="s">
        <v>231</v>
      </c>
      <c r="G1062" s="19"/>
      <c r="H1062" s="28"/>
      <c r="I1062" s="28"/>
      <c r="J1062" s="28"/>
      <c r="K1062" s="28"/>
      <c r="L1062" s="28"/>
      <c r="M1062" s="28"/>
      <c r="N1062" s="28"/>
      <c r="O1062" s="99"/>
    </row>
    <row r="1063" spans="1:15" ht="30">
      <c r="A1063" s="125"/>
      <c r="B1063" s="127"/>
      <c r="C1063" s="125"/>
      <c r="D1063" s="115"/>
      <c r="E1063" s="115"/>
      <c r="F1063" s="11" t="s">
        <v>651</v>
      </c>
      <c r="G1063" s="20" t="s">
        <v>652</v>
      </c>
      <c r="H1063" s="29" t="str">
        <f>VLOOKUP(G1063,'insumos terrapl'!$C$3:$K$47,2,0)</f>
        <v>2Q  66  10  02  00  00  00</v>
      </c>
      <c r="I1063" s="29" t="str">
        <f>VLOOKUP(G1063,'insumos terrapl'!$C$3:$K$47,3,0)</f>
        <v>2Q</v>
      </c>
      <c r="J1063" s="29">
        <f>VLOOKUP(G1063,'insumos terrapl'!$C$3:$K$47,4,0)</f>
        <v>66</v>
      </c>
      <c r="K1063" s="29" t="str">
        <f>VLOOKUP(G1063,'insumos terrapl'!$C$3:$K$47,5,0)</f>
        <v>10</v>
      </c>
      <c r="L1063" s="29" t="str">
        <f>VLOOKUP(G1063,'insumos terrapl'!$C$3:$K$47,6,0)</f>
        <v>02</v>
      </c>
      <c r="M1063" s="29" t="str">
        <f>VLOOKUP(G1063,'insumos terrapl'!$C$3:$K$47,7,0)</f>
        <v>00</v>
      </c>
      <c r="N1063" s="29" t="str">
        <f>VLOOKUP(G1063,'insumos terrapl'!$C$3:$K$47,8,0)</f>
        <v>00</v>
      </c>
      <c r="O1063" s="97" t="str">
        <f>VLOOKUP(G1063,'insumos terrapl'!$C$3:$K$47,9,0)</f>
        <v>00</v>
      </c>
    </row>
    <row r="1064" spans="1:15" ht="30">
      <c r="A1064" s="125"/>
      <c r="B1064" s="127"/>
      <c r="C1064" s="125"/>
      <c r="D1064" s="115"/>
      <c r="E1064" s="115"/>
      <c r="F1064" s="11" t="s">
        <v>655</v>
      </c>
      <c r="G1064" s="20" t="s">
        <v>656</v>
      </c>
      <c r="H1064" s="29" t="str">
        <f>VLOOKUP(G1064,'insumos terrapl'!$C$3:$K$47,2,0)</f>
        <v>2Q  62  02  10  00  00  00</v>
      </c>
      <c r="I1064" s="29" t="str">
        <f>VLOOKUP(G1064,'insumos terrapl'!$C$3:$K$47,3,0)</f>
        <v>2Q</v>
      </c>
      <c r="J1064" s="29">
        <f>VLOOKUP(G1064,'insumos terrapl'!$C$3:$K$47,4,0)</f>
        <v>62</v>
      </c>
      <c r="K1064" s="29" t="str">
        <f>VLOOKUP(G1064,'insumos terrapl'!$C$3:$K$47,5,0)</f>
        <v>02</v>
      </c>
      <c r="L1064" s="29" t="str">
        <f>VLOOKUP(G1064,'insumos terrapl'!$C$3:$K$47,6,0)</f>
        <v>10</v>
      </c>
      <c r="M1064" s="29" t="str">
        <f>VLOOKUP(G1064,'insumos terrapl'!$C$3:$K$47,7,0)</f>
        <v>00</v>
      </c>
      <c r="N1064" s="29" t="str">
        <f>VLOOKUP(G1064,'insumos terrapl'!$C$3:$K$47,8,0)</f>
        <v>00</v>
      </c>
      <c r="O1064" s="97" t="str">
        <f>VLOOKUP(G1064,'insumos terrapl'!$C$3:$K$47,9,0)</f>
        <v>00</v>
      </c>
    </row>
    <row r="1065" spans="1:15">
      <c r="A1065" s="125"/>
      <c r="B1065" s="127"/>
      <c r="C1065" s="125"/>
      <c r="D1065" s="115"/>
      <c r="E1065" s="115"/>
      <c r="F1065" s="11" t="s">
        <v>588</v>
      </c>
      <c r="G1065" s="20" t="s">
        <v>589</v>
      </c>
      <c r="H1065" s="29" t="str">
        <f>VLOOKUP(G1065,'insumos terrapl'!$C$3:$K$47,2,0)</f>
        <v>2N  20  14  08  00  00  00</v>
      </c>
      <c r="I1065" s="29" t="str">
        <f>VLOOKUP(G1065,'insumos terrapl'!$C$3:$K$47,3,0)</f>
        <v>2N</v>
      </c>
      <c r="J1065" s="29">
        <f>VLOOKUP(G1065,'insumos terrapl'!$C$3:$K$47,4,0)</f>
        <v>20</v>
      </c>
      <c r="K1065" s="29">
        <f>VLOOKUP(G1065,'insumos terrapl'!$C$3:$K$47,5,0)</f>
        <v>14</v>
      </c>
      <c r="L1065" s="29" t="str">
        <f>VLOOKUP(G1065,'insumos terrapl'!$C$3:$K$47,6,0)</f>
        <v>08</v>
      </c>
      <c r="M1065" s="29" t="str">
        <f>VLOOKUP(G1065,'insumos terrapl'!$C$3:$K$47,7,0)</f>
        <v>00</v>
      </c>
      <c r="N1065" s="29" t="str">
        <f>VLOOKUP(G1065,'insumos terrapl'!$C$3:$K$47,8,0)</f>
        <v>00</v>
      </c>
      <c r="O1065" s="97" t="str">
        <f>VLOOKUP(G1065,'insumos terrapl'!$C$3:$K$47,9,0)</f>
        <v>00</v>
      </c>
    </row>
    <row r="1066" spans="1:15">
      <c r="A1066" s="125"/>
      <c r="B1066" s="127"/>
      <c r="C1066" s="132"/>
      <c r="D1066" s="116"/>
      <c r="E1066" s="116"/>
      <c r="F1066" s="10"/>
      <c r="G1066" s="21"/>
      <c r="H1066" s="31"/>
      <c r="I1066" s="31"/>
      <c r="J1066" s="31"/>
      <c r="K1066" s="31"/>
      <c r="L1066" s="31"/>
      <c r="M1066" s="31"/>
      <c r="N1066" s="31"/>
      <c r="O1066" s="98"/>
    </row>
    <row r="1067" spans="1:15">
      <c r="A1067" s="125"/>
      <c r="B1067" s="127"/>
      <c r="C1067" s="124" t="s">
        <v>232</v>
      </c>
      <c r="D1067" s="114" t="str">
        <f>$A$692</f>
        <v>2.6.6</v>
      </c>
      <c r="E1067" s="114" t="s">
        <v>488</v>
      </c>
      <c r="F1067" s="12" t="s">
        <v>232</v>
      </c>
      <c r="G1067" s="19"/>
      <c r="H1067" s="28"/>
      <c r="I1067" s="28"/>
      <c r="J1067" s="28"/>
      <c r="K1067" s="28"/>
      <c r="L1067" s="28"/>
      <c r="M1067" s="28"/>
      <c r="N1067" s="28"/>
      <c r="O1067" s="99"/>
    </row>
    <row r="1068" spans="1:15" ht="30">
      <c r="A1068" s="125"/>
      <c r="B1068" s="127"/>
      <c r="C1068" s="125"/>
      <c r="D1068" s="115"/>
      <c r="E1068" s="115"/>
      <c r="F1068" s="11" t="s">
        <v>651</v>
      </c>
      <c r="G1068" s="20" t="s">
        <v>652</v>
      </c>
      <c r="H1068" s="29" t="str">
        <f>VLOOKUP(G1068,'insumos terrapl'!$C$3:$K$47,2,0)</f>
        <v>2Q  66  10  02  00  00  00</v>
      </c>
      <c r="I1068" s="29" t="str">
        <f>VLOOKUP(G1068,'insumos terrapl'!$C$3:$K$47,3,0)</f>
        <v>2Q</v>
      </c>
      <c r="J1068" s="29">
        <f>VLOOKUP(G1068,'insumos terrapl'!$C$3:$K$47,4,0)</f>
        <v>66</v>
      </c>
      <c r="K1068" s="29" t="str">
        <f>VLOOKUP(G1068,'insumos terrapl'!$C$3:$K$47,5,0)</f>
        <v>10</v>
      </c>
      <c r="L1068" s="29" t="str">
        <f>VLOOKUP(G1068,'insumos terrapl'!$C$3:$K$47,6,0)</f>
        <v>02</v>
      </c>
      <c r="M1068" s="29" t="str">
        <f>VLOOKUP(G1068,'insumos terrapl'!$C$3:$K$47,7,0)</f>
        <v>00</v>
      </c>
      <c r="N1068" s="29" t="str">
        <f>VLOOKUP(G1068,'insumos terrapl'!$C$3:$K$47,8,0)</f>
        <v>00</v>
      </c>
      <c r="O1068" s="97" t="str">
        <f>VLOOKUP(G1068,'insumos terrapl'!$C$3:$K$47,9,0)</f>
        <v>00</v>
      </c>
    </row>
    <row r="1069" spans="1:15" ht="30">
      <c r="A1069" s="125"/>
      <c r="B1069" s="127"/>
      <c r="C1069" s="125"/>
      <c r="D1069" s="115"/>
      <c r="E1069" s="115"/>
      <c r="F1069" s="11" t="s">
        <v>655</v>
      </c>
      <c r="G1069" s="20" t="s">
        <v>656</v>
      </c>
      <c r="H1069" s="29" t="str">
        <f>VLOOKUP(G1069,'insumos terrapl'!$C$3:$K$47,2,0)</f>
        <v>2Q  62  02  10  00  00  00</v>
      </c>
      <c r="I1069" s="29" t="str">
        <f>VLOOKUP(G1069,'insumos terrapl'!$C$3:$K$47,3,0)</f>
        <v>2Q</v>
      </c>
      <c r="J1069" s="29">
        <f>VLOOKUP(G1069,'insumos terrapl'!$C$3:$K$47,4,0)</f>
        <v>62</v>
      </c>
      <c r="K1069" s="29" t="str">
        <f>VLOOKUP(G1069,'insumos terrapl'!$C$3:$K$47,5,0)</f>
        <v>02</v>
      </c>
      <c r="L1069" s="29" t="str">
        <f>VLOOKUP(G1069,'insumos terrapl'!$C$3:$K$47,6,0)</f>
        <v>10</v>
      </c>
      <c r="M1069" s="29" t="str">
        <f>VLOOKUP(G1069,'insumos terrapl'!$C$3:$K$47,7,0)</f>
        <v>00</v>
      </c>
      <c r="N1069" s="29" t="str">
        <f>VLOOKUP(G1069,'insumos terrapl'!$C$3:$K$47,8,0)</f>
        <v>00</v>
      </c>
      <c r="O1069" s="97" t="str">
        <f>VLOOKUP(G1069,'insumos terrapl'!$C$3:$K$47,9,0)</f>
        <v>00</v>
      </c>
    </row>
    <row r="1070" spans="1:15">
      <c r="A1070" s="125"/>
      <c r="B1070" s="127"/>
      <c r="C1070" s="125"/>
      <c r="D1070" s="115"/>
      <c r="E1070" s="115"/>
      <c r="F1070" s="11" t="s">
        <v>588</v>
      </c>
      <c r="G1070" s="20" t="s">
        <v>589</v>
      </c>
      <c r="H1070" s="29" t="str">
        <f>VLOOKUP(G1070,'insumos terrapl'!$C$3:$K$47,2,0)</f>
        <v>2N  20  14  08  00  00  00</v>
      </c>
      <c r="I1070" s="29" t="str">
        <f>VLOOKUP(G1070,'insumos terrapl'!$C$3:$K$47,3,0)</f>
        <v>2N</v>
      </c>
      <c r="J1070" s="29">
        <f>VLOOKUP(G1070,'insumos terrapl'!$C$3:$K$47,4,0)</f>
        <v>20</v>
      </c>
      <c r="K1070" s="29">
        <f>VLOOKUP(G1070,'insumos terrapl'!$C$3:$K$47,5,0)</f>
        <v>14</v>
      </c>
      <c r="L1070" s="29" t="str">
        <f>VLOOKUP(G1070,'insumos terrapl'!$C$3:$K$47,6,0)</f>
        <v>08</v>
      </c>
      <c r="M1070" s="29" t="str">
        <f>VLOOKUP(G1070,'insumos terrapl'!$C$3:$K$47,7,0)</f>
        <v>00</v>
      </c>
      <c r="N1070" s="29" t="str">
        <f>VLOOKUP(G1070,'insumos terrapl'!$C$3:$K$47,8,0)</f>
        <v>00</v>
      </c>
      <c r="O1070" s="97" t="str">
        <f>VLOOKUP(G1070,'insumos terrapl'!$C$3:$K$47,9,0)</f>
        <v>00</v>
      </c>
    </row>
    <row r="1071" spans="1:15">
      <c r="A1071" s="125"/>
      <c r="B1071" s="127"/>
      <c r="C1071" s="132"/>
      <c r="D1071" s="116"/>
      <c r="E1071" s="116"/>
      <c r="F1071" s="10"/>
      <c r="G1071" s="21"/>
      <c r="H1071" s="31"/>
      <c r="I1071" s="31"/>
      <c r="J1071" s="31"/>
      <c r="K1071" s="31"/>
      <c r="L1071" s="31"/>
      <c r="M1071" s="31"/>
      <c r="N1071" s="31"/>
      <c r="O1071" s="98"/>
    </row>
    <row r="1072" spans="1:15">
      <c r="A1072" s="125"/>
      <c r="B1072" s="127"/>
      <c r="C1072" s="124" t="s">
        <v>233</v>
      </c>
      <c r="D1072" s="114" t="str">
        <f>$A$692</f>
        <v>2.6.6</v>
      </c>
      <c r="E1072" s="115" t="s">
        <v>490</v>
      </c>
      <c r="F1072" s="28" t="s">
        <v>233</v>
      </c>
      <c r="G1072" s="20"/>
      <c r="H1072" s="29"/>
      <c r="I1072" s="29"/>
      <c r="J1072" s="29"/>
      <c r="K1072" s="29"/>
      <c r="L1072" s="29"/>
      <c r="M1072" s="29"/>
      <c r="N1072" s="29"/>
      <c r="O1072" s="97"/>
    </row>
    <row r="1073" spans="1:15" ht="30">
      <c r="A1073" s="125"/>
      <c r="B1073" s="127"/>
      <c r="C1073" s="125"/>
      <c r="D1073" s="115"/>
      <c r="E1073" s="115"/>
      <c r="F1073" s="29" t="s">
        <v>651</v>
      </c>
      <c r="G1073" s="20" t="s">
        <v>652</v>
      </c>
      <c r="H1073" s="29" t="str">
        <f>VLOOKUP(G1073,'insumos terrapl'!$C$3:$K$47,2,0)</f>
        <v>2Q  66  10  02  00  00  00</v>
      </c>
      <c r="I1073" s="29" t="str">
        <f>VLOOKUP(G1073,'insumos terrapl'!$C$3:$K$47,3,0)</f>
        <v>2Q</v>
      </c>
      <c r="J1073" s="29">
        <f>VLOOKUP(G1073,'insumos terrapl'!$C$3:$K$47,4,0)</f>
        <v>66</v>
      </c>
      <c r="K1073" s="29" t="str">
        <f>VLOOKUP(G1073,'insumos terrapl'!$C$3:$K$47,5,0)</f>
        <v>10</v>
      </c>
      <c r="L1073" s="29" t="str">
        <f>VLOOKUP(G1073,'insumos terrapl'!$C$3:$K$47,6,0)</f>
        <v>02</v>
      </c>
      <c r="M1073" s="29" t="str">
        <f>VLOOKUP(G1073,'insumos terrapl'!$C$3:$K$47,7,0)</f>
        <v>00</v>
      </c>
      <c r="N1073" s="29" t="str">
        <f>VLOOKUP(G1073,'insumos terrapl'!$C$3:$K$47,8,0)</f>
        <v>00</v>
      </c>
      <c r="O1073" s="97" t="str">
        <f>VLOOKUP(G1073,'insumos terrapl'!$C$3:$K$47,9,0)</f>
        <v>00</v>
      </c>
    </row>
    <row r="1074" spans="1:15" ht="30">
      <c r="A1074" s="125"/>
      <c r="B1074" s="127"/>
      <c r="C1074" s="125"/>
      <c r="D1074" s="115"/>
      <c r="E1074" s="115"/>
      <c r="F1074" s="29" t="s">
        <v>655</v>
      </c>
      <c r="G1074" s="20" t="s">
        <v>656</v>
      </c>
      <c r="H1074" s="29" t="str">
        <f>VLOOKUP(G1074,'insumos terrapl'!$C$3:$K$47,2,0)</f>
        <v>2Q  62  02  10  00  00  00</v>
      </c>
      <c r="I1074" s="29" t="str">
        <f>VLOOKUP(G1074,'insumos terrapl'!$C$3:$K$47,3,0)</f>
        <v>2Q</v>
      </c>
      <c r="J1074" s="29">
        <f>VLOOKUP(G1074,'insumos terrapl'!$C$3:$K$47,4,0)</f>
        <v>62</v>
      </c>
      <c r="K1074" s="29" t="str">
        <f>VLOOKUP(G1074,'insumos terrapl'!$C$3:$K$47,5,0)</f>
        <v>02</v>
      </c>
      <c r="L1074" s="29" t="str">
        <f>VLOOKUP(G1074,'insumos terrapl'!$C$3:$K$47,6,0)</f>
        <v>10</v>
      </c>
      <c r="M1074" s="29" t="str">
        <f>VLOOKUP(G1074,'insumos terrapl'!$C$3:$K$47,7,0)</f>
        <v>00</v>
      </c>
      <c r="N1074" s="29" t="str">
        <f>VLOOKUP(G1074,'insumos terrapl'!$C$3:$K$47,8,0)</f>
        <v>00</v>
      </c>
      <c r="O1074" s="97" t="str">
        <f>VLOOKUP(G1074,'insumos terrapl'!$C$3:$K$47,9,0)</f>
        <v>00</v>
      </c>
    </row>
    <row r="1075" spans="1:15">
      <c r="A1075" s="125"/>
      <c r="B1075" s="127"/>
      <c r="C1075" s="125"/>
      <c r="D1075" s="115"/>
      <c r="E1075" s="115"/>
      <c r="F1075" s="29" t="s">
        <v>588</v>
      </c>
      <c r="G1075" s="20" t="s">
        <v>589</v>
      </c>
      <c r="H1075" s="29" t="str">
        <f>VLOOKUP(G1075,'insumos terrapl'!$C$3:$K$47,2,0)</f>
        <v>2N  20  14  08  00  00  00</v>
      </c>
      <c r="I1075" s="29" t="str">
        <f>VLOOKUP(G1075,'insumos terrapl'!$C$3:$K$47,3,0)</f>
        <v>2N</v>
      </c>
      <c r="J1075" s="29">
        <f>VLOOKUP(G1075,'insumos terrapl'!$C$3:$K$47,4,0)</f>
        <v>20</v>
      </c>
      <c r="K1075" s="29">
        <f>VLOOKUP(G1075,'insumos terrapl'!$C$3:$K$47,5,0)</f>
        <v>14</v>
      </c>
      <c r="L1075" s="29" t="str">
        <f>VLOOKUP(G1075,'insumos terrapl'!$C$3:$K$47,6,0)</f>
        <v>08</v>
      </c>
      <c r="M1075" s="29" t="str">
        <f>VLOOKUP(G1075,'insumos terrapl'!$C$3:$K$47,7,0)</f>
        <v>00</v>
      </c>
      <c r="N1075" s="29" t="str">
        <f>VLOOKUP(G1075,'insumos terrapl'!$C$3:$K$47,8,0)</f>
        <v>00</v>
      </c>
      <c r="O1075" s="97" t="str">
        <f>VLOOKUP(G1075,'insumos terrapl'!$C$3:$K$47,9,0)</f>
        <v>00</v>
      </c>
    </row>
    <row r="1076" spans="1:15">
      <c r="A1076" s="132"/>
      <c r="B1076" s="131"/>
      <c r="C1076" s="132"/>
      <c r="D1076" s="116"/>
      <c r="E1076" s="115"/>
      <c r="F1076" s="31"/>
      <c r="G1076" s="20"/>
      <c r="H1076" s="29"/>
      <c r="I1076" s="29"/>
      <c r="J1076" s="29"/>
      <c r="K1076" s="29"/>
      <c r="L1076" s="29"/>
      <c r="M1076" s="29"/>
      <c r="N1076" s="29"/>
      <c r="O1076" s="97"/>
    </row>
    <row r="1077" spans="1:15">
      <c r="A1077" s="124" t="s">
        <v>51</v>
      </c>
      <c r="B1077" s="126" t="s">
        <v>19</v>
      </c>
      <c r="C1077" s="124" t="s">
        <v>328</v>
      </c>
      <c r="D1077" s="114" t="str">
        <f>A1077</f>
        <v>2.6.7</v>
      </c>
      <c r="E1077" s="114" t="s">
        <v>19</v>
      </c>
      <c r="F1077" s="12" t="s">
        <v>328</v>
      </c>
      <c r="G1077" s="19"/>
      <c r="H1077" s="28"/>
      <c r="I1077" s="28"/>
      <c r="J1077" s="28"/>
      <c r="K1077" s="28"/>
      <c r="L1077" s="28"/>
      <c r="M1077" s="28"/>
      <c r="N1077" s="28"/>
      <c r="O1077" s="99"/>
    </row>
    <row r="1078" spans="1:15" ht="30">
      <c r="A1078" s="125"/>
      <c r="B1078" s="127"/>
      <c r="C1078" s="125"/>
      <c r="D1078" s="115"/>
      <c r="E1078" s="115"/>
      <c r="F1078" s="11" t="s">
        <v>607</v>
      </c>
      <c r="G1078" s="20" t="s">
        <v>608</v>
      </c>
      <c r="H1078" s="29" t="str">
        <f>VLOOKUP(G1078,'insumos terrapl'!$C$3:$K$47,2,0)</f>
        <v>2Q  42  06  18  02  02  00</v>
      </c>
      <c r="I1078" s="29" t="str">
        <f>VLOOKUP(G1078,'insumos terrapl'!$C$3:$K$47,3,0)</f>
        <v>2Q</v>
      </c>
      <c r="J1078" s="29">
        <f>VLOOKUP(G1078,'insumos terrapl'!$C$3:$K$47,4,0)</f>
        <v>42</v>
      </c>
      <c r="K1078" s="29" t="str">
        <f>VLOOKUP(G1078,'insumos terrapl'!$C$3:$K$47,5,0)</f>
        <v>06</v>
      </c>
      <c r="L1078" s="29">
        <f>VLOOKUP(G1078,'insumos terrapl'!$C$3:$K$47,6,0)</f>
        <v>18</v>
      </c>
      <c r="M1078" s="29" t="str">
        <f>VLOOKUP(G1078,'insumos terrapl'!$C$3:$K$47,7,0)</f>
        <v>02</v>
      </c>
      <c r="N1078" s="29" t="str">
        <f>VLOOKUP(G1078,'insumos terrapl'!$C$3:$K$47,8,0)</f>
        <v>02</v>
      </c>
      <c r="O1078" s="97" t="str">
        <f>VLOOKUP(G1078,'insumos terrapl'!$C$3:$K$47,9,0)</f>
        <v>00</v>
      </c>
    </row>
    <row r="1079" spans="1:15" ht="45">
      <c r="A1079" s="125"/>
      <c r="B1079" s="127"/>
      <c r="C1079" s="125"/>
      <c r="D1079" s="115"/>
      <c r="E1079" s="115"/>
      <c r="F1079" s="11" t="s">
        <v>609</v>
      </c>
      <c r="G1079" s="20" t="s">
        <v>610</v>
      </c>
      <c r="H1079" s="29" t="str">
        <f>VLOOKUP(G1079,'insumos terrapl'!$C$3:$K$47,2,0)</f>
        <v>2Q  42  06  02  14  02  00</v>
      </c>
      <c r="I1079" s="29" t="str">
        <f>VLOOKUP(G1079,'insumos terrapl'!$C$3:$K$47,3,0)</f>
        <v>2Q</v>
      </c>
      <c r="J1079" s="29">
        <f>VLOOKUP(G1079,'insumos terrapl'!$C$3:$K$47,4,0)</f>
        <v>42</v>
      </c>
      <c r="K1079" s="29" t="str">
        <f>VLOOKUP(G1079,'insumos terrapl'!$C$3:$K$47,5,0)</f>
        <v>06</v>
      </c>
      <c r="L1079" s="29" t="str">
        <f>VLOOKUP(G1079,'insumos terrapl'!$C$3:$K$47,6,0)</f>
        <v>02</v>
      </c>
      <c r="M1079" s="29" t="str">
        <f>VLOOKUP(G1079,'insumos terrapl'!$C$3:$K$47,7,0)</f>
        <v>14</v>
      </c>
      <c r="N1079" s="29" t="str">
        <f>VLOOKUP(G1079,'insumos terrapl'!$C$3:$K$47,8,0)</f>
        <v>02</v>
      </c>
      <c r="O1079" s="97" t="str">
        <f>VLOOKUP(G1079,'insumos terrapl'!$C$3:$K$47,9,0)</f>
        <v>00</v>
      </c>
    </row>
    <row r="1080" spans="1:15">
      <c r="A1080" s="125"/>
      <c r="B1080" s="127"/>
      <c r="C1080" s="125"/>
      <c r="D1080" s="115"/>
      <c r="E1080" s="115"/>
      <c r="F1080" s="11" t="s">
        <v>633</v>
      </c>
      <c r="G1080" s="20" t="s">
        <v>634</v>
      </c>
      <c r="H1080" s="29" t="str">
        <f>VLOOKUP(G1080,'insumos terrapl'!$C$3:$K$47,2,0)</f>
        <v>2Q  58  10  10  02  06  00</v>
      </c>
      <c r="I1080" s="29" t="str">
        <f>VLOOKUP(G1080,'insumos terrapl'!$C$3:$K$47,3,0)</f>
        <v>2Q</v>
      </c>
      <c r="J1080" s="29">
        <f>VLOOKUP(G1080,'insumos terrapl'!$C$3:$K$47,4,0)</f>
        <v>58</v>
      </c>
      <c r="K1080" s="29" t="str">
        <f>VLOOKUP(G1080,'insumos terrapl'!$C$3:$K$47,5,0)</f>
        <v>10</v>
      </c>
      <c r="L1080" s="29" t="str">
        <f>VLOOKUP(G1080,'insumos terrapl'!$C$3:$K$47,6,0)</f>
        <v>10</v>
      </c>
      <c r="M1080" s="29" t="str">
        <f>VLOOKUP(G1080,'insumos terrapl'!$C$3:$K$47,7,0)</f>
        <v>02</v>
      </c>
      <c r="N1080" s="29" t="str">
        <f>VLOOKUP(G1080,'insumos terrapl'!$C$3:$K$47,8,0)</f>
        <v>06</v>
      </c>
      <c r="O1080" s="97" t="str">
        <f>VLOOKUP(G1080,'insumos terrapl'!$C$3:$K$47,9,0)</f>
        <v>00</v>
      </c>
    </row>
    <row r="1081" spans="1:15">
      <c r="A1081" s="125"/>
      <c r="B1081" s="127"/>
      <c r="C1081" s="125"/>
      <c r="D1081" s="115"/>
      <c r="E1081" s="115"/>
      <c r="F1081" s="11" t="s">
        <v>605</v>
      </c>
      <c r="G1081" s="20" t="s">
        <v>606</v>
      </c>
      <c r="H1081" s="29" t="str">
        <f>VLOOKUP(G1081,'insumos terrapl'!$C$3:$K$47,2,0)</f>
        <v>2Q  62  30  02  14  00  00</v>
      </c>
      <c r="I1081" s="29" t="str">
        <f>VLOOKUP(G1081,'insumos terrapl'!$C$3:$K$47,3,0)</f>
        <v>2Q</v>
      </c>
      <c r="J1081" s="29">
        <f>VLOOKUP(G1081,'insumos terrapl'!$C$3:$K$47,4,0)</f>
        <v>62</v>
      </c>
      <c r="K1081" s="29">
        <f>VLOOKUP(G1081,'insumos terrapl'!$C$3:$K$47,5,0)</f>
        <v>30</v>
      </c>
      <c r="L1081" s="29" t="str">
        <f>VLOOKUP(G1081,'insumos terrapl'!$C$3:$K$47,6,0)</f>
        <v>02</v>
      </c>
      <c r="M1081" s="29" t="str">
        <f>VLOOKUP(G1081,'insumos terrapl'!$C$3:$K$47,7,0)</f>
        <v>14</v>
      </c>
      <c r="N1081" s="29" t="str">
        <f>VLOOKUP(G1081,'insumos terrapl'!$C$3:$K$47,8,0)</f>
        <v>00</v>
      </c>
      <c r="O1081" s="97" t="str">
        <f>VLOOKUP(G1081,'insumos terrapl'!$C$3:$K$47,9,0)</f>
        <v>00</v>
      </c>
    </row>
    <row r="1082" spans="1:15">
      <c r="A1082" s="125"/>
      <c r="B1082" s="127"/>
      <c r="C1082" s="125"/>
      <c r="D1082" s="115"/>
      <c r="E1082" s="115"/>
      <c r="F1082" s="11" t="s">
        <v>613</v>
      </c>
      <c r="G1082" s="20" t="s">
        <v>614</v>
      </c>
      <c r="H1082" s="29" t="str">
        <f>VLOOKUP(G1082,'insumos terrapl'!$C$3:$K$47,2,0)</f>
        <v>2N  20  14  02  00  00  00</v>
      </c>
      <c r="I1082" s="29" t="str">
        <f>VLOOKUP(G1082,'insumos terrapl'!$C$3:$K$47,3,0)</f>
        <v>2N</v>
      </c>
      <c r="J1082" s="29">
        <f>VLOOKUP(G1082,'insumos terrapl'!$C$3:$K$47,4,0)</f>
        <v>20</v>
      </c>
      <c r="K1082" s="29" t="str">
        <f>VLOOKUP(G1082,'insumos terrapl'!$C$3:$K$47,5,0)</f>
        <v>14</v>
      </c>
      <c r="L1082" s="29" t="str">
        <f>VLOOKUP(G1082,'insumos terrapl'!$C$3:$K$47,6,0)</f>
        <v>02</v>
      </c>
      <c r="M1082" s="29" t="str">
        <f>VLOOKUP(G1082,'insumos terrapl'!$C$3:$K$47,7,0)</f>
        <v>00</v>
      </c>
      <c r="N1082" s="29" t="str">
        <f>VLOOKUP(G1082,'insumos terrapl'!$C$3:$K$47,8,0)</f>
        <v>00</v>
      </c>
      <c r="O1082" s="97" t="str">
        <f>VLOOKUP(G1082,'insumos terrapl'!$C$3:$K$47,9,0)</f>
        <v>00</v>
      </c>
    </row>
    <row r="1083" spans="1:15">
      <c r="A1083" s="125"/>
      <c r="B1083" s="127"/>
      <c r="C1083" s="125"/>
      <c r="D1083" s="115"/>
      <c r="E1083" s="115"/>
      <c r="F1083" s="11" t="s">
        <v>615</v>
      </c>
      <c r="G1083" s="20" t="s">
        <v>616</v>
      </c>
      <c r="H1083" s="29" t="str">
        <f>VLOOKUP(G1083,'insumos terrapl'!$C$3:$K$47,2,0)</f>
        <v>2N  20  14  02  00  00  00</v>
      </c>
      <c r="I1083" s="29" t="str">
        <f>VLOOKUP(G1083,'insumos terrapl'!$C$3:$K$47,3,0)</f>
        <v>2N</v>
      </c>
      <c r="J1083" s="29">
        <f>VLOOKUP(G1083,'insumos terrapl'!$C$3:$K$47,4,0)</f>
        <v>20</v>
      </c>
      <c r="K1083" s="29" t="str">
        <f>VLOOKUP(G1083,'insumos terrapl'!$C$3:$K$47,5,0)</f>
        <v>14</v>
      </c>
      <c r="L1083" s="29" t="str">
        <f>VLOOKUP(G1083,'insumos terrapl'!$C$3:$K$47,6,0)</f>
        <v>02</v>
      </c>
      <c r="M1083" s="29" t="str">
        <f>VLOOKUP(G1083,'insumos terrapl'!$C$3:$K$47,7,0)</f>
        <v>00</v>
      </c>
      <c r="N1083" s="29" t="str">
        <f>VLOOKUP(G1083,'insumos terrapl'!$C$3:$K$47,8,0)</f>
        <v>00</v>
      </c>
      <c r="O1083" s="97" t="str">
        <f>VLOOKUP(G1083,'insumos terrapl'!$C$3:$K$47,9,0)</f>
        <v>00</v>
      </c>
    </row>
    <row r="1084" spans="1:15" ht="30">
      <c r="A1084" s="125"/>
      <c r="B1084" s="127"/>
      <c r="C1084" s="125"/>
      <c r="D1084" s="115"/>
      <c r="E1084" s="115"/>
      <c r="F1084" s="11" t="s">
        <v>635</v>
      </c>
      <c r="G1084" s="20" t="s">
        <v>636</v>
      </c>
      <c r="H1084" s="29" t="str">
        <f>VLOOKUP(G1084,'insumos terrapl'!$C$3:$K$47,2,0)</f>
        <v>2N  58  06  00  00  00  00</v>
      </c>
      <c r="I1084" s="29" t="str">
        <f>VLOOKUP(G1084,'insumos terrapl'!$C$3:$K$47,3,0)</f>
        <v>2N</v>
      </c>
      <c r="J1084" s="29">
        <f>VLOOKUP(G1084,'insumos terrapl'!$C$3:$K$47,4,0)</f>
        <v>58</v>
      </c>
      <c r="K1084" s="29" t="str">
        <f>VLOOKUP(G1084,'insumos terrapl'!$C$3:$K$47,5,0)</f>
        <v>06</v>
      </c>
      <c r="L1084" s="29" t="str">
        <f>VLOOKUP(G1084,'insumos terrapl'!$C$3:$K$47,6,0)</f>
        <v>00</v>
      </c>
      <c r="M1084" s="29" t="str">
        <f>VLOOKUP(G1084,'insumos terrapl'!$C$3:$K$47,7,0)</f>
        <v>00</v>
      </c>
      <c r="N1084" s="29" t="str">
        <f>VLOOKUP(G1084,'insumos terrapl'!$C$3:$K$47,8,0)</f>
        <v>00</v>
      </c>
      <c r="O1084" s="97" t="str">
        <f>VLOOKUP(G1084,'insumos terrapl'!$C$3:$K$47,9,0)</f>
        <v>00</v>
      </c>
    </row>
    <row r="1085" spans="1:15">
      <c r="A1085" s="125"/>
      <c r="B1085" s="127"/>
      <c r="C1085" s="125"/>
      <c r="D1085" s="115"/>
      <c r="E1085" s="115"/>
      <c r="F1085" s="11" t="s">
        <v>617</v>
      </c>
      <c r="G1085" s="20" t="s">
        <v>618</v>
      </c>
      <c r="H1085" s="29" t="str">
        <f>VLOOKUP(G1085,'insumos terrapl'!$C$3:$K$47,2,0)</f>
        <v>2Q  58  06  02  28  00  00</v>
      </c>
      <c r="I1085" s="29" t="str">
        <f>VLOOKUP(G1085,'insumos terrapl'!$C$3:$K$47,3,0)</f>
        <v>2Q</v>
      </c>
      <c r="J1085" s="29">
        <f>VLOOKUP(G1085,'insumos terrapl'!$C$3:$K$47,4,0)</f>
        <v>58</v>
      </c>
      <c r="K1085" s="29" t="str">
        <f>VLOOKUP(G1085,'insumos terrapl'!$C$3:$K$47,5,0)</f>
        <v>06</v>
      </c>
      <c r="L1085" s="29" t="str">
        <f>VLOOKUP(G1085,'insumos terrapl'!$C$3:$K$47,6,0)</f>
        <v>02</v>
      </c>
      <c r="M1085" s="29" t="str">
        <f>VLOOKUP(G1085,'insumos terrapl'!$C$3:$K$47,7,0)</f>
        <v>28</v>
      </c>
      <c r="N1085" s="29" t="str">
        <f>VLOOKUP(G1085,'insumos terrapl'!$C$3:$K$47,8,0)</f>
        <v>00</v>
      </c>
      <c r="O1085" s="97" t="str">
        <f>VLOOKUP(G1085,'insumos terrapl'!$C$3:$K$47,9,0)</f>
        <v>00</v>
      </c>
    </row>
    <row r="1086" spans="1:15" ht="30">
      <c r="A1086" s="125"/>
      <c r="B1086" s="127"/>
      <c r="C1086" s="125"/>
      <c r="D1086" s="115"/>
      <c r="E1086" s="115"/>
      <c r="F1086" s="11" t="s">
        <v>637</v>
      </c>
      <c r="G1086" s="20" t="s">
        <v>638</v>
      </c>
      <c r="H1086" s="29" t="str">
        <f>VLOOKUP(G1086,'insumos terrapl'!$C$3:$K$47,2,0)</f>
        <v>2N  58  06  00  00  00  00</v>
      </c>
      <c r="I1086" s="29" t="str">
        <f>VLOOKUP(G1086,'insumos terrapl'!$C$3:$K$47,3,0)</f>
        <v>2N</v>
      </c>
      <c r="J1086" s="29">
        <f>VLOOKUP(G1086,'insumos terrapl'!$C$3:$K$47,4,0)</f>
        <v>58</v>
      </c>
      <c r="K1086" s="29" t="str">
        <f>VLOOKUP(G1086,'insumos terrapl'!$C$3:$K$47,5,0)</f>
        <v>06</v>
      </c>
      <c r="L1086" s="29" t="str">
        <f>VLOOKUP(G1086,'insumos terrapl'!$C$3:$K$47,6,0)</f>
        <v>00</v>
      </c>
      <c r="M1086" s="29" t="str">
        <f>VLOOKUP(G1086,'insumos terrapl'!$C$3:$K$47,7,0)</f>
        <v>00</v>
      </c>
      <c r="N1086" s="29" t="str">
        <f>VLOOKUP(G1086,'insumos terrapl'!$C$3:$K$47,8,0)</f>
        <v>00</v>
      </c>
      <c r="O1086" s="97" t="str">
        <f>VLOOKUP(G1086,'insumos terrapl'!$C$3:$K$47,9,0)</f>
        <v>00</v>
      </c>
    </row>
    <row r="1087" spans="1:15" ht="30">
      <c r="A1087" s="125"/>
      <c r="B1087" s="127"/>
      <c r="C1087" s="125"/>
      <c r="D1087" s="115"/>
      <c r="E1087" s="115"/>
      <c r="F1087" s="11" t="s">
        <v>639</v>
      </c>
      <c r="G1087" s="20" t="s">
        <v>640</v>
      </c>
      <c r="H1087" s="29" t="str">
        <f>VLOOKUP(G1087,'insumos terrapl'!$C$3:$K$47,2,0)</f>
        <v>2N  58  06  00  00  00  00</v>
      </c>
      <c r="I1087" s="29" t="str">
        <f>VLOOKUP(G1087,'insumos terrapl'!$C$3:$K$47,3,0)</f>
        <v>2N</v>
      </c>
      <c r="J1087" s="29">
        <f>VLOOKUP(G1087,'insumos terrapl'!$C$3:$K$47,4,0)</f>
        <v>58</v>
      </c>
      <c r="K1087" s="29" t="str">
        <f>VLOOKUP(G1087,'insumos terrapl'!$C$3:$K$47,5,0)</f>
        <v>06</v>
      </c>
      <c r="L1087" s="29" t="str">
        <f>VLOOKUP(G1087,'insumos terrapl'!$C$3:$K$47,6,0)</f>
        <v>00</v>
      </c>
      <c r="M1087" s="29" t="str">
        <f>VLOOKUP(G1087,'insumos terrapl'!$C$3:$K$47,7,0)</f>
        <v>00</v>
      </c>
      <c r="N1087" s="29" t="str">
        <f>VLOOKUP(G1087,'insumos terrapl'!$C$3:$K$47,8,0)</f>
        <v>00</v>
      </c>
      <c r="O1087" s="97" t="str">
        <f>VLOOKUP(G1087,'insumos terrapl'!$C$3:$K$47,9,0)</f>
        <v>00</v>
      </c>
    </row>
    <row r="1088" spans="1:15">
      <c r="A1088" s="125"/>
      <c r="B1088" s="127"/>
      <c r="C1088" s="125"/>
      <c r="D1088" s="115"/>
      <c r="E1088" s="115"/>
      <c r="F1088" s="11" t="s">
        <v>641</v>
      </c>
      <c r="G1088" s="20" t="s">
        <v>642</v>
      </c>
      <c r="H1088" s="29" t="str">
        <f>VLOOKUP(G1088,'insumos terrapl'!$C$3:$K$47,2,0)</f>
        <v>2N  58  06  00  00  00  00</v>
      </c>
      <c r="I1088" s="29" t="str">
        <f>VLOOKUP(G1088,'insumos terrapl'!$C$3:$K$47,3,0)</f>
        <v>2N</v>
      </c>
      <c r="J1088" s="29">
        <f>VLOOKUP(G1088,'insumos terrapl'!$C$3:$K$47,4,0)</f>
        <v>58</v>
      </c>
      <c r="K1088" s="29" t="str">
        <f>VLOOKUP(G1088,'insumos terrapl'!$C$3:$K$47,5,0)</f>
        <v>06</v>
      </c>
      <c r="L1088" s="29" t="str">
        <f>VLOOKUP(G1088,'insumos terrapl'!$C$3:$K$47,6,0)</f>
        <v>00</v>
      </c>
      <c r="M1088" s="29" t="str">
        <f>VLOOKUP(G1088,'insumos terrapl'!$C$3:$K$47,7,0)</f>
        <v>00</v>
      </c>
      <c r="N1088" s="29" t="str">
        <f>VLOOKUP(G1088,'insumos terrapl'!$C$3:$K$47,8,0)</f>
        <v>00</v>
      </c>
      <c r="O1088" s="97" t="str">
        <f>VLOOKUP(G1088,'insumos terrapl'!$C$3:$K$47,9,0)</f>
        <v>00</v>
      </c>
    </row>
    <row r="1089" spans="1:15">
      <c r="A1089" s="125"/>
      <c r="B1089" s="127"/>
      <c r="C1089" s="125"/>
      <c r="D1089" s="115"/>
      <c r="E1089" s="115"/>
      <c r="F1089" s="11" t="s">
        <v>619</v>
      </c>
      <c r="G1089" s="20" t="s">
        <v>620</v>
      </c>
      <c r="H1089" s="29"/>
      <c r="I1089" s="29"/>
      <c r="J1089" s="29"/>
      <c r="K1089" s="29"/>
      <c r="L1089" s="29"/>
      <c r="M1089" s="29"/>
      <c r="N1089" s="29"/>
      <c r="O1089" s="97"/>
    </row>
    <row r="1090" spans="1:15">
      <c r="A1090" s="125"/>
      <c r="B1090" s="127"/>
      <c r="C1090" s="125"/>
      <c r="D1090" s="115"/>
      <c r="E1090" s="115"/>
      <c r="F1090" s="11" t="s">
        <v>643</v>
      </c>
      <c r="G1090" s="20" t="s">
        <v>644</v>
      </c>
      <c r="H1090" s="29" t="str">
        <f>VLOOKUP(G1090,'insumos terrapl'!$C$3:$K$47,2,0)</f>
        <v>2N  58  06  00  00  00  00</v>
      </c>
      <c r="I1090" s="29" t="str">
        <f>VLOOKUP(G1090,'insumos terrapl'!$C$3:$K$47,3,0)</f>
        <v>2N</v>
      </c>
      <c r="J1090" s="29">
        <f>VLOOKUP(G1090,'insumos terrapl'!$C$3:$K$47,4,0)</f>
        <v>58</v>
      </c>
      <c r="K1090" s="29" t="str">
        <f>VLOOKUP(G1090,'insumos terrapl'!$C$3:$K$47,5,0)</f>
        <v>06</v>
      </c>
      <c r="L1090" s="29" t="str">
        <f>VLOOKUP(G1090,'insumos terrapl'!$C$3:$K$47,6,0)</f>
        <v>00</v>
      </c>
      <c r="M1090" s="29" t="str">
        <f>VLOOKUP(G1090,'insumos terrapl'!$C$3:$K$47,7,0)</f>
        <v>00</v>
      </c>
      <c r="N1090" s="29" t="str">
        <f>VLOOKUP(G1090,'insumos terrapl'!$C$3:$K$47,8,0)</f>
        <v>00</v>
      </c>
      <c r="O1090" s="97" t="str">
        <f>VLOOKUP(G1090,'insumos terrapl'!$C$3:$K$47,9,0)</f>
        <v>00</v>
      </c>
    </row>
    <row r="1091" spans="1:15">
      <c r="A1091" s="125"/>
      <c r="B1091" s="127"/>
      <c r="C1091" s="125"/>
      <c r="D1091" s="115"/>
      <c r="E1091" s="115"/>
      <c r="F1091" s="11" t="s">
        <v>645</v>
      </c>
      <c r="G1091" s="20" t="s">
        <v>646</v>
      </c>
      <c r="H1091" s="29" t="str">
        <f>VLOOKUP(G1091,'insumos terrapl'!$C$3:$K$47,2,0)</f>
        <v>2N  58  06  00  00  00  00</v>
      </c>
      <c r="I1091" s="29" t="str">
        <f>VLOOKUP(G1091,'insumos terrapl'!$C$3:$K$47,3,0)</f>
        <v>2N</v>
      </c>
      <c r="J1091" s="29">
        <f>VLOOKUP(G1091,'insumos terrapl'!$C$3:$K$47,4,0)</f>
        <v>58</v>
      </c>
      <c r="K1091" s="29" t="str">
        <f>VLOOKUP(G1091,'insumos terrapl'!$C$3:$K$47,5,0)</f>
        <v>06</v>
      </c>
      <c r="L1091" s="29" t="str">
        <f>VLOOKUP(G1091,'insumos terrapl'!$C$3:$K$47,6,0)</f>
        <v>00</v>
      </c>
      <c r="M1091" s="29" t="str">
        <f>VLOOKUP(G1091,'insumos terrapl'!$C$3:$K$47,7,0)</f>
        <v>00</v>
      </c>
      <c r="N1091" s="29" t="str">
        <f>VLOOKUP(G1091,'insumos terrapl'!$C$3:$K$47,8,0)</f>
        <v>00</v>
      </c>
      <c r="O1091" s="97" t="str">
        <f>VLOOKUP(G1091,'insumos terrapl'!$C$3:$K$47,9,0)</f>
        <v>00</v>
      </c>
    </row>
    <row r="1092" spans="1:15" ht="30">
      <c r="A1092" s="125"/>
      <c r="B1092" s="127"/>
      <c r="C1092" s="125"/>
      <c r="D1092" s="115"/>
      <c r="E1092" s="115"/>
      <c r="F1092" s="11" t="s">
        <v>647</v>
      </c>
      <c r="G1092" s="20" t="s">
        <v>648</v>
      </c>
      <c r="H1092" s="29" t="str">
        <f>VLOOKUP(G1092,'insumos terrapl'!$C$3:$K$47,2,0)</f>
        <v>2N  58  06  00  00  00  00</v>
      </c>
      <c r="I1092" s="29" t="str">
        <f>VLOOKUP(G1092,'insumos terrapl'!$C$3:$K$47,3,0)</f>
        <v>2N</v>
      </c>
      <c r="J1092" s="29">
        <f>VLOOKUP(G1092,'insumos terrapl'!$C$3:$K$47,4,0)</f>
        <v>58</v>
      </c>
      <c r="K1092" s="29" t="str">
        <f>VLOOKUP(G1092,'insumos terrapl'!$C$3:$K$47,5,0)</f>
        <v>06</v>
      </c>
      <c r="L1092" s="29" t="str">
        <f>VLOOKUP(G1092,'insumos terrapl'!$C$3:$K$47,6,0)</f>
        <v>00</v>
      </c>
      <c r="M1092" s="29" t="str">
        <f>VLOOKUP(G1092,'insumos terrapl'!$C$3:$K$47,7,0)</f>
        <v>00</v>
      </c>
      <c r="N1092" s="29" t="str">
        <f>VLOOKUP(G1092,'insumos terrapl'!$C$3:$K$47,8,0)</f>
        <v>00</v>
      </c>
      <c r="O1092" s="97" t="str">
        <f>VLOOKUP(G1092,'insumos terrapl'!$C$3:$K$47,9,0)</f>
        <v>00</v>
      </c>
    </row>
    <row r="1093" spans="1:15">
      <c r="A1093" s="125"/>
      <c r="B1093" s="127"/>
      <c r="C1093" s="125"/>
      <c r="D1093" s="115"/>
      <c r="E1093" s="115"/>
      <c r="F1093" s="11" t="s">
        <v>621</v>
      </c>
      <c r="G1093" s="20" t="s">
        <v>622</v>
      </c>
      <c r="H1093" s="29" t="str">
        <f>VLOOKUP(G1093,'insumos terrapl'!$C$3:$K$47,2,0)</f>
        <v>2N  58  06  00  00  00  00</v>
      </c>
      <c r="I1093" s="29" t="str">
        <f>VLOOKUP(G1093,'insumos terrapl'!$C$3:$K$47,3,0)</f>
        <v>2N</v>
      </c>
      <c r="J1093" s="29">
        <f>VLOOKUP(G1093,'insumos terrapl'!$C$3:$K$47,4,0)</f>
        <v>58</v>
      </c>
      <c r="K1093" s="29" t="str">
        <f>VLOOKUP(G1093,'insumos terrapl'!$C$3:$K$47,5,0)</f>
        <v>06</v>
      </c>
      <c r="L1093" s="29" t="str">
        <f>VLOOKUP(G1093,'insumos terrapl'!$C$3:$K$47,6,0)</f>
        <v>00</v>
      </c>
      <c r="M1093" s="29" t="str">
        <f>VLOOKUP(G1093,'insumos terrapl'!$C$3:$K$47,7,0)</f>
        <v>00</v>
      </c>
      <c r="N1093" s="29" t="str">
        <f>VLOOKUP(G1093,'insumos terrapl'!$C$3:$K$47,8,0)</f>
        <v>00</v>
      </c>
      <c r="O1093" s="97" t="str">
        <f>VLOOKUP(G1093,'insumos terrapl'!$C$3:$K$47,9,0)</f>
        <v>00</v>
      </c>
    </row>
    <row r="1094" spans="1:15">
      <c r="A1094" s="132"/>
      <c r="B1094" s="131"/>
      <c r="C1094" s="132"/>
      <c r="D1094" s="116"/>
      <c r="E1094" s="116"/>
      <c r="F1094" s="13"/>
      <c r="G1094" s="21"/>
      <c r="H1094" s="31"/>
      <c r="I1094" s="31"/>
      <c r="J1094" s="31"/>
      <c r="K1094" s="31"/>
      <c r="L1094" s="31"/>
      <c r="M1094" s="31"/>
      <c r="N1094" s="31"/>
      <c r="O1094" s="98"/>
    </row>
    <row r="1095" spans="1:15">
      <c r="A1095" s="133" t="s">
        <v>52</v>
      </c>
      <c r="B1095" s="136" t="s">
        <v>18</v>
      </c>
      <c r="C1095" s="124" t="s">
        <v>234</v>
      </c>
      <c r="D1095" s="114" t="str">
        <f>A1095</f>
        <v>2.6.8</v>
      </c>
      <c r="E1095" s="115" t="s">
        <v>492</v>
      </c>
      <c r="F1095" s="11" t="s">
        <v>234</v>
      </c>
      <c r="G1095" s="20"/>
      <c r="H1095" s="29"/>
      <c r="I1095" s="29"/>
      <c r="J1095" s="29"/>
      <c r="K1095" s="29"/>
      <c r="L1095" s="29"/>
      <c r="M1095" s="29"/>
      <c r="N1095" s="29"/>
      <c r="O1095" s="97"/>
    </row>
    <row r="1096" spans="1:15" ht="30">
      <c r="A1096" s="134"/>
      <c r="B1096" s="137"/>
      <c r="C1096" s="125"/>
      <c r="D1096" s="115"/>
      <c r="E1096" s="115"/>
      <c r="F1096" s="11" t="s">
        <v>659</v>
      </c>
      <c r="G1096" s="20" t="s">
        <v>660</v>
      </c>
      <c r="H1096" s="29" t="str">
        <f>VLOOKUP(G1096,'insumos terrapl'!$C$3:$K$47,2,0)</f>
        <v>2Q  66  10  02  00  00  00</v>
      </c>
      <c r="I1096" s="29" t="str">
        <f>VLOOKUP(G1096,'insumos terrapl'!$C$3:$K$47,3,0)</f>
        <v>2Q</v>
      </c>
      <c r="J1096" s="29">
        <f>VLOOKUP(G1096,'insumos terrapl'!$C$3:$K$47,4,0)</f>
        <v>66</v>
      </c>
      <c r="K1096" s="29" t="str">
        <f>VLOOKUP(G1096,'insumos terrapl'!$C$3:$K$47,5,0)</f>
        <v>10</v>
      </c>
      <c r="L1096" s="29" t="str">
        <f>VLOOKUP(G1096,'insumos terrapl'!$C$3:$K$47,6,0)</f>
        <v>02</v>
      </c>
      <c r="M1096" s="29" t="str">
        <f>VLOOKUP(G1096,'insumos terrapl'!$C$3:$K$47,7,0)</f>
        <v>00</v>
      </c>
      <c r="N1096" s="29" t="str">
        <f>VLOOKUP(G1096,'insumos terrapl'!$C$3:$K$47,8,0)</f>
        <v>00</v>
      </c>
      <c r="O1096" s="97" t="str">
        <f>VLOOKUP(G1096,'insumos terrapl'!$C$3:$K$47,9,0)</f>
        <v>00</v>
      </c>
    </row>
    <row r="1097" spans="1:15" ht="30">
      <c r="A1097" s="134"/>
      <c r="B1097" s="137"/>
      <c r="C1097" s="125"/>
      <c r="D1097" s="115"/>
      <c r="E1097" s="115"/>
      <c r="F1097" s="11" t="s">
        <v>661</v>
      </c>
      <c r="G1097" s="20" t="s">
        <v>662</v>
      </c>
      <c r="H1097" s="29" t="str">
        <f>VLOOKUP(G1097,'insumos terrapl'!$C$3:$K$47,2,0)</f>
        <v>2Q  62  10  06  00  00  00</v>
      </c>
      <c r="I1097" s="29" t="str">
        <f>VLOOKUP(G1097,'insumos terrapl'!$C$3:$K$47,3,0)</f>
        <v>2Q</v>
      </c>
      <c r="J1097" s="29">
        <f>VLOOKUP(G1097,'insumos terrapl'!$C$3:$K$47,4,0)</f>
        <v>62</v>
      </c>
      <c r="K1097" s="29" t="str">
        <f>VLOOKUP(G1097,'insumos terrapl'!$C$3:$K$47,5,0)</f>
        <v>10</v>
      </c>
      <c r="L1097" s="29" t="str">
        <f>VLOOKUP(G1097,'insumos terrapl'!$C$3:$K$47,6,0)</f>
        <v>06</v>
      </c>
      <c r="M1097" s="29" t="str">
        <f>VLOOKUP(G1097,'insumos terrapl'!$C$3:$K$47,7,0)</f>
        <v>00</v>
      </c>
      <c r="N1097" s="29" t="str">
        <f>VLOOKUP(G1097,'insumos terrapl'!$C$3:$K$47,8,0)</f>
        <v>00</v>
      </c>
      <c r="O1097" s="97" t="str">
        <f>VLOOKUP(G1097,'insumos terrapl'!$C$3:$K$47,9,0)</f>
        <v>00</v>
      </c>
    </row>
    <row r="1098" spans="1:15" ht="30">
      <c r="A1098" s="134"/>
      <c r="B1098" s="137"/>
      <c r="C1098" s="125"/>
      <c r="D1098" s="115"/>
      <c r="E1098" s="115"/>
      <c r="F1098" s="11" t="s">
        <v>607</v>
      </c>
      <c r="G1098" s="20" t="s">
        <v>608</v>
      </c>
      <c r="H1098" s="29" t="str">
        <f>VLOOKUP(G1098,'insumos terrapl'!$C$3:$K$47,2,0)</f>
        <v>2Q  42  06  18  02  02  00</v>
      </c>
      <c r="I1098" s="29" t="str">
        <f>VLOOKUP(G1098,'insumos terrapl'!$C$3:$K$47,3,0)</f>
        <v>2Q</v>
      </c>
      <c r="J1098" s="29">
        <f>VLOOKUP(G1098,'insumos terrapl'!$C$3:$K$47,4,0)</f>
        <v>42</v>
      </c>
      <c r="K1098" s="29" t="str">
        <f>VLOOKUP(G1098,'insumos terrapl'!$C$3:$K$47,5,0)</f>
        <v>06</v>
      </c>
      <c r="L1098" s="29">
        <f>VLOOKUP(G1098,'insumos terrapl'!$C$3:$K$47,6,0)</f>
        <v>18</v>
      </c>
      <c r="M1098" s="29" t="str">
        <f>VLOOKUP(G1098,'insumos terrapl'!$C$3:$K$47,7,0)</f>
        <v>02</v>
      </c>
      <c r="N1098" s="29" t="str">
        <f>VLOOKUP(G1098,'insumos terrapl'!$C$3:$K$47,8,0)</f>
        <v>02</v>
      </c>
      <c r="O1098" s="97" t="str">
        <f>VLOOKUP(G1098,'insumos terrapl'!$C$3:$K$47,9,0)</f>
        <v>00</v>
      </c>
    </row>
    <row r="1099" spans="1:15" ht="45">
      <c r="A1099" s="134"/>
      <c r="B1099" s="137"/>
      <c r="C1099" s="125"/>
      <c r="D1099" s="115"/>
      <c r="E1099" s="115"/>
      <c r="F1099" s="11" t="s">
        <v>609</v>
      </c>
      <c r="G1099" s="20" t="s">
        <v>610</v>
      </c>
      <c r="H1099" s="29" t="str">
        <f>VLOOKUP(G1099,'insumos terrapl'!$C$3:$K$47,2,0)</f>
        <v>2Q  42  06  02  14  02  00</v>
      </c>
      <c r="I1099" s="29" t="str">
        <f>VLOOKUP(G1099,'insumos terrapl'!$C$3:$K$47,3,0)</f>
        <v>2Q</v>
      </c>
      <c r="J1099" s="29">
        <f>VLOOKUP(G1099,'insumos terrapl'!$C$3:$K$47,4,0)</f>
        <v>42</v>
      </c>
      <c r="K1099" s="29" t="str">
        <f>VLOOKUP(G1099,'insumos terrapl'!$C$3:$K$47,5,0)</f>
        <v>06</v>
      </c>
      <c r="L1099" s="29" t="str">
        <f>VLOOKUP(G1099,'insumos terrapl'!$C$3:$K$47,6,0)</f>
        <v>02</v>
      </c>
      <c r="M1099" s="29" t="str">
        <f>VLOOKUP(G1099,'insumos terrapl'!$C$3:$K$47,7,0)</f>
        <v>14</v>
      </c>
      <c r="N1099" s="29" t="str">
        <f>VLOOKUP(G1099,'insumos terrapl'!$C$3:$K$47,8,0)</f>
        <v>02</v>
      </c>
      <c r="O1099" s="97" t="str">
        <f>VLOOKUP(G1099,'insumos terrapl'!$C$3:$K$47,9,0)</f>
        <v>00</v>
      </c>
    </row>
    <row r="1100" spans="1:15">
      <c r="A1100" s="134"/>
      <c r="B1100" s="137"/>
      <c r="C1100" s="125"/>
      <c r="D1100" s="115"/>
      <c r="E1100" s="115"/>
      <c r="F1100" s="11" t="s">
        <v>633</v>
      </c>
      <c r="G1100" s="20" t="s">
        <v>634</v>
      </c>
      <c r="H1100" s="29" t="str">
        <f>VLOOKUP(G1100,'insumos terrapl'!$C$3:$K$47,2,0)</f>
        <v>2Q  58  10  10  02  06  00</v>
      </c>
      <c r="I1100" s="29" t="str">
        <f>VLOOKUP(G1100,'insumos terrapl'!$C$3:$K$47,3,0)</f>
        <v>2Q</v>
      </c>
      <c r="J1100" s="29">
        <f>VLOOKUP(G1100,'insumos terrapl'!$C$3:$K$47,4,0)</f>
        <v>58</v>
      </c>
      <c r="K1100" s="29" t="str">
        <f>VLOOKUP(G1100,'insumos terrapl'!$C$3:$K$47,5,0)</f>
        <v>10</v>
      </c>
      <c r="L1100" s="29" t="str">
        <f>VLOOKUP(G1100,'insumos terrapl'!$C$3:$K$47,6,0)</f>
        <v>10</v>
      </c>
      <c r="M1100" s="29" t="str">
        <f>VLOOKUP(G1100,'insumos terrapl'!$C$3:$K$47,7,0)</f>
        <v>02</v>
      </c>
      <c r="N1100" s="29" t="str">
        <f>VLOOKUP(G1100,'insumos terrapl'!$C$3:$K$47,8,0)</f>
        <v>06</v>
      </c>
      <c r="O1100" s="97" t="str">
        <f>VLOOKUP(G1100,'insumos terrapl'!$C$3:$K$47,9,0)</f>
        <v>00</v>
      </c>
    </row>
    <row r="1101" spans="1:15">
      <c r="A1101" s="134"/>
      <c r="B1101" s="137"/>
      <c r="C1101" s="125"/>
      <c r="D1101" s="115"/>
      <c r="E1101" s="115"/>
      <c r="F1101" s="11" t="s">
        <v>586</v>
      </c>
      <c r="G1101" s="20" t="s">
        <v>587</v>
      </c>
      <c r="H1101" s="29" t="str">
        <f>VLOOKUP(G1101,'insumos terrapl'!$C$3:$K$47,2,0)</f>
        <v>2Q  62  30  02  14  00  00</v>
      </c>
      <c r="I1101" s="29" t="str">
        <f>VLOOKUP(G1101,'insumos terrapl'!$C$3:$K$47,3,0)</f>
        <v>2Q</v>
      </c>
      <c r="J1101" s="29">
        <f>VLOOKUP(G1101,'insumos terrapl'!$C$3:$K$47,4,0)</f>
        <v>62</v>
      </c>
      <c r="K1101" s="29">
        <f>VLOOKUP(G1101,'insumos terrapl'!$C$3:$K$47,5,0)</f>
        <v>30</v>
      </c>
      <c r="L1101" s="29" t="str">
        <f>VLOOKUP(G1101,'insumos terrapl'!$C$3:$K$47,6,0)</f>
        <v>02</v>
      </c>
      <c r="M1101" s="29" t="str">
        <f>VLOOKUP(G1101,'insumos terrapl'!$C$3:$K$47,7,0)</f>
        <v>14</v>
      </c>
      <c r="N1101" s="29" t="str">
        <f>VLOOKUP(G1101,'insumos terrapl'!$C$3:$K$47,8,0)</f>
        <v>00</v>
      </c>
      <c r="O1101" s="97" t="str">
        <f>VLOOKUP(G1101,'insumos terrapl'!$C$3:$K$47,9,0)</f>
        <v>00</v>
      </c>
    </row>
    <row r="1102" spans="1:15">
      <c r="A1102" s="134"/>
      <c r="B1102" s="137"/>
      <c r="C1102" s="125"/>
      <c r="D1102" s="115"/>
      <c r="E1102" s="115"/>
      <c r="F1102" s="11" t="s">
        <v>613</v>
      </c>
      <c r="G1102" s="20" t="s">
        <v>614</v>
      </c>
      <c r="H1102" s="29" t="str">
        <f>VLOOKUP(G1102,'insumos terrapl'!$C$3:$K$47,2,0)</f>
        <v>2N  20  14  02  00  00  00</v>
      </c>
      <c r="I1102" s="29" t="str">
        <f>VLOOKUP(G1102,'insumos terrapl'!$C$3:$K$47,3,0)</f>
        <v>2N</v>
      </c>
      <c r="J1102" s="29">
        <f>VLOOKUP(G1102,'insumos terrapl'!$C$3:$K$47,4,0)</f>
        <v>20</v>
      </c>
      <c r="K1102" s="29" t="str">
        <f>VLOOKUP(G1102,'insumos terrapl'!$C$3:$K$47,5,0)</f>
        <v>14</v>
      </c>
      <c r="L1102" s="29" t="str">
        <f>VLOOKUP(G1102,'insumos terrapl'!$C$3:$K$47,6,0)</f>
        <v>02</v>
      </c>
      <c r="M1102" s="29" t="str">
        <f>VLOOKUP(G1102,'insumos terrapl'!$C$3:$K$47,7,0)</f>
        <v>00</v>
      </c>
      <c r="N1102" s="29" t="str">
        <f>VLOOKUP(G1102,'insumos terrapl'!$C$3:$K$47,8,0)</f>
        <v>00</v>
      </c>
      <c r="O1102" s="97" t="str">
        <f>VLOOKUP(G1102,'insumos terrapl'!$C$3:$K$47,9,0)</f>
        <v>00</v>
      </c>
    </row>
    <row r="1103" spans="1:15">
      <c r="A1103" s="134"/>
      <c r="B1103" s="137"/>
      <c r="C1103" s="125"/>
      <c r="D1103" s="115"/>
      <c r="E1103" s="115"/>
      <c r="F1103" s="11" t="s">
        <v>615</v>
      </c>
      <c r="G1103" s="20" t="s">
        <v>616</v>
      </c>
      <c r="H1103" s="29" t="str">
        <f>VLOOKUP(G1103,'insumos terrapl'!$C$3:$K$47,2,0)</f>
        <v>2N  20  14  02  00  00  00</v>
      </c>
      <c r="I1103" s="29" t="str">
        <f>VLOOKUP(G1103,'insumos terrapl'!$C$3:$K$47,3,0)</f>
        <v>2N</v>
      </c>
      <c r="J1103" s="29">
        <f>VLOOKUP(G1103,'insumos terrapl'!$C$3:$K$47,4,0)</f>
        <v>20</v>
      </c>
      <c r="K1103" s="29" t="str">
        <f>VLOOKUP(G1103,'insumos terrapl'!$C$3:$K$47,5,0)</f>
        <v>14</v>
      </c>
      <c r="L1103" s="29" t="str">
        <f>VLOOKUP(G1103,'insumos terrapl'!$C$3:$K$47,6,0)</f>
        <v>02</v>
      </c>
      <c r="M1103" s="29" t="str">
        <f>VLOOKUP(G1103,'insumos terrapl'!$C$3:$K$47,7,0)</f>
        <v>00</v>
      </c>
      <c r="N1103" s="29" t="str">
        <f>VLOOKUP(G1103,'insumos terrapl'!$C$3:$K$47,8,0)</f>
        <v>00</v>
      </c>
      <c r="O1103" s="97" t="str">
        <f>VLOOKUP(G1103,'insumos terrapl'!$C$3:$K$47,9,0)</f>
        <v>00</v>
      </c>
    </row>
    <row r="1104" spans="1:15" ht="30">
      <c r="A1104" s="134"/>
      <c r="B1104" s="137"/>
      <c r="C1104" s="125"/>
      <c r="D1104" s="115"/>
      <c r="E1104" s="115"/>
      <c r="F1104" s="11" t="s">
        <v>635</v>
      </c>
      <c r="G1104" s="20" t="s">
        <v>636</v>
      </c>
      <c r="H1104" s="29" t="str">
        <f>VLOOKUP(G1104,'insumos terrapl'!$C$3:$K$47,2,0)</f>
        <v>2N  58  06  00  00  00  00</v>
      </c>
      <c r="I1104" s="29" t="str">
        <f>VLOOKUP(G1104,'insumos terrapl'!$C$3:$K$47,3,0)</f>
        <v>2N</v>
      </c>
      <c r="J1104" s="29">
        <f>VLOOKUP(G1104,'insumos terrapl'!$C$3:$K$47,4,0)</f>
        <v>58</v>
      </c>
      <c r="K1104" s="29" t="str">
        <f>VLOOKUP(G1104,'insumos terrapl'!$C$3:$K$47,5,0)</f>
        <v>06</v>
      </c>
      <c r="L1104" s="29" t="str">
        <f>VLOOKUP(G1104,'insumos terrapl'!$C$3:$K$47,6,0)</f>
        <v>00</v>
      </c>
      <c r="M1104" s="29" t="str">
        <f>VLOOKUP(G1104,'insumos terrapl'!$C$3:$K$47,7,0)</f>
        <v>00</v>
      </c>
      <c r="N1104" s="29" t="str">
        <f>VLOOKUP(G1104,'insumos terrapl'!$C$3:$K$47,8,0)</f>
        <v>00</v>
      </c>
      <c r="O1104" s="97" t="str">
        <f>VLOOKUP(G1104,'insumos terrapl'!$C$3:$K$47,9,0)</f>
        <v>00</v>
      </c>
    </row>
    <row r="1105" spans="1:15">
      <c r="A1105" s="134"/>
      <c r="B1105" s="137"/>
      <c r="C1105" s="125"/>
      <c r="D1105" s="115"/>
      <c r="E1105" s="115"/>
      <c r="F1105" s="11" t="s">
        <v>617</v>
      </c>
      <c r="G1105" s="20" t="s">
        <v>618</v>
      </c>
      <c r="H1105" s="29" t="str">
        <f>VLOOKUP(G1105,'insumos terrapl'!$C$3:$K$47,2,0)</f>
        <v>2Q  58  06  02  28  00  00</v>
      </c>
      <c r="I1105" s="29" t="str">
        <f>VLOOKUP(G1105,'insumos terrapl'!$C$3:$K$47,3,0)</f>
        <v>2Q</v>
      </c>
      <c r="J1105" s="29">
        <f>VLOOKUP(G1105,'insumos terrapl'!$C$3:$K$47,4,0)</f>
        <v>58</v>
      </c>
      <c r="K1105" s="29" t="str">
        <f>VLOOKUP(G1105,'insumos terrapl'!$C$3:$K$47,5,0)</f>
        <v>06</v>
      </c>
      <c r="L1105" s="29" t="str">
        <f>VLOOKUP(G1105,'insumos terrapl'!$C$3:$K$47,6,0)</f>
        <v>02</v>
      </c>
      <c r="M1105" s="29" t="str">
        <f>VLOOKUP(G1105,'insumos terrapl'!$C$3:$K$47,7,0)</f>
        <v>28</v>
      </c>
      <c r="N1105" s="29" t="str">
        <f>VLOOKUP(G1105,'insumos terrapl'!$C$3:$K$47,8,0)</f>
        <v>00</v>
      </c>
      <c r="O1105" s="97" t="str">
        <f>VLOOKUP(G1105,'insumos terrapl'!$C$3:$K$47,9,0)</f>
        <v>00</v>
      </c>
    </row>
    <row r="1106" spans="1:15" ht="30">
      <c r="A1106" s="134"/>
      <c r="B1106" s="137"/>
      <c r="C1106" s="125"/>
      <c r="D1106" s="115"/>
      <c r="E1106" s="115"/>
      <c r="F1106" s="11" t="s">
        <v>637</v>
      </c>
      <c r="G1106" s="20" t="s">
        <v>638</v>
      </c>
      <c r="H1106" s="29" t="str">
        <f>VLOOKUP(G1106,'insumos terrapl'!$C$3:$K$47,2,0)</f>
        <v>2N  58  06  00  00  00  00</v>
      </c>
      <c r="I1106" s="29" t="str">
        <f>VLOOKUP(G1106,'insumos terrapl'!$C$3:$K$47,3,0)</f>
        <v>2N</v>
      </c>
      <c r="J1106" s="29">
        <f>VLOOKUP(G1106,'insumos terrapl'!$C$3:$K$47,4,0)</f>
        <v>58</v>
      </c>
      <c r="K1106" s="29" t="str">
        <f>VLOOKUP(G1106,'insumos terrapl'!$C$3:$K$47,5,0)</f>
        <v>06</v>
      </c>
      <c r="L1106" s="29" t="str">
        <f>VLOOKUP(G1106,'insumos terrapl'!$C$3:$K$47,6,0)</f>
        <v>00</v>
      </c>
      <c r="M1106" s="29" t="str">
        <f>VLOOKUP(G1106,'insumos terrapl'!$C$3:$K$47,7,0)</f>
        <v>00</v>
      </c>
      <c r="N1106" s="29" t="str">
        <f>VLOOKUP(G1106,'insumos terrapl'!$C$3:$K$47,8,0)</f>
        <v>00</v>
      </c>
      <c r="O1106" s="97" t="str">
        <f>VLOOKUP(G1106,'insumos terrapl'!$C$3:$K$47,9,0)</f>
        <v>00</v>
      </c>
    </row>
    <row r="1107" spans="1:15" ht="30">
      <c r="A1107" s="134"/>
      <c r="B1107" s="137"/>
      <c r="C1107" s="125"/>
      <c r="D1107" s="115"/>
      <c r="E1107" s="115"/>
      <c r="F1107" s="11" t="s">
        <v>639</v>
      </c>
      <c r="G1107" s="20" t="s">
        <v>640</v>
      </c>
      <c r="H1107" s="29" t="str">
        <f>VLOOKUP(G1107,'insumos terrapl'!$C$3:$K$47,2,0)</f>
        <v>2N  58  06  00  00  00  00</v>
      </c>
      <c r="I1107" s="29" t="str">
        <f>VLOOKUP(G1107,'insumos terrapl'!$C$3:$K$47,3,0)</f>
        <v>2N</v>
      </c>
      <c r="J1107" s="29">
        <f>VLOOKUP(G1107,'insumos terrapl'!$C$3:$K$47,4,0)</f>
        <v>58</v>
      </c>
      <c r="K1107" s="29" t="str">
        <f>VLOOKUP(G1107,'insumos terrapl'!$C$3:$K$47,5,0)</f>
        <v>06</v>
      </c>
      <c r="L1107" s="29" t="str">
        <f>VLOOKUP(G1107,'insumos terrapl'!$C$3:$K$47,6,0)</f>
        <v>00</v>
      </c>
      <c r="M1107" s="29" t="str">
        <f>VLOOKUP(G1107,'insumos terrapl'!$C$3:$K$47,7,0)</f>
        <v>00</v>
      </c>
      <c r="N1107" s="29" t="str">
        <f>VLOOKUP(G1107,'insumos terrapl'!$C$3:$K$47,8,0)</f>
        <v>00</v>
      </c>
      <c r="O1107" s="97" t="str">
        <f>VLOOKUP(G1107,'insumos terrapl'!$C$3:$K$47,9,0)</f>
        <v>00</v>
      </c>
    </row>
    <row r="1108" spans="1:15">
      <c r="A1108" s="134"/>
      <c r="B1108" s="137"/>
      <c r="C1108" s="125"/>
      <c r="D1108" s="115"/>
      <c r="E1108" s="115"/>
      <c r="F1108" s="11" t="s">
        <v>641</v>
      </c>
      <c r="G1108" s="20" t="s">
        <v>642</v>
      </c>
      <c r="H1108" s="29" t="str">
        <f>VLOOKUP(G1108,'insumos terrapl'!$C$3:$K$47,2,0)</f>
        <v>2N  58  06  00  00  00  00</v>
      </c>
      <c r="I1108" s="29" t="str">
        <f>VLOOKUP(G1108,'insumos terrapl'!$C$3:$K$47,3,0)</f>
        <v>2N</v>
      </c>
      <c r="J1108" s="29">
        <f>VLOOKUP(G1108,'insumos terrapl'!$C$3:$K$47,4,0)</f>
        <v>58</v>
      </c>
      <c r="K1108" s="29" t="str">
        <f>VLOOKUP(G1108,'insumos terrapl'!$C$3:$K$47,5,0)</f>
        <v>06</v>
      </c>
      <c r="L1108" s="29" t="str">
        <f>VLOOKUP(G1108,'insumos terrapl'!$C$3:$K$47,6,0)</f>
        <v>00</v>
      </c>
      <c r="M1108" s="29" t="str">
        <f>VLOOKUP(G1108,'insumos terrapl'!$C$3:$K$47,7,0)</f>
        <v>00</v>
      </c>
      <c r="N1108" s="29" t="str">
        <f>VLOOKUP(G1108,'insumos terrapl'!$C$3:$K$47,8,0)</f>
        <v>00</v>
      </c>
      <c r="O1108" s="97" t="str">
        <f>VLOOKUP(G1108,'insumos terrapl'!$C$3:$K$47,9,0)</f>
        <v>00</v>
      </c>
    </row>
    <row r="1109" spans="1:15">
      <c r="A1109" s="134"/>
      <c r="B1109" s="137"/>
      <c r="C1109" s="125"/>
      <c r="D1109" s="115"/>
      <c r="E1109" s="115"/>
      <c r="F1109" s="11" t="s">
        <v>619</v>
      </c>
      <c r="G1109" s="20" t="s">
        <v>620</v>
      </c>
      <c r="H1109" s="29"/>
      <c r="I1109" s="29"/>
      <c r="J1109" s="29"/>
      <c r="K1109" s="29"/>
      <c r="L1109" s="29"/>
      <c r="M1109" s="29"/>
      <c r="N1109" s="29"/>
      <c r="O1109" s="97"/>
    </row>
    <row r="1110" spans="1:15">
      <c r="A1110" s="134"/>
      <c r="B1110" s="137"/>
      <c r="C1110" s="125"/>
      <c r="D1110" s="115"/>
      <c r="E1110" s="115"/>
      <c r="F1110" s="11" t="s">
        <v>643</v>
      </c>
      <c r="G1110" s="20" t="s">
        <v>644</v>
      </c>
      <c r="H1110" s="29" t="str">
        <f>VLOOKUP(G1110,'insumos terrapl'!$C$3:$K$47,2,0)</f>
        <v>2N  58  06  00  00  00  00</v>
      </c>
      <c r="I1110" s="29" t="str">
        <f>VLOOKUP(G1110,'insumos terrapl'!$C$3:$K$47,3,0)</f>
        <v>2N</v>
      </c>
      <c r="J1110" s="29">
        <f>VLOOKUP(G1110,'insumos terrapl'!$C$3:$K$47,4,0)</f>
        <v>58</v>
      </c>
      <c r="K1110" s="29" t="str">
        <f>VLOOKUP(G1110,'insumos terrapl'!$C$3:$K$47,5,0)</f>
        <v>06</v>
      </c>
      <c r="L1110" s="29" t="str">
        <f>VLOOKUP(G1110,'insumos terrapl'!$C$3:$K$47,6,0)</f>
        <v>00</v>
      </c>
      <c r="M1110" s="29" t="str">
        <f>VLOOKUP(G1110,'insumos terrapl'!$C$3:$K$47,7,0)</f>
        <v>00</v>
      </c>
      <c r="N1110" s="29" t="str">
        <f>VLOOKUP(G1110,'insumos terrapl'!$C$3:$K$47,8,0)</f>
        <v>00</v>
      </c>
      <c r="O1110" s="97" t="str">
        <f>VLOOKUP(G1110,'insumos terrapl'!$C$3:$K$47,9,0)</f>
        <v>00</v>
      </c>
    </row>
    <row r="1111" spans="1:15">
      <c r="A1111" s="134"/>
      <c r="B1111" s="137"/>
      <c r="C1111" s="125"/>
      <c r="D1111" s="115"/>
      <c r="E1111" s="115"/>
      <c r="F1111" s="11" t="s">
        <v>645</v>
      </c>
      <c r="G1111" s="20" t="s">
        <v>646</v>
      </c>
      <c r="H1111" s="29" t="str">
        <f>VLOOKUP(G1111,'insumos terrapl'!$C$3:$K$47,2,0)</f>
        <v>2N  58  06  00  00  00  00</v>
      </c>
      <c r="I1111" s="29" t="str">
        <f>VLOOKUP(G1111,'insumos terrapl'!$C$3:$K$47,3,0)</f>
        <v>2N</v>
      </c>
      <c r="J1111" s="29">
        <f>VLOOKUP(G1111,'insumos terrapl'!$C$3:$K$47,4,0)</f>
        <v>58</v>
      </c>
      <c r="K1111" s="29" t="str">
        <f>VLOOKUP(G1111,'insumos terrapl'!$C$3:$K$47,5,0)</f>
        <v>06</v>
      </c>
      <c r="L1111" s="29" t="str">
        <f>VLOOKUP(G1111,'insumos terrapl'!$C$3:$K$47,6,0)</f>
        <v>00</v>
      </c>
      <c r="M1111" s="29" t="str">
        <f>VLOOKUP(G1111,'insumos terrapl'!$C$3:$K$47,7,0)</f>
        <v>00</v>
      </c>
      <c r="N1111" s="29" t="str">
        <f>VLOOKUP(G1111,'insumos terrapl'!$C$3:$K$47,8,0)</f>
        <v>00</v>
      </c>
      <c r="O1111" s="97" t="str">
        <f>VLOOKUP(G1111,'insumos terrapl'!$C$3:$K$47,9,0)</f>
        <v>00</v>
      </c>
    </row>
    <row r="1112" spans="1:15" ht="30">
      <c r="A1112" s="134"/>
      <c r="B1112" s="137"/>
      <c r="C1112" s="125"/>
      <c r="D1112" s="115"/>
      <c r="E1112" s="115"/>
      <c r="F1112" s="11" t="s">
        <v>647</v>
      </c>
      <c r="G1112" s="20" t="s">
        <v>648</v>
      </c>
      <c r="H1112" s="29" t="str">
        <f>VLOOKUP(G1112,'insumos terrapl'!$C$3:$K$47,2,0)</f>
        <v>2N  58  06  00  00  00  00</v>
      </c>
      <c r="I1112" s="29" t="str">
        <f>VLOOKUP(G1112,'insumos terrapl'!$C$3:$K$47,3,0)</f>
        <v>2N</v>
      </c>
      <c r="J1112" s="29">
        <f>VLOOKUP(G1112,'insumos terrapl'!$C$3:$K$47,4,0)</f>
        <v>58</v>
      </c>
      <c r="K1112" s="29" t="str">
        <f>VLOOKUP(G1112,'insumos terrapl'!$C$3:$K$47,5,0)</f>
        <v>06</v>
      </c>
      <c r="L1112" s="29" t="str">
        <f>VLOOKUP(G1112,'insumos terrapl'!$C$3:$K$47,6,0)</f>
        <v>00</v>
      </c>
      <c r="M1112" s="29" t="str">
        <f>VLOOKUP(G1112,'insumos terrapl'!$C$3:$K$47,7,0)</f>
        <v>00</v>
      </c>
      <c r="N1112" s="29" t="str">
        <f>VLOOKUP(G1112,'insumos terrapl'!$C$3:$K$47,8,0)</f>
        <v>00</v>
      </c>
      <c r="O1112" s="97" t="str">
        <f>VLOOKUP(G1112,'insumos terrapl'!$C$3:$K$47,9,0)</f>
        <v>00</v>
      </c>
    </row>
    <row r="1113" spans="1:15">
      <c r="A1113" s="134"/>
      <c r="B1113" s="137"/>
      <c r="C1113" s="125"/>
      <c r="D1113" s="115"/>
      <c r="E1113" s="115"/>
      <c r="F1113" s="11" t="s">
        <v>621</v>
      </c>
      <c r="G1113" s="20" t="s">
        <v>622</v>
      </c>
      <c r="H1113" s="29" t="str">
        <f>VLOOKUP(G1113,'insumos terrapl'!$C$3:$K$47,2,0)</f>
        <v>2N  58  06  00  00  00  00</v>
      </c>
      <c r="I1113" s="29" t="str">
        <f>VLOOKUP(G1113,'insumos terrapl'!$C$3:$K$47,3,0)</f>
        <v>2N</v>
      </c>
      <c r="J1113" s="29">
        <f>VLOOKUP(G1113,'insumos terrapl'!$C$3:$K$47,4,0)</f>
        <v>58</v>
      </c>
      <c r="K1113" s="29" t="str">
        <f>VLOOKUP(G1113,'insumos terrapl'!$C$3:$K$47,5,0)</f>
        <v>06</v>
      </c>
      <c r="L1113" s="29" t="str">
        <f>VLOOKUP(G1113,'insumos terrapl'!$C$3:$K$47,6,0)</f>
        <v>00</v>
      </c>
      <c r="M1113" s="29" t="str">
        <f>VLOOKUP(G1113,'insumos terrapl'!$C$3:$K$47,7,0)</f>
        <v>00</v>
      </c>
      <c r="N1113" s="29" t="str">
        <f>VLOOKUP(G1113,'insumos terrapl'!$C$3:$K$47,8,0)</f>
        <v>00</v>
      </c>
      <c r="O1113" s="97" t="str">
        <f>VLOOKUP(G1113,'insumos terrapl'!$C$3:$K$47,9,0)</f>
        <v>00</v>
      </c>
    </row>
    <row r="1114" spans="1:15">
      <c r="A1114" s="134"/>
      <c r="B1114" s="137"/>
      <c r="C1114" s="132"/>
      <c r="D1114" s="116"/>
      <c r="E1114" s="115"/>
      <c r="F1114" s="10"/>
      <c r="G1114" s="20"/>
      <c r="H1114" s="29"/>
      <c r="I1114" s="29"/>
      <c r="J1114" s="29"/>
      <c r="K1114" s="29"/>
      <c r="L1114" s="29"/>
      <c r="M1114" s="29"/>
      <c r="N1114" s="29"/>
      <c r="O1114" s="97"/>
    </row>
    <row r="1115" spans="1:15">
      <c r="A1115" s="134"/>
      <c r="B1115" s="137"/>
      <c r="C1115" s="124" t="s">
        <v>235</v>
      </c>
      <c r="D1115" s="114" t="str">
        <f>A1095</f>
        <v>2.6.8</v>
      </c>
      <c r="E1115" s="114" t="s">
        <v>493</v>
      </c>
      <c r="F1115" s="12" t="s">
        <v>235</v>
      </c>
      <c r="G1115" s="19"/>
      <c r="H1115" s="28"/>
      <c r="I1115" s="28"/>
      <c r="J1115" s="28"/>
      <c r="K1115" s="28"/>
      <c r="L1115" s="28"/>
      <c r="M1115" s="28"/>
      <c r="N1115" s="28"/>
      <c r="O1115" s="99"/>
    </row>
    <row r="1116" spans="1:15" ht="30">
      <c r="A1116" s="134"/>
      <c r="B1116" s="137"/>
      <c r="C1116" s="125"/>
      <c r="D1116" s="115"/>
      <c r="E1116" s="115"/>
      <c r="F1116" s="11" t="s">
        <v>659</v>
      </c>
      <c r="G1116" s="20" t="s">
        <v>660</v>
      </c>
      <c r="H1116" s="29" t="str">
        <f>VLOOKUP(G1116,'insumos terrapl'!$C$3:$K$47,2,0)</f>
        <v>2Q  66  10  02  00  00  00</v>
      </c>
      <c r="I1116" s="29" t="str">
        <f>VLOOKUP(G1116,'insumos terrapl'!$C$3:$K$47,3,0)</f>
        <v>2Q</v>
      </c>
      <c r="J1116" s="29">
        <f>VLOOKUP(G1116,'insumos terrapl'!$C$3:$K$47,4,0)</f>
        <v>66</v>
      </c>
      <c r="K1116" s="29" t="str">
        <f>VLOOKUP(G1116,'insumos terrapl'!$C$3:$K$47,5,0)</f>
        <v>10</v>
      </c>
      <c r="L1116" s="29" t="str">
        <f>VLOOKUP(G1116,'insumos terrapl'!$C$3:$K$47,6,0)</f>
        <v>02</v>
      </c>
      <c r="M1116" s="29" t="str">
        <f>VLOOKUP(G1116,'insumos terrapl'!$C$3:$K$47,7,0)</f>
        <v>00</v>
      </c>
      <c r="N1116" s="29" t="str">
        <f>VLOOKUP(G1116,'insumos terrapl'!$C$3:$K$47,8,0)</f>
        <v>00</v>
      </c>
      <c r="O1116" s="97" t="str">
        <f>VLOOKUP(G1116,'insumos terrapl'!$C$3:$K$47,9,0)</f>
        <v>00</v>
      </c>
    </row>
    <row r="1117" spans="1:15" ht="30">
      <c r="A1117" s="134"/>
      <c r="B1117" s="137"/>
      <c r="C1117" s="125"/>
      <c r="D1117" s="115"/>
      <c r="E1117" s="115"/>
      <c r="F1117" s="11" t="s">
        <v>661</v>
      </c>
      <c r="G1117" s="20" t="s">
        <v>662</v>
      </c>
      <c r="H1117" s="29" t="str">
        <f>VLOOKUP(G1117,'insumos terrapl'!$C$3:$K$47,2,0)</f>
        <v>2Q  62  10  06  00  00  00</v>
      </c>
      <c r="I1117" s="29" t="str">
        <f>VLOOKUP(G1117,'insumos terrapl'!$C$3:$K$47,3,0)</f>
        <v>2Q</v>
      </c>
      <c r="J1117" s="29">
        <f>VLOOKUP(G1117,'insumos terrapl'!$C$3:$K$47,4,0)</f>
        <v>62</v>
      </c>
      <c r="K1117" s="29" t="str">
        <f>VLOOKUP(G1117,'insumos terrapl'!$C$3:$K$47,5,0)</f>
        <v>10</v>
      </c>
      <c r="L1117" s="29" t="str">
        <f>VLOOKUP(G1117,'insumos terrapl'!$C$3:$K$47,6,0)</f>
        <v>06</v>
      </c>
      <c r="M1117" s="29" t="str">
        <f>VLOOKUP(G1117,'insumos terrapl'!$C$3:$K$47,7,0)</f>
        <v>00</v>
      </c>
      <c r="N1117" s="29" t="str">
        <f>VLOOKUP(G1117,'insumos terrapl'!$C$3:$K$47,8,0)</f>
        <v>00</v>
      </c>
      <c r="O1117" s="97" t="str">
        <f>VLOOKUP(G1117,'insumos terrapl'!$C$3:$K$47,9,0)</f>
        <v>00</v>
      </c>
    </row>
    <row r="1118" spans="1:15" ht="30">
      <c r="A1118" s="134"/>
      <c r="B1118" s="137"/>
      <c r="C1118" s="125"/>
      <c r="D1118" s="115"/>
      <c r="E1118" s="115"/>
      <c r="F1118" s="11" t="s">
        <v>607</v>
      </c>
      <c r="G1118" s="20" t="s">
        <v>608</v>
      </c>
      <c r="H1118" s="29" t="str">
        <f>VLOOKUP(G1118,'insumos terrapl'!$C$3:$K$47,2,0)</f>
        <v>2Q  42  06  18  02  02  00</v>
      </c>
      <c r="I1118" s="29" t="str">
        <f>VLOOKUP(G1118,'insumos terrapl'!$C$3:$K$47,3,0)</f>
        <v>2Q</v>
      </c>
      <c r="J1118" s="29">
        <f>VLOOKUP(G1118,'insumos terrapl'!$C$3:$K$47,4,0)</f>
        <v>42</v>
      </c>
      <c r="K1118" s="29" t="str">
        <f>VLOOKUP(G1118,'insumos terrapl'!$C$3:$K$47,5,0)</f>
        <v>06</v>
      </c>
      <c r="L1118" s="29">
        <f>VLOOKUP(G1118,'insumos terrapl'!$C$3:$K$47,6,0)</f>
        <v>18</v>
      </c>
      <c r="M1118" s="29" t="str">
        <f>VLOOKUP(G1118,'insumos terrapl'!$C$3:$K$47,7,0)</f>
        <v>02</v>
      </c>
      <c r="N1118" s="29" t="str">
        <f>VLOOKUP(G1118,'insumos terrapl'!$C$3:$K$47,8,0)</f>
        <v>02</v>
      </c>
      <c r="O1118" s="97" t="str">
        <f>VLOOKUP(G1118,'insumos terrapl'!$C$3:$K$47,9,0)</f>
        <v>00</v>
      </c>
    </row>
    <row r="1119" spans="1:15" ht="45">
      <c r="A1119" s="134"/>
      <c r="B1119" s="137"/>
      <c r="C1119" s="125"/>
      <c r="D1119" s="115"/>
      <c r="E1119" s="115"/>
      <c r="F1119" s="11" t="s">
        <v>609</v>
      </c>
      <c r="G1119" s="20" t="s">
        <v>610</v>
      </c>
      <c r="H1119" s="29" t="str">
        <f>VLOOKUP(G1119,'insumos terrapl'!$C$3:$K$47,2,0)</f>
        <v>2Q  42  06  02  14  02  00</v>
      </c>
      <c r="I1119" s="29" t="str">
        <f>VLOOKUP(G1119,'insumos terrapl'!$C$3:$K$47,3,0)</f>
        <v>2Q</v>
      </c>
      <c r="J1119" s="29">
        <f>VLOOKUP(G1119,'insumos terrapl'!$C$3:$K$47,4,0)</f>
        <v>42</v>
      </c>
      <c r="K1119" s="29" t="str">
        <f>VLOOKUP(G1119,'insumos terrapl'!$C$3:$K$47,5,0)</f>
        <v>06</v>
      </c>
      <c r="L1119" s="29" t="str">
        <f>VLOOKUP(G1119,'insumos terrapl'!$C$3:$K$47,6,0)</f>
        <v>02</v>
      </c>
      <c r="M1119" s="29" t="str">
        <f>VLOOKUP(G1119,'insumos terrapl'!$C$3:$K$47,7,0)</f>
        <v>14</v>
      </c>
      <c r="N1119" s="29" t="str">
        <f>VLOOKUP(G1119,'insumos terrapl'!$C$3:$K$47,8,0)</f>
        <v>02</v>
      </c>
      <c r="O1119" s="97" t="str">
        <f>VLOOKUP(G1119,'insumos terrapl'!$C$3:$K$47,9,0)</f>
        <v>00</v>
      </c>
    </row>
    <row r="1120" spans="1:15">
      <c r="A1120" s="134"/>
      <c r="B1120" s="137"/>
      <c r="C1120" s="125"/>
      <c r="D1120" s="115"/>
      <c r="E1120" s="115"/>
      <c r="F1120" s="11" t="s">
        <v>633</v>
      </c>
      <c r="G1120" s="20" t="s">
        <v>634</v>
      </c>
      <c r="H1120" s="29" t="str">
        <f>VLOOKUP(G1120,'insumos terrapl'!$C$3:$K$47,2,0)</f>
        <v>2Q  58  10  10  02  06  00</v>
      </c>
      <c r="I1120" s="29" t="str">
        <f>VLOOKUP(G1120,'insumos terrapl'!$C$3:$K$47,3,0)</f>
        <v>2Q</v>
      </c>
      <c r="J1120" s="29">
        <f>VLOOKUP(G1120,'insumos terrapl'!$C$3:$K$47,4,0)</f>
        <v>58</v>
      </c>
      <c r="K1120" s="29" t="str">
        <f>VLOOKUP(G1120,'insumos terrapl'!$C$3:$K$47,5,0)</f>
        <v>10</v>
      </c>
      <c r="L1120" s="29" t="str">
        <f>VLOOKUP(G1120,'insumos terrapl'!$C$3:$K$47,6,0)</f>
        <v>10</v>
      </c>
      <c r="M1120" s="29" t="str">
        <f>VLOOKUP(G1120,'insumos terrapl'!$C$3:$K$47,7,0)</f>
        <v>02</v>
      </c>
      <c r="N1120" s="29" t="str">
        <f>VLOOKUP(G1120,'insumos terrapl'!$C$3:$K$47,8,0)</f>
        <v>06</v>
      </c>
      <c r="O1120" s="97" t="str">
        <f>VLOOKUP(G1120,'insumos terrapl'!$C$3:$K$47,9,0)</f>
        <v>00</v>
      </c>
    </row>
    <row r="1121" spans="1:15">
      <c r="A1121" s="134"/>
      <c r="B1121" s="137"/>
      <c r="C1121" s="125"/>
      <c r="D1121" s="115"/>
      <c r="E1121" s="115"/>
      <c r="F1121" s="11" t="s">
        <v>586</v>
      </c>
      <c r="G1121" s="20" t="s">
        <v>587</v>
      </c>
      <c r="H1121" s="29" t="str">
        <f>VLOOKUP(G1121,'insumos terrapl'!$C$3:$K$47,2,0)</f>
        <v>2Q  62  30  02  14  00  00</v>
      </c>
      <c r="I1121" s="29" t="str">
        <f>VLOOKUP(G1121,'insumos terrapl'!$C$3:$K$47,3,0)</f>
        <v>2Q</v>
      </c>
      <c r="J1121" s="29">
        <f>VLOOKUP(G1121,'insumos terrapl'!$C$3:$K$47,4,0)</f>
        <v>62</v>
      </c>
      <c r="K1121" s="29">
        <f>VLOOKUP(G1121,'insumos terrapl'!$C$3:$K$47,5,0)</f>
        <v>30</v>
      </c>
      <c r="L1121" s="29" t="str">
        <f>VLOOKUP(G1121,'insumos terrapl'!$C$3:$K$47,6,0)</f>
        <v>02</v>
      </c>
      <c r="M1121" s="29" t="str">
        <f>VLOOKUP(G1121,'insumos terrapl'!$C$3:$K$47,7,0)</f>
        <v>14</v>
      </c>
      <c r="N1121" s="29" t="str">
        <f>VLOOKUP(G1121,'insumos terrapl'!$C$3:$K$47,8,0)</f>
        <v>00</v>
      </c>
      <c r="O1121" s="97" t="str">
        <f>VLOOKUP(G1121,'insumos terrapl'!$C$3:$K$47,9,0)</f>
        <v>00</v>
      </c>
    </row>
    <row r="1122" spans="1:15">
      <c r="A1122" s="134"/>
      <c r="B1122" s="137"/>
      <c r="C1122" s="125"/>
      <c r="D1122" s="115"/>
      <c r="E1122" s="115"/>
      <c r="F1122" s="11" t="s">
        <v>613</v>
      </c>
      <c r="G1122" s="20" t="s">
        <v>614</v>
      </c>
      <c r="H1122" s="29" t="str">
        <f>VLOOKUP(G1122,'insumos terrapl'!$C$3:$K$47,2,0)</f>
        <v>2N  20  14  02  00  00  00</v>
      </c>
      <c r="I1122" s="29" t="str">
        <f>VLOOKUP(G1122,'insumos terrapl'!$C$3:$K$47,3,0)</f>
        <v>2N</v>
      </c>
      <c r="J1122" s="29">
        <f>VLOOKUP(G1122,'insumos terrapl'!$C$3:$K$47,4,0)</f>
        <v>20</v>
      </c>
      <c r="K1122" s="29" t="str">
        <f>VLOOKUP(G1122,'insumos terrapl'!$C$3:$K$47,5,0)</f>
        <v>14</v>
      </c>
      <c r="L1122" s="29" t="str">
        <f>VLOOKUP(G1122,'insumos terrapl'!$C$3:$K$47,6,0)</f>
        <v>02</v>
      </c>
      <c r="M1122" s="29" t="str">
        <f>VLOOKUP(G1122,'insumos terrapl'!$C$3:$K$47,7,0)</f>
        <v>00</v>
      </c>
      <c r="N1122" s="29" t="str">
        <f>VLOOKUP(G1122,'insumos terrapl'!$C$3:$K$47,8,0)</f>
        <v>00</v>
      </c>
      <c r="O1122" s="97" t="str">
        <f>VLOOKUP(G1122,'insumos terrapl'!$C$3:$K$47,9,0)</f>
        <v>00</v>
      </c>
    </row>
    <row r="1123" spans="1:15">
      <c r="A1123" s="134"/>
      <c r="B1123" s="137"/>
      <c r="C1123" s="125"/>
      <c r="D1123" s="115"/>
      <c r="E1123" s="115"/>
      <c r="F1123" s="11" t="s">
        <v>615</v>
      </c>
      <c r="G1123" s="20" t="s">
        <v>616</v>
      </c>
      <c r="H1123" s="29" t="str">
        <f>VLOOKUP(G1123,'insumos terrapl'!$C$3:$K$47,2,0)</f>
        <v>2N  20  14  02  00  00  00</v>
      </c>
      <c r="I1123" s="29" t="str">
        <f>VLOOKUP(G1123,'insumos terrapl'!$C$3:$K$47,3,0)</f>
        <v>2N</v>
      </c>
      <c r="J1123" s="29">
        <f>VLOOKUP(G1123,'insumos terrapl'!$C$3:$K$47,4,0)</f>
        <v>20</v>
      </c>
      <c r="K1123" s="29" t="str">
        <f>VLOOKUP(G1123,'insumos terrapl'!$C$3:$K$47,5,0)</f>
        <v>14</v>
      </c>
      <c r="L1123" s="29" t="str">
        <f>VLOOKUP(G1123,'insumos terrapl'!$C$3:$K$47,6,0)</f>
        <v>02</v>
      </c>
      <c r="M1123" s="29" t="str">
        <f>VLOOKUP(G1123,'insumos terrapl'!$C$3:$K$47,7,0)</f>
        <v>00</v>
      </c>
      <c r="N1123" s="29" t="str">
        <f>VLOOKUP(G1123,'insumos terrapl'!$C$3:$K$47,8,0)</f>
        <v>00</v>
      </c>
      <c r="O1123" s="97" t="str">
        <f>VLOOKUP(G1123,'insumos terrapl'!$C$3:$K$47,9,0)</f>
        <v>00</v>
      </c>
    </row>
    <row r="1124" spans="1:15" ht="30">
      <c r="A1124" s="134"/>
      <c r="B1124" s="137"/>
      <c r="C1124" s="125"/>
      <c r="D1124" s="115"/>
      <c r="E1124" s="115"/>
      <c r="F1124" s="11" t="s">
        <v>635</v>
      </c>
      <c r="G1124" s="20" t="s">
        <v>636</v>
      </c>
      <c r="H1124" s="29" t="str">
        <f>VLOOKUP(G1124,'insumos terrapl'!$C$3:$K$47,2,0)</f>
        <v>2N  58  06  00  00  00  00</v>
      </c>
      <c r="I1124" s="29" t="str">
        <f>VLOOKUP(G1124,'insumos terrapl'!$C$3:$K$47,3,0)</f>
        <v>2N</v>
      </c>
      <c r="J1124" s="29">
        <f>VLOOKUP(G1124,'insumos terrapl'!$C$3:$K$47,4,0)</f>
        <v>58</v>
      </c>
      <c r="K1124" s="29" t="str">
        <f>VLOOKUP(G1124,'insumos terrapl'!$C$3:$K$47,5,0)</f>
        <v>06</v>
      </c>
      <c r="L1124" s="29" t="str">
        <f>VLOOKUP(G1124,'insumos terrapl'!$C$3:$K$47,6,0)</f>
        <v>00</v>
      </c>
      <c r="M1124" s="29" t="str">
        <f>VLOOKUP(G1124,'insumos terrapl'!$C$3:$K$47,7,0)</f>
        <v>00</v>
      </c>
      <c r="N1124" s="29" t="str">
        <f>VLOOKUP(G1124,'insumos terrapl'!$C$3:$K$47,8,0)</f>
        <v>00</v>
      </c>
      <c r="O1124" s="97" t="str">
        <f>VLOOKUP(G1124,'insumos terrapl'!$C$3:$K$47,9,0)</f>
        <v>00</v>
      </c>
    </row>
    <row r="1125" spans="1:15">
      <c r="A1125" s="134"/>
      <c r="B1125" s="137"/>
      <c r="C1125" s="125"/>
      <c r="D1125" s="115"/>
      <c r="E1125" s="115"/>
      <c r="F1125" s="11" t="s">
        <v>617</v>
      </c>
      <c r="G1125" s="20" t="s">
        <v>618</v>
      </c>
      <c r="H1125" s="29" t="str">
        <f>VLOOKUP(G1125,'insumos terrapl'!$C$3:$K$47,2,0)</f>
        <v>2Q  58  06  02  28  00  00</v>
      </c>
      <c r="I1125" s="29" t="str">
        <f>VLOOKUP(G1125,'insumos terrapl'!$C$3:$K$47,3,0)</f>
        <v>2Q</v>
      </c>
      <c r="J1125" s="29">
        <f>VLOOKUP(G1125,'insumos terrapl'!$C$3:$K$47,4,0)</f>
        <v>58</v>
      </c>
      <c r="K1125" s="29" t="str">
        <f>VLOOKUP(G1125,'insumos terrapl'!$C$3:$K$47,5,0)</f>
        <v>06</v>
      </c>
      <c r="L1125" s="29" t="str">
        <f>VLOOKUP(G1125,'insumos terrapl'!$C$3:$K$47,6,0)</f>
        <v>02</v>
      </c>
      <c r="M1125" s="29" t="str">
        <f>VLOOKUP(G1125,'insumos terrapl'!$C$3:$K$47,7,0)</f>
        <v>28</v>
      </c>
      <c r="N1125" s="29" t="str">
        <f>VLOOKUP(G1125,'insumos terrapl'!$C$3:$K$47,8,0)</f>
        <v>00</v>
      </c>
      <c r="O1125" s="97" t="str">
        <f>VLOOKUP(G1125,'insumos terrapl'!$C$3:$K$47,9,0)</f>
        <v>00</v>
      </c>
    </row>
    <row r="1126" spans="1:15" ht="30">
      <c r="A1126" s="134"/>
      <c r="B1126" s="137"/>
      <c r="C1126" s="125"/>
      <c r="D1126" s="115"/>
      <c r="E1126" s="115"/>
      <c r="F1126" s="11" t="s">
        <v>637</v>
      </c>
      <c r="G1126" s="20" t="s">
        <v>638</v>
      </c>
      <c r="H1126" s="29" t="str">
        <f>VLOOKUP(G1126,'insumos terrapl'!$C$3:$K$47,2,0)</f>
        <v>2N  58  06  00  00  00  00</v>
      </c>
      <c r="I1126" s="29" t="str">
        <f>VLOOKUP(G1126,'insumos terrapl'!$C$3:$K$47,3,0)</f>
        <v>2N</v>
      </c>
      <c r="J1126" s="29">
        <f>VLOOKUP(G1126,'insumos terrapl'!$C$3:$K$47,4,0)</f>
        <v>58</v>
      </c>
      <c r="K1126" s="29" t="str">
        <f>VLOOKUP(G1126,'insumos terrapl'!$C$3:$K$47,5,0)</f>
        <v>06</v>
      </c>
      <c r="L1126" s="29" t="str">
        <f>VLOOKUP(G1126,'insumos terrapl'!$C$3:$K$47,6,0)</f>
        <v>00</v>
      </c>
      <c r="M1126" s="29" t="str">
        <f>VLOOKUP(G1126,'insumos terrapl'!$C$3:$K$47,7,0)</f>
        <v>00</v>
      </c>
      <c r="N1126" s="29" t="str">
        <f>VLOOKUP(G1126,'insumos terrapl'!$C$3:$K$47,8,0)</f>
        <v>00</v>
      </c>
      <c r="O1126" s="97" t="str">
        <f>VLOOKUP(G1126,'insumos terrapl'!$C$3:$K$47,9,0)</f>
        <v>00</v>
      </c>
    </row>
    <row r="1127" spans="1:15" ht="30">
      <c r="A1127" s="134"/>
      <c r="B1127" s="137"/>
      <c r="C1127" s="125"/>
      <c r="D1127" s="115"/>
      <c r="E1127" s="115"/>
      <c r="F1127" s="11" t="s">
        <v>639</v>
      </c>
      <c r="G1127" s="20" t="s">
        <v>640</v>
      </c>
      <c r="H1127" s="29" t="str">
        <f>VLOOKUP(G1127,'insumos terrapl'!$C$3:$K$47,2,0)</f>
        <v>2N  58  06  00  00  00  00</v>
      </c>
      <c r="I1127" s="29" t="str">
        <f>VLOOKUP(G1127,'insumos terrapl'!$C$3:$K$47,3,0)</f>
        <v>2N</v>
      </c>
      <c r="J1127" s="29">
        <f>VLOOKUP(G1127,'insumos terrapl'!$C$3:$K$47,4,0)</f>
        <v>58</v>
      </c>
      <c r="K1127" s="29" t="str">
        <f>VLOOKUP(G1127,'insumos terrapl'!$C$3:$K$47,5,0)</f>
        <v>06</v>
      </c>
      <c r="L1127" s="29" t="str">
        <f>VLOOKUP(G1127,'insumos terrapl'!$C$3:$K$47,6,0)</f>
        <v>00</v>
      </c>
      <c r="M1127" s="29" t="str">
        <f>VLOOKUP(G1127,'insumos terrapl'!$C$3:$K$47,7,0)</f>
        <v>00</v>
      </c>
      <c r="N1127" s="29" t="str">
        <f>VLOOKUP(G1127,'insumos terrapl'!$C$3:$K$47,8,0)</f>
        <v>00</v>
      </c>
      <c r="O1127" s="97" t="str">
        <f>VLOOKUP(G1127,'insumos terrapl'!$C$3:$K$47,9,0)</f>
        <v>00</v>
      </c>
    </row>
    <row r="1128" spans="1:15">
      <c r="A1128" s="134"/>
      <c r="B1128" s="137"/>
      <c r="C1128" s="125"/>
      <c r="D1128" s="115"/>
      <c r="E1128" s="115"/>
      <c r="F1128" s="11" t="s">
        <v>641</v>
      </c>
      <c r="G1128" s="20" t="s">
        <v>642</v>
      </c>
      <c r="H1128" s="29" t="str">
        <f>VLOOKUP(G1128,'insumos terrapl'!$C$3:$K$47,2,0)</f>
        <v>2N  58  06  00  00  00  00</v>
      </c>
      <c r="I1128" s="29" t="str">
        <f>VLOOKUP(G1128,'insumos terrapl'!$C$3:$K$47,3,0)</f>
        <v>2N</v>
      </c>
      <c r="J1128" s="29">
        <f>VLOOKUP(G1128,'insumos terrapl'!$C$3:$K$47,4,0)</f>
        <v>58</v>
      </c>
      <c r="K1128" s="29" t="str">
        <f>VLOOKUP(G1128,'insumos terrapl'!$C$3:$K$47,5,0)</f>
        <v>06</v>
      </c>
      <c r="L1128" s="29" t="str">
        <f>VLOOKUP(G1128,'insumos terrapl'!$C$3:$K$47,6,0)</f>
        <v>00</v>
      </c>
      <c r="M1128" s="29" t="str">
        <f>VLOOKUP(G1128,'insumos terrapl'!$C$3:$K$47,7,0)</f>
        <v>00</v>
      </c>
      <c r="N1128" s="29" t="str">
        <f>VLOOKUP(G1128,'insumos terrapl'!$C$3:$K$47,8,0)</f>
        <v>00</v>
      </c>
      <c r="O1128" s="97" t="str">
        <f>VLOOKUP(G1128,'insumos terrapl'!$C$3:$K$47,9,0)</f>
        <v>00</v>
      </c>
    </row>
    <row r="1129" spans="1:15">
      <c r="A1129" s="134"/>
      <c r="B1129" s="137"/>
      <c r="C1129" s="125"/>
      <c r="D1129" s="115"/>
      <c r="E1129" s="115"/>
      <c r="F1129" s="11" t="s">
        <v>619</v>
      </c>
      <c r="G1129" s="20" t="s">
        <v>620</v>
      </c>
      <c r="H1129" s="29"/>
      <c r="I1129" s="29"/>
      <c r="J1129" s="29"/>
      <c r="K1129" s="29"/>
      <c r="L1129" s="29"/>
      <c r="M1129" s="29"/>
      <c r="N1129" s="29"/>
      <c r="O1129" s="97"/>
    </row>
    <row r="1130" spans="1:15">
      <c r="A1130" s="134"/>
      <c r="B1130" s="137"/>
      <c r="C1130" s="125"/>
      <c r="D1130" s="115"/>
      <c r="E1130" s="115"/>
      <c r="F1130" s="11" t="s">
        <v>643</v>
      </c>
      <c r="G1130" s="20" t="s">
        <v>644</v>
      </c>
      <c r="H1130" s="29" t="str">
        <f>VLOOKUP(G1130,'insumos terrapl'!$C$3:$K$47,2,0)</f>
        <v>2N  58  06  00  00  00  00</v>
      </c>
      <c r="I1130" s="29" t="str">
        <f>VLOOKUP(G1130,'insumos terrapl'!$C$3:$K$47,3,0)</f>
        <v>2N</v>
      </c>
      <c r="J1130" s="29">
        <f>VLOOKUP(G1130,'insumos terrapl'!$C$3:$K$47,4,0)</f>
        <v>58</v>
      </c>
      <c r="K1130" s="29" t="str">
        <f>VLOOKUP(G1130,'insumos terrapl'!$C$3:$K$47,5,0)</f>
        <v>06</v>
      </c>
      <c r="L1130" s="29" t="str">
        <f>VLOOKUP(G1130,'insumos terrapl'!$C$3:$K$47,6,0)</f>
        <v>00</v>
      </c>
      <c r="M1130" s="29" t="str">
        <f>VLOOKUP(G1130,'insumos terrapl'!$C$3:$K$47,7,0)</f>
        <v>00</v>
      </c>
      <c r="N1130" s="29" t="str">
        <f>VLOOKUP(G1130,'insumos terrapl'!$C$3:$K$47,8,0)</f>
        <v>00</v>
      </c>
      <c r="O1130" s="97" t="str">
        <f>VLOOKUP(G1130,'insumos terrapl'!$C$3:$K$47,9,0)</f>
        <v>00</v>
      </c>
    </row>
    <row r="1131" spans="1:15">
      <c r="A1131" s="134"/>
      <c r="B1131" s="137"/>
      <c r="C1131" s="125"/>
      <c r="D1131" s="115"/>
      <c r="E1131" s="115"/>
      <c r="F1131" s="11" t="s">
        <v>645</v>
      </c>
      <c r="G1131" s="20" t="s">
        <v>646</v>
      </c>
      <c r="H1131" s="29" t="str">
        <f>VLOOKUP(G1131,'insumos terrapl'!$C$3:$K$47,2,0)</f>
        <v>2N  58  06  00  00  00  00</v>
      </c>
      <c r="I1131" s="29" t="str">
        <f>VLOOKUP(G1131,'insumos terrapl'!$C$3:$K$47,3,0)</f>
        <v>2N</v>
      </c>
      <c r="J1131" s="29">
        <f>VLOOKUP(G1131,'insumos terrapl'!$C$3:$K$47,4,0)</f>
        <v>58</v>
      </c>
      <c r="K1131" s="29" t="str">
        <f>VLOOKUP(G1131,'insumos terrapl'!$C$3:$K$47,5,0)</f>
        <v>06</v>
      </c>
      <c r="L1131" s="29" t="str">
        <f>VLOOKUP(G1131,'insumos terrapl'!$C$3:$K$47,6,0)</f>
        <v>00</v>
      </c>
      <c r="M1131" s="29" t="str">
        <f>VLOOKUP(G1131,'insumos terrapl'!$C$3:$K$47,7,0)</f>
        <v>00</v>
      </c>
      <c r="N1131" s="29" t="str">
        <f>VLOOKUP(G1131,'insumos terrapl'!$C$3:$K$47,8,0)</f>
        <v>00</v>
      </c>
      <c r="O1131" s="97" t="str">
        <f>VLOOKUP(G1131,'insumos terrapl'!$C$3:$K$47,9,0)</f>
        <v>00</v>
      </c>
    </row>
    <row r="1132" spans="1:15" ht="30">
      <c r="A1132" s="134"/>
      <c r="B1132" s="137"/>
      <c r="C1132" s="125"/>
      <c r="D1132" s="115"/>
      <c r="E1132" s="115"/>
      <c r="F1132" s="11" t="s">
        <v>647</v>
      </c>
      <c r="G1132" s="20" t="s">
        <v>648</v>
      </c>
      <c r="H1132" s="29" t="str">
        <f>VLOOKUP(G1132,'insumos terrapl'!$C$3:$K$47,2,0)</f>
        <v>2N  58  06  00  00  00  00</v>
      </c>
      <c r="I1132" s="29" t="str">
        <f>VLOOKUP(G1132,'insumos terrapl'!$C$3:$K$47,3,0)</f>
        <v>2N</v>
      </c>
      <c r="J1132" s="29">
        <f>VLOOKUP(G1132,'insumos terrapl'!$C$3:$K$47,4,0)</f>
        <v>58</v>
      </c>
      <c r="K1132" s="29" t="str">
        <f>VLOOKUP(G1132,'insumos terrapl'!$C$3:$K$47,5,0)</f>
        <v>06</v>
      </c>
      <c r="L1132" s="29" t="str">
        <f>VLOOKUP(G1132,'insumos terrapl'!$C$3:$K$47,6,0)</f>
        <v>00</v>
      </c>
      <c r="M1132" s="29" t="str">
        <f>VLOOKUP(G1132,'insumos terrapl'!$C$3:$K$47,7,0)</f>
        <v>00</v>
      </c>
      <c r="N1132" s="29" t="str">
        <f>VLOOKUP(G1132,'insumos terrapl'!$C$3:$K$47,8,0)</f>
        <v>00</v>
      </c>
      <c r="O1132" s="97" t="str">
        <f>VLOOKUP(G1132,'insumos terrapl'!$C$3:$K$47,9,0)</f>
        <v>00</v>
      </c>
    </row>
    <row r="1133" spans="1:15">
      <c r="A1133" s="134"/>
      <c r="B1133" s="137"/>
      <c r="C1133" s="125"/>
      <c r="D1133" s="115"/>
      <c r="E1133" s="115"/>
      <c r="F1133" s="11" t="s">
        <v>621</v>
      </c>
      <c r="G1133" s="20" t="s">
        <v>622</v>
      </c>
      <c r="H1133" s="29" t="str">
        <f>VLOOKUP(G1133,'insumos terrapl'!$C$3:$K$47,2,0)</f>
        <v>2N  58  06  00  00  00  00</v>
      </c>
      <c r="I1133" s="29" t="str">
        <f>VLOOKUP(G1133,'insumos terrapl'!$C$3:$K$47,3,0)</f>
        <v>2N</v>
      </c>
      <c r="J1133" s="29">
        <f>VLOOKUP(G1133,'insumos terrapl'!$C$3:$K$47,4,0)</f>
        <v>58</v>
      </c>
      <c r="K1133" s="29" t="str">
        <f>VLOOKUP(G1133,'insumos terrapl'!$C$3:$K$47,5,0)</f>
        <v>06</v>
      </c>
      <c r="L1133" s="29" t="str">
        <f>VLOOKUP(G1133,'insumos terrapl'!$C$3:$K$47,6,0)</f>
        <v>00</v>
      </c>
      <c r="M1133" s="29" t="str">
        <f>VLOOKUP(G1133,'insumos terrapl'!$C$3:$K$47,7,0)</f>
        <v>00</v>
      </c>
      <c r="N1133" s="29" t="str">
        <f>VLOOKUP(G1133,'insumos terrapl'!$C$3:$K$47,8,0)</f>
        <v>00</v>
      </c>
      <c r="O1133" s="97" t="str">
        <f>VLOOKUP(G1133,'insumos terrapl'!$C$3:$K$47,9,0)</f>
        <v>00</v>
      </c>
    </row>
    <row r="1134" spans="1:15">
      <c r="A1134" s="134"/>
      <c r="B1134" s="137"/>
      <c r="C1134" s="132"/>
      <c r="D1134" s="116"/>
      <c r="E1134" s="116"/>
      <c r="F1134" s="13"/>
      <c r="G1134" s="21"/>
      <c r="H1134" s="31"/>
      <c r="I1134" s="31"/>
      <c r="J1134" s="31"/>
      <c r="K1134" s="31"/>
      <c r="L1134" s="31"/>
      <c r="M1134" s="31"/>
      <c r="N1134" s="31"/>
      <c r="O1134" s="98"/>
    </row>
    <row r="1135" spans="1:15">
      <c r="A1135" s="134"/>
      <c r="B1135" s="137"/>
      <c r="C1135" s="124" t="s">
        <v>236</v>
      </c>
      <c r="D1135" s="114" t="str">
        <f>A1095</f>
        <v>2.6.8</v>
      </c>
      <c r="E1135" s="114" t="s">
        <v>494</v>
      </c>
      <c r="F1135" s="12" t="s">
        <v>236</v>
      </c>
      <c r="G1135" s="19"/>
      <c r="H1135" s="28"/>
      <c r="I1135" s="28"/>
      <c r="J1135" s="28"/>
      <c r="K1135" s="28"/>
      <c r="L1135" s="28"/>
      <c r="M1135" s="28"/>
      <c r="N1135" s="28"/>
      <c r="O1135" s="99"/>
    </row>
    <row r="1136" spans="1:15" ht="30">
      <c r="A1136" s="134"/>
      <c r="B1136" s="137"/>
      <c r="C1136" s="125"/>
      <c r="D1136" s="115"/>
      <c r="E1136" s="115"/>
      <c r="F1136" s="11" t="s">
        <v>659</v>
      </c>
      <c r="G1136" s="20" t="s">
        <v>660</v>
      </c>
      <c r="H1136" s="29" t="str">
        <f>VLOOKUP(G1136,'insumos terrapl'!$C$3:$K$47,2,0)</f>
        <v>2Q  66  10  02  00  00  00</v>
      </c>
      <c r="I1136" s="29" t="str">
        <f>VLOOKUP(G1136,'insumos terrapl'!$C$3:$K$47,3,0)</f>
        <v>2Q</v>
      </c>
      <c r="J1136" s="29">
        <f>VLOOKUP(G1136,'insumos terrapl'!$C$3:$K$47,4,0)</f>
        <v>66</v>
      </c>
      <c r="K1136" s="29" t="str">
        <f>VLOOKUP(G1136,'insumos terrapl'!$C$3:$K$47,5,0)</f>
        <v>10</v>
      </c>
      <c r="L1136" s="29" t="str">
        <f>VLOOKUP(G1136,'insumos terrapl'!$C$3:$K$47,6,0)</f>
        <v>02</v>
      </c>
      <c r="M1136" s="29" t="str">
        <f>VLOOKUP(G1136,'insumos terrapl'!$C$3:$K$47,7,0)</f>
        <v>00</v>
      </c>
      <c r="N1136" s="29" t="str">
        <f>VLOOKUP(G1136,'insumos terrapl'!$C$3:$K$47,8,0)</f>
        <v>00</v>
      </c>
      <c r="O1136" s="97" t="str">
        <f>VLOOKUP(G1136,'insumos terrapl'!$C$3:$K$47,9,0)</f>
        <v>00</v>
      </c>
    </row>
    <row r="1137" spans="1:15" ht="30">
      <c r="A1137" s="134"/>
      <c r="B1137" s="137"/>
      <c r="C1137" s="125"/>
      <c r="D1137" s="115"/>
      <c r="E1137" s="115"/>
      <c r="F1137" s="11" t="s">
        <v>661</v>
      </c>
      <c r="G1137" s="20" t="s">
        <v>662</v>
      </c>
      <c r="H1137" s="29" t="str">
        <f>VLOOKUP(G1137,'insumos terrapl'!$C$3:$K$47,2,0)</f>
        <v>2Q  62  10  06  00  00  00</v>
      </c>
      <c r="I1137" s="29" t="str">
        <f>VLOOKUP(G1137,'insumos terrapl'!$C$3:$K$47,3,0)</f>
        <v>2Q</v>
      </c>
      <c r="J1137" s="29">
        <f>VLOOKUP(G1137,'insumos terrapl'!$C$3:$K$47,4,0)</f>
        <v>62</v>
      </c>
      <c r="K1137" s="29" t="str">
        <f>VLOOKUP(G1137,'insumos terrapl'!$C$3:$K$47,5,0)</f>
        <v>10</v>
      </c>
      <c r="L1137" s="29" t="str">
        <f>VLOOKUP(G1137,'insumos terrapl'!$C$3:$K$47,6,0)</f>
        <v>06</v>
      </c>
      <c r="M1137" s="29" t="str">
        <f>VLOOKUP(G1137,'insumos terrapl'!$C$3:$K$47,7,0)</f>
        <v>00</v>
      </c>
      <c r="N1137" s="29" t="str">
        <f>VLOOKUP(G1137,'insumos terrapl'!$C$3:$K$47,8,0)</f>
        <v>00</v>
      </c>
      <c r="O1137" s="97" t="str">
        <f>VLOOKUP(G1137,'insumos terrapl'!$C$3:$K$47,9,0)</f>
        <v>00</v>
      </c>
    </row>
    <row r="1138" spans="1:15" ht="30">
      <c r="A1138" s="134"/>
      <c r="B1138" s="137"/>
      <c r="C1138" s="125"/>
      <c r="D1138" s="115"/>
      <c r="E1138" s="115"/>
      <c r="F1138" s="11" t="s">
        <v>607</v>
      </c>
      <c r="G1138" s="20" t="s">
        <v>608</v>
      </c>
      <c r="H1138" s="29" t="str">
        <f>VLOOKUP(G1138,'insumos terrapl'!$C$3:$K$47,2,0)</f>
        <v>2Q  42  06  18  02  02  00</v>
      </c>
      <c r="I1138" s="29" t="str">
        <f>VLOOKUP(G1138,'insumos terrapl'!$C$3:$K$47,3,0)</f>
        <v>2Q</v>
      </c>
      <c r="J1138" s="29">
        <f>VLOOKUP(G1138,'insumos terrapl'!$C$3:$K$47,4,0)</f>
        <v>42</v>
      </c>
      <c r="K1138" s="29" t="str">
        <f>VLOOKUP(G1138,'insumos terrapl'!$C$3:$K$47,5,0)</f>
        <v>06</v>
      </c>
      <c r="L1138" s="29">
        <f>VLOOKUP(G1138,'insumos terrapl'!$C$3:$K$47,6,0)</f>
        <v>18</v>
      </c>
      <c r="M1138" s="29" t="str">
        <f>VLOOKUP(G1138,'insumos terrapl'!$C$3:$K$47,7,0)</f>
        <v>02</v>
      </c>
      <c r="N1138" s="29" t="str">
        <f>VLOOKUP(G1138,'insumos terrapl'!$C$3:$K$47,8,0)</f>
        <v>02</v>
      </c>
      <c r="O1138" s="97" t="str">
        <f>VLOOKUP(G1138,'insumos terrapl'!$C$3:$K$47,9,0)</f>
        <v>00</v>
      </c>
    </row>
    <row r="1139" spans="1:15" ht="45">
      <c r="A1139" s="134"/>
      <c r="B1139" s="137"/>
      <c r="C1139" s="125"/>
      <c r="D1139" s="115"/>
      <c r="E1139" s="115"/>
      <c r="F1139" s="11" t="s">
        <v>609</v>
      </c>
      <c r="G1139" s="20" t="s">
        <v>610</v>
      </c>
      <c r="H1139" s="29" t="str">
        <f>VLOOKUP(G1139,'insumos terrapl'!$C$3:$K$47,2,0)</f>
        <v>2Q  42  06  02  14  02  00</v>
      </c>
      <c r="I1139" s="29" t="str">
        <f>VLOOKUP(G1139,'insumos terrapl'!$C$3:$K$47,3,0)</f>
        <v>2Q</v>
      </c>
      <c r="J1139" s="29">
        <f>VLOOKUP(G1139,'insumos terrapl'!$C$3:$K$47,4,0)</f>
        <v>42</v>
      </c>
      <c r="K1139" s="29" t="str">
        <f>VLOOKUP(G1139,'insumos terrapl'!$C$3:$K$47,5,0)</f>
        <v>06</v>
      </c>
      <c r="L1139" s="29" t="str">
        <f>VLOOKUP(G1139,'insumos terrapl'!$C$3:$K$47,6,0)</f>
        <v>02</v>
      </c>
      <c r="M1139" s="29" t="str">
        <f>VLOOKUP(G1139,'insumos terrapl'!$C$3:$K$47,7,0)</f>
        <v>14</v>
      </c>
      <c r="N1139" s="29" t="str">
        <f>VLOOKUP(G1139,'insumos terrapl'!$C$3:$K$47,8,0)</f>
        <v>02</v>
      </c>
      <c r="O1139" s="97" t="str">
        <f>VLOOKUP(G1139,'insumos terrapl'!$C$3:$K$47,9,0)</f>
        <v>00</v>
      </c>
    </row>
    <row r="1140" spans="1:15">
      <c r="A1140" s="134"/>
      <c r="B1140" s="137"/>
      <c r="C1140" s="125"/>
      <c r="D1140" s="115"/>
      <c r="E1140" s="115"/>
      <c r="F1140" s="11" t="s">
        <v>633</v>
      </c>
      <c r="G1140" s="20" t="s">
        <v>634</v>
      </c>
      <c r="H1140" s="29" t="str">
        <f>VLOOKUP(G1140,'insumos terrapl'!$C$3:$K$47,2,0)</f>
        <v>2Q  58  10  10  02  06  00</v>
      </c>
      <c r="I1140" s="29" t="str">
        <f>VLOOKUP(G1140,'insumos terrapl'!$C$3:$K$47,3,0)</f>
        <v>2Q</v>
      </c>
      <c r="J1140" s="29">
        <f>VLOOKUP(G1140,'insumos terrapl'!$C$3:$K$47,4,0)</f>
        <v>58</v>
      </c>
      <c r="K1140" s="29" t="str">
        <f>VLOOKUP(G1140,'insumos terrapl'!$C$3:$K$47,5,0)</f>
        <v>10</v>
      </c>
      <c r="L1140" s="29" t="str">
        <f>VLOOKUP(G1140,'insumos terrapl'!$C$3:$K$47,6,0)</f>
        <v>10</v>
      </c>
      <c r="M1140" s="29" t="str">
        <f>VLOOKUP(G1140,'insumos terrapl'!$C$3:$K$47,7,0)</f>
        <v>02</v>
      </c>
      <c r="N1140" s="29" t="str">
        <f>VLOOKUP(G1140,'insumos terrapl'!$C$3:$K$47,8,0)</f>
        <v>06</v>
      </c>
      <c r="O1140" s="97" t="str">
        <f>VLOOKUP(G1140,'insumos terrapl'!$C$3:$K$47,9,0)</f>
        <v>00</v>
      </c>
    </row>
    <row r="1141" spans="1:15">
      <c r="A1141" s="134"/>
      <c r="B1141" s="137"/>
      <c r="C1141" s="125"/>
      <c r="D1141" s="115"/>
      <c r="E1141" s="115"/>
      <c r="F1141" s="11" t="s">
        <v>586</v>
      </c>
      <c r="G1141" s="20" t="s">
        <v>587</v>
      </c>
      <c r="H1141" s="29" t="str">
        <f>VLOOKUP(G1141,'insumos terrapl'!$C$3:$K$47,2,0)</f>
        <v>2Q  62  30  02  14  00  00</v>
      </c>
      <c r="I1141" s="29" t="str">
        <f>VLOOKUP(G1141,'insumos terrapl'!$C$3:$K$47,3,0)</f>
        <v>2Q</v>
      </c>
      <c r="J1141" s="29">
        <f>VLOOKUP(G1141,'insumos terrapl'!$C$3:$K$47,4,0)</f>
        <v>62</v>
      </c>
      <c r="K1141" s="29">
        <f>VLOOKUP(G1141,'insumos terrapl'!$C$3:$K$47,5,0)</f>
        <v>30</v>
      </c>
      <c r="L1141" s="29" t="str">
        <f>VLOOKUP(G1141,'insumos terrapl'!$C$3:$K$47,6,0)</f>
        <v>02</v>
      </c>
      <c r="M1141" s="29" t="str">
        <f>VLOOKUP(G1141,'insumos terrapl'!$C$3:$K$47,7,0)</f>
        <v>14</v>
      </c>
      <c r="N1141" s="29" t="str">
        <f>VLOOKUP(G1141,'insumos terrapl'!$C$3:$K$47,8,0)</f>
        <v>00</v>
      </c>
      <c r="O1141" s="97" t="str">
        <f>VLOOKUP(G1141,'insumos terrapl'!$C$3:$K$47,9,0)</f>
        <v>00</v>
      </c>
    </row>
    <row r="1142" spans="1:15">
      <c r="A1142" s="134"/>
      <c r="B1142" s="137"/>
      <c r="C1142" s="125"/>
      <c r="D1142" s="115"/>
      <c r="E1142" s="115"/>
      <c r="F1142" s="11" t="s">
        <v>613</v>
      </c>
      <c r="G1142" s="20" t="s">
        <v>614</v>
      </c>
      <c r="H1142" s="29" t="str">
        <f>VLOOKUP(G1142,'insumos terrapl'!$C$3:$K$47,2,0)</f>
        <v>2N  20  14  02  00  00  00</v>
      </c>
      <c r="I1142" s="29" t="str">
        <f>VLOOKUP(G1142,'insumos terrapl'!$C$3:$K$47,3,0)</f>
        <v>2N</v>
      </c>
      <c r="J1142" s="29">
        <f>VLOOKUP(G1142,'insumos terrapl'!$C$3:$K$47,4,0)</f>
        <v>20</v>
      </c>
      <c r="K1142" s="29" t="str">
        <f>VLOOKUP(G1142,'insumos terrapl'!$C$3:$K$47,5,0)</f>
        <v>14</v>
      </c>
      <c r="L1142" s="29" t="str">
        <f>VLOOKUP(G1142,'insumos terrapl'!$C$3:$K$47,6,0)</f>
        <v>02</v>
      </c>
      <c r="M1142" s="29" t="str">
        <f>VLOOKUP(G1142,'insumos terrapl'!$C$3:$K$47,7,0)</f>
        <v>00</v>
      </c>
      <c r="N1142" s="29" t="str">
        <f>VLOOKUP(G1142,'insumos terrapl'!$C$3:$K$47,8,0)</f>
        <v>00</v>
      </c>
      <c r="O1142" s="97" t="str">
        <f>VLOOKUP(G1142,'insumos terrapl'!$C$3:$K$47,9,0)</f>
        <v>00</v>
      </c>
    </row>
    <row r="1143" spans="1:15">
      <c r="A1143" s="134"/>
      <c r="B1143" s="137"/>
      <c r="C1143" s="125"/>
      <c r="D1143" s="115"/>
      <c r="E1143" s="115"/>
      <c r="F1143" s="11" t="s">
        <v>615</v>
      </c>
      <c r="G1143" s="20" t="s">
        <v>616</v>
      </c>
      <c r="H1143" s="29" t="str">
        <f>VLOOKUP(G1143,'insumos terrapl'!$C$3:$K$47,2,0)</f>
        <v>2N  20  14  02  00  00  00</v>
      </c>
      <c r="I1143" s="29" t="str">
        <f>VLOOKUP(G1143,'insumos terrapl'!$C$3:$K$47,3,0)</f>
        <v>2N</v>
      </c>
      <c r="J1143" s="29">
        <f>VLOOKUP(G1143,'insumos terrapl'!$C$3:$K$47,4,0)</f>
        <v>20</v>
      </c>
      <c r="K1143" s="29" t="str">
        <f>VLOOKUP(G1143,'insumos terrapl'!$C$3:$K$47,5,0)</f>
        <v>14</v>
      </c>
      <c r="L1143" s="29" t="str">
        <f>VLOOKUP(G1143,'insumos terrapl'!$C$3:$K$47,6,0)</f>
        <v>02</v>
      </c>
      <c r="M1143" s="29" t="str">
        <f>VLOOKUP(G1143,'insumos terrapl'!$C$3:$K$47,7,0)</f>
        <v>00</v>
      </c>
      <c r="N1143" s="29" t="str">
        <f>VLOOKUP(G1143,'insumos terrapl'!$C$3:$K$47,8,0)</f>
        <v>00</v>
      </c>
      <c r="O1143" s="97" t="str">
        <f>VLOOKUP(G1143,'insumos terrapl'!$C$3:$K$47,9,0)</f>
        <v>00</v>
      </c>
    </row>
    <row r="1144" spans="1:15" ht="30">
      <c r="A1144" s="134"/>
      <c r="B1144" s="137"/>
      <c r="C1144" s="125"/>
      <c r="D1144" s="115"/>
      <c r="E1144" s="115"/>
      <c r="F1144" s="11" t="s">
        <v>635</v>
      </c>
      <c r="G1144" s="20" t="s">
        <v>636</v>
      </c>
      <c r="H1144" s="29" t="str">
        <f>VLOOKUP(G1144,'insumos terrapl'!$C$3:$K$47,2,0)</f>
        <v>2N  58  06  00  00  00  00</v>
      </c>
      <c r="I1144" s="29" t="str">
        <f>VLOOKUP(G1144,'insumos terrapl'!$C$3:$K$47,3,0)</f>
        <v>2N</v>
      </c>
      <c r="J1144" s="29">
        <f>VLOOKUP(G1144,'insumos terrapl'!$C$3:$K$47,4,0)</f>
        <v>58</v>
      </c>
      <c r="K1144" s="29" t="str">
        <f>VLOOKUP(G1144,'insumos terrapl'!$C$3:$K$47,5,0)</f>
        <v>06</v>
      </c>
      <c r="L1144" s="29" t="str">
        <f>VLOOKUP(G1144,'insumos terrapl'!$C$3:$K$47,6,0)</f>
        <v>00</v>
      </c>
      <c r="M1144" s="29" t="str">
        <f>VLOOKUP(G1144,'insumos terrapl'!$C$3:$K$47,7,0)</f>
        <v>00</v>
      </c>
      <c r="N1144" s="29" t="str">
        <f>VLOOKUP(G1144,'insumos terrapl'!$C$3:$K$47,8,0)</f>
        <v>00</v>
      </c>
      <c r="O1144" s="97" t="str">
        <f>VLOOKUP(G1144,'insumos terrapl'!$C$3:$K$47,9,0)</f>
        <v>00</v>
      </c>
    </row>
    <row r="1145" spans="1:15">
      <c r="A1145" s="134"/>
      <c r="B1145" s="137"/>
      <c r="C1145" s="125"/>
      <c r="D1145" s="115"/>
      <c r="E1145" s="115"/>
      <c r="F1145" s="11" t="s">
        <v>617</v>
      </c>
      <c r="G1145" s="20" t="s">
        <v>618</v>
      </c>
      <c r="H1145" s="29" t="str">
        <f>VLOOKUP(G1145,'insumos terrapl'!$C$3:$K$47,2,0)</f>
        <v>2Q  58  06  02  28  00  00</v>
      </c>
      <c r="I1145" s="29" t="str">
        <f>VLOOKUP(G1145,'insumos terrapl'!$C$3:$K$47,3,0)</f>
        <v>2Q</v>
      </c>
      <c r="J1145" s="29">
        <f>VLOOKUP(G1145,'insumos terrapl'!$C$3:$K$47,4,0)</f>
        <v>58</v>
      </c>
      <c r="K1145" s="29" t="str">
        <f>VLOOKUP(G1145,'insumos terrapl'!$C$3:$K$47,5,0)</f>
        <v>06</v>
      </c>
      <c r="L1145" s="29" t="str">
        <f>VLOOKUP(G1145,'insumos terrapl'!$C$3:$K$47,6,0)</f>
        <v>02</v>
      </c>
      <c r="M1145" s="29" t="str">
        <f>VLOOKUP(G1145,'insumos terrapl'!$C$3:$K$47,7,0)</f>
        <v>28</v>
      </c>
      <c r="N1145" s="29" t="str">
        <f>VLOOKUP(G1145,'insumos terrapl'!$C$3:$K$47,8,0)</f>
        <v>00</v>
      </c>
      <c r="O1145" s="97" t="str">
        <f>VLOOKUP(G1145,'insumos terrapl'!$C$3:$K$47,9,0)</f>
        <v>00</v>
      </c>
    </row>
    <row r="1146" spans="1:15" ht="30">
      <c r="A1146" s="134"/>
      <c r="B1146" s="137"/>
      <c r="C1146" s="125"/>
      <c r="D1146" s="115"/>
      <c r="E1146" s="115"/>
      <c r="F1146" s="11" t="s">
        <v>637</v>
      </c>
      <c r="G1146" s="20" t="s">
        <v>638</v>
      </c>
      <c r="H1146" s="29" t="str">
        <f>VLOOKUP(G1146,'insumos terrapl'!$C$3:$K$47,2,0)</f>
        <v>2N  58  06  00  00  00  00</v>
      </c>
      <c r="I1146" s="29" t="str">
        <f>VLOOKUP(G1146,'insumos terrapl'!$C$3:$K$47,3,0)</f>
        <v>2N</v>
      </c>
      <c r="J1146" s="29">
        <f>VLOOKUP(G1146,'insumos terrapl'!$C$3:$K$47,4,0)</f>
        <v>58</v>
      </c>
      <c r="K1146" s="29" t="str">
        <f>VLOOKUP(G1146,'insumos terrapl'!$C$3:$K$47,5,0)</f>
        <v>06</v>
      </c>
      <c r="L1146" s="29" t="str">
        <f>VLOOKUP(G1146,'insumos terrapl'!$C$3:$K$47,6,0)</f>
        <v>00</v>
      </c>
      <c r="M1146" s="29" t="str">
        <f>VLOOKUP(G1146,'insumos terrapl'!$C$3:$K$47,7,0)</f>
        <v>00</v>
      </c>
      <c r="N1146" s="29" t="str">
        <f>VLOOKUP(G1146,'insumos terrapl'!$C$3:$K$47,8,0)</f>
        <v>00</v>
      </c>
      <c r="O1146" s="97" t="str">
        <f>VLOOKUP(G1146,'insumos terrapl'!$C$3:$K$47,9,0)</f>
        <v>00</v>
      </c>
    </row>
    <row r="1147" spans="1:15" ht="30">
      <c r="A1147" s="134"/>
      <c r="B1147" s="137"/>
      <c r="C1147" s="125"/>
      <c r="D1147" s="115"/>
      <c r="E1147" s="115"/>
      <c r="F1147" s="11" t="s">
        <v>639</v>
      </c>
      <c r="G1147" s="20" t="s">
        <v>640</v>
      </c>
      <c r="H1147" s="29" t="str">
        <f>VLOOKUP(G1147,'insumos terrapl'!$C$3:$K$47,2,0)</f>
        <v>2N  58  06  00  00  00  00</v>
      </c>
      <c r="I1147" s="29" t="str">
        <f>VLOOKUP(G1147,'insumos terrapl'!$C$3:$K$47,3,0)</f>
        <v>2N</v>
      </c>
      <c r="J1147" s="29">
        <f>VLOOKUP(G1147,'insumos terrapl'!$C$3:$K$47,4,0)</f>
        <v>58</v>
      </c>
      <c r="K1147" s="29" t="str">
        <f>VLOOKUP(G1147,'insumos terrapl'!$C$3:$K$47,5,0)</f>
        <v>06</v>
      </c>
      <c r="L1147" s="29" t="str">
        <f>VLOOKUP(G1147,'insumos terrapl'!$C$3:$K$47,6,0)</f>
        <v>00</v>
      </c>
      <c r="M1147" s="29" t="str">
        <f>VLOOKUP(G1147,'insumos terrapl'!$C$3:$K$47,7,0)</f>
        <v>00</v>
      </c>
      <c r="N1147" s="29" t="str">
        <f>VLOOKUP(G1147,'insumos terrapl'!$C$3:$K$47,8,0)</f>
        <v>00</v>
      </c>
      <c r="O1147" s="97" t="str">
        <f>VLOOKUP(G1147,'insumos terrapl'!$C$3:$K$47,9,0)</f>
        <v>00</v>
      </c>
    </row>
    <row r="1148" spans="1:15">
      <c r="A1148" s="134"/>
      <c r="B1148" s="137"/>
      <c r="C1148" s="125"/>
      <c r="D1148" s="115"/>
      <c r="E1148" s="115"/>
      <c r="F1148" s="11" t="s">
        <v>641</v>
      </c>
      <c r="G1148" s="20" t="s">
        <v>642</v>
      </c>
      <c r="H1148" s="29" t="str">
        <f>VLOOKUP(G1148,'insumos terrapl'!$C$3:$K$47,2,0)</f>
        <v>2N  58  06  00  00  00  00</v>
      </c>
      <c r="I1148" s="29" t="str">
        <f>VLOOKUP(G1148,'insumos terrapl'!$C$3:$K$47,3,0)</f>
        <v>2N</v>
      </c>
      <c r="J1148" s="29">
        <f>VLOOKUP(G1148,'insumos terrapl'!$C$3:$K$47,4,0)</f>
        <v>58</v>
      </c>
      <c r="K1148" s="29" t="str">
        <f>VLOOKUP(G1148,'insumos terrapl'!$C$3:$K$47,5,0)</f>
        <v>06</v>
      </c>
      <c r="L1148" s="29" t="str">
        <f>VLOOKUP(G1148,'insumos terrapl'!$C$3:$K$47,6,0)</f>
        <v>00</v>
      </c>
      <c r="M1148" s="29" t="str">
        <f>VLOOKUP(G1148,'insumos terrapl'!$C$3:$K$47,7,0)</f>
        <v>00</v>
      </c>
      <c r="N1148" s="29" t="str">
        <f>VLOOKUP(G1148,'insumos terrapl'!$C$3:$K$47,8,0)</f>
        <v>00</v>
      </c>
      <c r="O1148" s="97" t="str">
        <f>VLOOKUP(G1148,'insumos terrapl'!$C$3:$K$47,9,0)</f>
        <v>00</v>
      </c>
    </row>
    <row r="1149" spans="1:15">
      <c r="A1149" s="134"/>
      <c r="B1149" s="137"/>
      <c r="C1149" s="125"/>
      <c r="D1149" s="115"/>
      <c r="E1149" s="115"/>
      <c r="F1149" s="11" t="s">
        <v>619</v>
      </c>
      <c r="G1149" s="20" t="s">
        <v>620</v>
      </c>
      <c r="H1149" s="29"/>
      <c r="I1149" s="29"/>
      <c r="J1149" s="29"/>
      <c r="K1149" s="29"/>
      <c r="L1149" s="29"/>
      <c r="M1149" s="29"/>
      <c r="N1149" s="29"/>
      <c r="O1149" s="97"/>
    </row>
    <row r="1150" spans="1:15">
      <c r="A1150" s="134"/>
      <c r="B1150" s="137"/>
      <c r="C1150" s="125"/>
      <c r="D1150" s="115"/>
      <c r="E1150" s="115"/>
      <c r="F1150" s="11" t="s">
        <v>643</v>
      </c>
      <c r="G1150" s="20" t="s">
        <v>644</v>
      </c>
      <c r="H1150" s="29" t="str">
        <f>VLOOKUP(G1150,'insumos terrapl'!$C$3:$K$47,2,0)</f>
        <v>2N  58  06  00  00  00  00</v>
      </c>
      <c r="I1150" s="29" t="str">
        <f>VLOOKUP(G1150,'insumos terrapl'!$C$3:$K$47,3,0)</f>
        <v>2N</v>
      </c>
      <c r="J1150" s="29">
        <f>VLOOKUP(G1150,'insumos terrapl'!$C$3:$K$47,4,0)</f>
        <v>58</v>
      </c>
      <c r="K1150" s="29" t="str">
        <f>VLOOKUP(G1150,'insumos terrapl'!$C$3:$K$47,5,0)</f>
        <v>06</v>
      </c>
      <c r="L1150" s="29" t="str">
        <f>VLOOKUP(G1150,'insumos terrapl'!$C$3:$K$47,6,0)</f>
        <v>00</v>
      </c>
      <c r="M1150" s="29" t="str">
        <f>VLOOKUP(G1150,'insumos terrapl'!$C$3:$K$47,7,0)</f>
        <v>00</v>
      </c>
      <c r="N1150" s="29" t="str">
        <f>VLOOKUP(G1150,'insumos terrapl'!$C$3:$K$47,8,0)</f>
        <v>00</v>
      </c>
      <c r="O1150" s="97" t="str">
        <f>VLOOKUP(G1150,'insumos terrapl'!$C$3:$K$47,9,0)</f>
        <v>00</v>
      </c>
    </row>
    <row r="1151" spans="1:15">
      <c r="A1151" s="134"/>
      <c r="B1151" s="137"/>
      <c r="C1151" s="125"/>
      <c r="D1151" s="115"/>
      <c r="E1151" s="115"/>
      <c r="F1151" s="11" t="s">
        <v>645</v>
      </c>
      <c r="G1151" s="20" t="s">
        <v>646</v>
      </c>
      <c r="H1151" s="29" t="str">
        <f>VLOOKUP(G1151,'insumos terrapl'!$C$3:$K$47,2,0)</f>
        <v>2N  58  06  00  00  00  00</v>
      </c>
      <c r="I1151" s="29" t="str">
        <f>VLOOKUP(G1151,'insumos terrapl'!$C$3:$K$47,3,0)</f>
        <v>2N</v>
      </c>
      <c r="J1151" s="29">
        <f>VLOOKUP(G1151,'insumos terrapl'!$C$3:$K$47,4,0)</f>
        <v>58</v>
      </c>
      <c r="K1151" s="29" t="str">
        <f>VLOOKUP(G1151,'insumos terrapl'!$C$3:$K$47,5,0)</f>
        <v>06</v>
      </c>
      <c r="L1151" s="29" t="str">
        <f>VLOOKUP(G1151,'insumos terrapl'!$C$3:$K$47,6,0)</f>
        <v>00</v>
      </c>
      <c r="M1151" s="29" t="str">
        <f>VLOOKUP(G1151,'insumos terrapl'!$C$3:$K$47,7,0)</f>
        <v>00</v>
      </c>
      <c r="N1151" s="29" t="str">
        <f>VLOOKUP(G1151,'insumos terrapl'!$C$3:$K$47,8,0)</f>
        <v>00</v>
      </c>
      <c r="O1151" s="97" t="str">
        <f>VLOOKUP(G1151,'insumos terrapl'!$C$3:$K$47,9,0)</f>
        <v>00</v>
      </c>
    </row>
    <row r="1152" spans="1:15" ht="30">
      <c r="A1152" s="134"/>
      <c r="B1152" s="137"/>
      <c r="C1152" s="125"/>
      <c r="D1152" s="115"/>
      <c r="E1152" s="115"/>
      <c r="F1152" s="11" t="s">
        <v>647</v>
      </c>
      <c r="G1152" s="20" t="s">
        <v>648</v>
      </c>
      <c r="H1152" s="29" t="str">
        <f>VLOOKUP(G1152,'insumos terrapl'!$C$3:$K$47,2,0)</f>
        <v>2N  58  06  00  00  00  00</v>
      </c>
      <c r="I1152" s="29" t="str">
        <f>VLOOKUP(G1152,'insumos terrapl'!$C$3:$K$47,3,0)</f>
        <v>2N</v>
      </c>
      <c r="J1152" s="29">
        <f>VLOOKUP(G1152,'insumos terrapl'!$C$3:$K$47,4,0)</f>
        <v>58</v>
      </c>
      <c r="K1152" s="29" t="str">
        <f>VLOOKUP(G1152,'insumos terrapl'!$C$3:$K$47,5,0)</f>
        <v>06</v>
      </c>
      <c r="L1152" s="29" t="str">
        <f>VLOOKUP(G1152,'insumos terrapl'!$C$3:$K$47,6,0)</f>
        <v>00</v>
      </c>
      <c r="M1152" s="29" t="str">
        <f>VLOOKUP(G1152,'insumos terrapl'!$C$3:$K$47,7,0)</f>
        <v>00</v>
      </c>
      <c r="N1152" s="29" t="str">
        <f>VLOOKUP(G1152,'insumos terrapl'!$C$3:$K$47,8,0)</f>
        <v>00</v>
      </c>
      <c r="O1152" s="97" t="str">
        <f>VLOOKUP(G1152,'insumos terrapl'!$C$3:$K$47,9,0)</f>
        <v>00</v>
      </c>
    </row>
    <row r="1153" spans="1:15">
      <c r="A1153" s="134"/>
      <c r="B1153" s="137"/>
      <c r="C1153" s="125"/>
      <c r="D1153" s="115"/>
      <c r="E1153" s="115"/>
      <c r="F1153" s="11" t="s">
        <v>621</v>
      </c>
      <c r="G1153" s="20" t="s">
        <v>622</v>
      </c>
      <c r="H1153" s="29" t="str">
        <f>VLOOKUP(G1153,'insumos terrapl'!$C$3:$K$47,2,0)</f>
        <v>2N  58  06  00  00  00  00</v>
      </c>
      <c r="I1153" s="29" t="str">
        <f>VLOOKUP(G1153,'insumos terrapl'!$C$3:$K$47,3,0)</f>
        <v>2N</v>
      </c>
      <c r="J1153" s="29">
        <f>VLOOKUP(G1153,'insumos terrapl'!$C$3:$K$47,4,0)</f>
        <v>58</v>
      </c>
      <c r="K1153" s="29" t="str">
        <f>VLOOKUP(G1153,'insumos terrapl'!$C$3:$K$47,5,0)</f>
        <v>06</v>
      </c>
      <c r="L1153" s="29" t="str">
        <f>VLOOKUP(G1153,'insumos terrapl'!$C$3:$K$47,6,0)</f>
        <v>00</v>
      </c>
      <c r="M1153" s="29" t="str">
        <f>VLOOKUP(G1153,'insumos terrapl'!$C$3:$K$47,7,0)</f>
        <v>00</v>
      </c>
      <c r="N1153" s="29" t="str">
        <f>VLOOKUP(G1153,'insumos terrapl'!$C$3:$K$47,8,0)</f>
        <v>00</v>
      </c>
      <c r="O1153" s="97" t="str">
        <f>VLOOKUP(G1153,'insumos terrapl'!$C$3:$K$47,9,0)</f>
        <v>00</v>
      </c>
    </row>
    <row r="1154" spans="1:15">
      <c r="A1154" s="134"/>
      <c r="B1154" s="137"/>
      <c r="C1154" s="132"/>
      <c r="D1154" s="116"/>
      <c r="E1154" s="116"/>
      <c r="F1154" s="13"/>
      <c r="G1154" s="21"/>
      <c r="H1154" s="31"/>
      <c r="I1154" s="31"/>
      <c r="J1154" s="31"/>
      <c r="K1154" s="31"/>
      <c r="L1154" s="31"/>
      <c r="M1154" s="31"/>
      <c r="N1154" s="31"/>
      <c r="O1154" s="98"/>
    </row>
    <row r="1155" spans="1:15">
      <c r="A1155" s="134"/>
      <c r="B1155" s="137"/>
      <c r="C1155" s="124" t="s">
        <v>237</v>
      </c>
      <c r="D1155" s="114" t="str">
        <f>A1095</f>
        <v>2.6.8</v>
      </c>
      <c r="E1155" s="114" t="s">
        <v>495</v>
      </c>
      <c r="F1155" s="12" t="s">
        <v>237</v>
      </c>
      <c r="G1155" s="19"/>
      <c r="H1155" s="28"/>
      <c r="I1155" s="28"/>
      <c r="J1155" s="28"/>
      <c r="K1155" s="28"/>
      <c r="L1155" s="28"/>
      <c r="M1155" s="28"/>
      <c r="N1155" s="28"/>
      <c r="O1155" s="99"/>
    </row>
    <row r="1156" spans="1:15" ht="30">
      <c r="A1156" s="134"/>
      <c r="B1156" s="137"/>
      <c r="C1156" s="125"/>
      <c r="D1156" s="115"/>
      <c r="E1156" s="115"/>
      <c r="F1156" s="11" t="s">
        <v>659</v>
      </c>
      <c r="G1156" s="20" t="s">
        <v>660</v>
      </c>
      <c r="H1156" s="29" t="str">
        <f>VLOOKUP(G1156,'insumos terrapl'!$C$3:$K$47,2,0)</f>
        <v>2Q  66  10  02  00  00  00</v>
      </c>
      <c r="I1156" s="29" t="str">
        <f>VLOOKUP(G1156,'insumos terrapl'!$C$3:$K$47,3,0)</f>
        <v>2Q</v>
      </c>
      <c r="J1156" s="29">
        <f>VLOOKUP(G1156,'insumos terrapl'!$C$3:$K$47,4,0)</f>
        <v>66</v>
      </c>
      <c r="K1156" s="29" t="str">
        <f>VLOOKUP(G1156,'insumos terrapl'!$C$3:$K$47,5,0)</f>
        <v>10</v>
      </c>
      <c r="L1156" s="29" t="str">
        <f>VLOOKUP(G1156,'insumos terrapl'!$C$3:$K$47,6,0)</f>
        <v>02</v>
      </c>
      <c r="M1156" s="29" t="str">
        <f>VLOOKUP(G1156,'insumos terrapl'!$C$3:$K$47,7,0)</f>
        <v>00</v>
      </c>
      <c r="N1156" s="29" t="str">
        <f>VLOOKUP(G1156,'insumos terrapl'!$C$3:$K$47,8,0)</f>
        <v>00</v>
      </c>
      <c r="O1156" s="97" t="str">
        <f>VLOOKUP(G1156,'insumos terrapl'!$C$3:$K$47,9,0)</f>
        <v>00</v>
      </c>
    </row>
    <row r="1157" spans="1:15" ht="30">
      <c r="A1157" s="134"/>
      <c r="B1157" s="137"/>
      <c r="C1157" s="125"/>
      <c r="D1157" s="115"/>
      <c r="E1157" s="115"/>
      <c r="F1157" s="11" t="s">
        <v>661</v>
      </c>
      <c r="G1157" s="20" t="s">
        <v>662</v>
      </c>
      <c r="H1157" s="29" t="str">
        <f>VLOOKUP(G1157,'insumos terrapl'!$C$3:$K$47,2,0)</f>
        <v>2Q  62  10  06  00  00  00</v>
      </c>
      <c r="I1157" s="29" t="str">
        <f>VLOOKUP(G1157,'insumos terrapl'!$C$3:$K$47,3,0)</f>
        <v>2Q</v>
      </c>
      <c r="J1157" s="29">
        <f>VLOOKUP(G1157,'insumos terrapl'!$C$3:$K$47,4,0)</f>
        <v>62</v>
      </c>
      <c r="K1157" s="29" t="str">
        <f>VLOOKUP(G1157,'insumos terrapl'!$C$3:$K$47,5,0)</f>
        <v>10</v>
      </c>
      <c r="L1157" s="29" t="str">
        <f>VLOOKUP(G1157,'insumos terrapl'!$C$3:$K$47,6,0)</f>
        <v>06</v>
      </c>
      <c r="M1157" s="29" t="str">
        <f>VLOOKUP(G1157,'insumos terrapl'!$C$3:$K$47,7,0)</f>
        <v>00</v>
      </c>
      <c r="N1157" s="29" t="str">
        <f>VLOOKUP(G1157,'insumos terrapl'!$C$3:$K$47,8,0)</f>
        <v>00</v>
      </c>
      <c r="O1157" s="97" t="str">
        <f>VLOOKUP(G1157,'insumos terrapl'!$C$3:$K$47,9,0)</f>
        <v>00</v>
      </c>
    </row>
    <row r="1158" spans="1:15" ht="30">
      <c r="A1158" s="134"/>
      <c r="B1158" s="137"/>
      <c r="C1158" s="125"/>
      <c r="D1158" s="115"/>
      <c r="E1158" s="115"/>
      <c r="F1158" s="11" t="s">
        <v>607</v>
      </c>
      <c r="G1158" s="20" t="s">
        <v>608</v>
      </c>
      <c r="H1158" s="29" t="str">
        <f>VLOOKUP(G1158,'insumos terrapl'!$C$3:$K$47,2,0)</f>
        <v>2Q  42  06  18  02  02  00</v>
      </c>
      <c r="I1158" s="29" t="str">
        <f>VLOOKUP(G1158,'insumos terrapl'!$C$3:$K$47,3,0)</f>
        <v>2Q</v>
      </c>
      <c r="J1158" s="29">
        <f>VLOOKUP(G1158,'insumos terrapl'!$C$3:$K$47,4,0)</f>
        <v>42</v>
      </c>
      <c r="K1158" s="29" t="str">
        <f>VLOOKUP(G1158,'insumos terrapl'!$C$3:$K$47,5,0)</f>
        <v>06</v>
      </c>
      <c r="L1158" s="29">
        <f>VLOOKUP(G1158,'insumos terrapl'!$C$3:$K$47,6,0)</f>
        <v>18</v>
      </c>
      <c r="M1158" s="29" t="str">
        <f>VLOOKUP(G1158,'insumos terrapl'!$C$3:$K$47,7,0)</f>
        <v>02</v>
      </c>
      <c r="N1158" s="29" t="str">
        <f>VLOOKUP(G1158,'insumos terrapl'!$C$3:$K$47,8,0)</f>
        <v>02</v>
      </c>
      <c r="O1158" s="97" t="str">
        <f>VLOOKUP(G1158,'insumos terrapl'!$C$3:$K$47,9,0)</f>
        <v>00</v>
      </c>
    </row>
    <row r="1159" spans="1:15" ht="45">
      <c r="A1159" s="134"/>
      <c r="B1159" s="137"/>
      <c r="C1159" s="125"/>
      <c r="D1159" s="115"/>
      <c r="E1159" s="115"/>
      <c r="F1159" s="11" t="s">
        <v>609</v>
      </c>
      <c r="G1159" s="20" t="s">
        <v>610</v>
      </c>
      <c r="H1159" s="29" t="str">
        <f>VLOOKUP(G1159,'insumos terrapl'!$C$3:$K$47,2,0)</f>
        <v>2Q  42  06  02  14  02  00</v>
      </c>
      <c r="I1159" s="29" t="str">
        <f>VLOOKUP(G1159,'insumos terrapl'!$C$3:$K$47,3,0)</f>
        <v>2Q</v>
      </c>
      <c r="J1159" s="29">
        <f>VLOOKUP(G1159,'insumos terrapl'!$C$3:$K$47,4,0)</f>
        <v>42</v>
      </c>
      <c r="K1159" s="29" t="str">
        <f>VLOOKUP(G1159,'insumos terrapl'!$C$3:$K$47,5,0)</f>
        <v>06</v>
      </c>
      <c r="L1159" s="29" t="str">
        <f>VLOOKUP(G1159,'insumos terrapl'!$C$3:$K$47,6,0)</f>
        <v>02</v>
      </c>
      <c r="M1159" s="29" t="str">
        <f>VLOOKUP(G1159,'insumos terrapl'!$C$3:$K$47,7,0)</f>
        <v>14</v>
      </c>
      <c r="N1159" s="29" t="str">
        <f>VLOOKUP(G1159,'insumos terrapl'!$C$3:$K$47,8,0)</f>
        <v>02</v>
      </c>
      <c r="O1159" s="97" t="str">
        <f>VLOOKUP(G1159,'insumos terrapl'!$C$3:$K$47,9,0)</f>
        <v>00</v>
      </c>
    </row>
    <row r="1160" spans="1:15">
      <c r="A1160" s="134"/>
      <c r="B1160" s="137"/>
      <c r="C1160" s="125"/>
      <c r="D1160" s="115"/>
      <c r="E1160" s="115"/>
      <c r="F1160" s="11" t="s">
        <v>633</v>
      </c>
      <c r="G1160" s="20" t="s">
        <v>634</v>
      </c>
      <c r="H1160" s="29" t="str">
        <f>VLOOKUP(G1160,'insumos terrapl'!$C$3:$K$47,2,0)</f>
        <v>2Q  58  10  10  02  06  00</v>
      </c>
      <c r="I1160" s="29" t="str">
        <f>VLOOKUP(G1160,'insumos terrapl'!$C$3:$K$47,3,0)</f>
        <v>2Q</v>
      </c>
      <c r="J1160" s="29">
        <f>VLOOKUP(G1160,'insumos terrapl'!$C$3:$K$47,4,0)</f>
        <v>58</v>
      </c>
      <c r="K1160" s="29" t="str">
        <f>VLOOKUP(G1160,'insumos terrapl'!$C$3:$K$47,5,0)</f>
        <v>10</v>
      </c>
      <c r="L1160" s="29" t="str">
        <f>VLOOKUP(G1160,'insumos terrapl'!$C$3:$K$47,6,0)</f>
        <v>10</v>
      </c>
      <c r="M1160" s="29" t="str">
        <f>VLOOKUP(G1160,'insumos terrapl'!$C$3:$K$47,7,0)</f>
        <v>02</v>
      </c>
      <c r="N1160" s="29" t="str">
        <f>VLOOKUP(G1160,'insumos terrapl'!$C$3:$K$47,8,0)</f>
        <v>06</v>
      </c>
      <c r="O1160" s="97" t="str">
        <f>VLOOKUP(G1160,'insumos terrapl'!$C$3:$K$47,9,0)</f>
        <v>00</v>
      </c>
    </row>
    <row r="1161" spans="1:15">
      <c r="A1161" s="134"/>
      <c r="B1161" s="137"/>
      <c r="C1161" s="125"/>
      <c r="D1161" s="115"/>
      <c r="E1161" s="115"/>
      <c r="F1161" s="11" t="s">
        <v>586</v>
      </c>
      <c r="G1161" s="20" t="s">
        <v>587</v>
      </c>
      <c r="H1161" s="29" t="str">
        <f>VLOOKUP(G1161,'insumos terrapl'!$C$3:$K$47,2,0)</f>
        <v>2Q  62  30  02  14  00  00</v>
      </c>
      <c r="I1161" s="29" t="str">
        <f>VLOOKUP(G1161,'insumos terrapl'!$C$3:$K$47,3,0)</f>
        <v>2Q</v>
      </c>
      <c r="J1161" s="29">
        <f>VLOOKUP(G1161,'insumos terrapl'!$C$3:$K$47,4,0)</f>
        <v>62</v>
      </c>
      <c r="K1161" s="29">
        <f>VLOOKUP(G1161,'insumos terrapl'!$C$3:$K$47,5,0)</f>
        <v>30</v>
      </c>
      <c r="L1161" s="29" t="str">
        <f>VLOOKUP(G1161,'insumos terrapl'!$C$3:$K$47,6,0)</f>
        <v>02</v>
      </c>
      <c r="M1161" s="29" t="str">
        <f>VLOOKUP(G1161,'insumos terrapl'!$C$3:$K$47,7,0)</f>
        <v>14</v>
      </c>
      <c r="N1161" s="29" t="str">
        <f>VLOOKUP(G1161,'insumos terrapl'!$C$3:$K$47,8,0)</f>
        <v>00</v>
      </c>
      <c r="O1161" s="97" t="str">
        <f>VLOOKUP(G1161,'insumos terrapl'!$C$3:$K$47,9,0)</f>
        <v>00</v>
      </c>
    </row>
    <row r="1162" spans="1:15">
      <c r="A1162" s="134"/>
      <c r="B1162" s="137"/>
      <c r="C1162" s="125"/>
      <c r="D1162" s="115"/>
      <c r="E1162" s="115"/>
      <c r="F1162" s="11" t="s">
        <v>613</v>
      </c>
      <c r="G1162" s="20" t="s">
        <v>614</v>
      </c>
      <c r="H1162" s="29" t="str">
        <f>VLOOKUP(G1162,'insumos terrapl'!$C$3:$K$47,2,0)</f>
        <v>2N  20  14  02  00  00  00</v>
      </c>
      <c r="I1162" s="29" t="str">
        <f>VLOOKUP(G1162,'insumos terrapl'!$C$3:$K$47,3,0)</f>
        <v>2N</v>
      </c>
      <c r="J1162" s="29">
        <f>VLOOKUP(G1162,'insumos terrapl'!$C$3:$K$47,4,0)</f>
        <v>20</v>
      </c>
      <c r="K1162" s="29" t="str">
        <f>VLOOKUP(G1162,'insumos terrapl'!$C$3:$K$47,5,0)</f>
        <v>14</v>
      </c>
      <c r="L1162" s="29" t="str">
        <f>VLOOKUP(G1162,'insumos terrapl'!$C$3:$K$47,6,0)</f>
        <v>02</v>
      </c>
      <c r="M1162" s="29" t="str">
        <f>VLOOKUP(G1162,'insumos terrapl'!$C$3:$K$47,7,0)</f>
        <v>00</v>
      </c>
      <c r="N1162" s="29" t="str">
        <f>VLOOKUP(G1162,'insumos terrapl'!$C$3:$K$47,8,0)</f>
        <v>00</v>
      </c>
      <c r="O1162" s="97" t="str">
        <f>VLOOKUP(G1162,'insumos terrapl'!$C$3:$K$47,9,0)</f>
        <v>00</v>
      </c>
    </row>
    <row r="1163" spans="1:15">
      <c r="A1163" s="134"/>
      <c r="B1163" s="137"/>
      <c r="C1163" s="125"/>
      <c r="D1163" s="115"/>
      <c r="E1163" s="115"/>
      <c r="F1163" s="11" t="s">
        <v>615</v>
      </c>
      <c r="G1163" s="20" t="s">
        <v>616</v>
      </c>
      <c r="H1163" s="29" t="str">
        <f>VLOOKUP(G1163,'insumos terrapl'!$C$3:$K$47,2,0)</f>
        <v>2N  20  14  02  00  00  00</v>
      </c>
      <c r="I1163" s="29" t="str">
        <f>VLOOKUP(G1163,'insumos terrapl'!$C$3:$K$47,3,0)</f>
        <v>2N</v>
      </c>
      <c r="J1163" s="29">
        <f>VLOOKUP(G1163,'insumos terrapl'!$C$3:$K$47,4,0)</f>
        <v>20</v>
      </c>
      <c r="K1163" s="29" t="str">
        <f>VLOOKUP(G1163,'insumos terrapl'!$C$3:$K$47,5,0)</f>
        <v>14</v>
      </c>
      <c r="L1163" s="29" t="str">
        <f>VLOOKUP(G1163,'insumos terrapl'!$C$3:$K$47,6,0)</f>
        <v>02</v>
      </c>
      <c r="M1163" s="29" t="str">
        <f>VLOOKUP(G1163,'insumos terrapl'!$C$3:$K$47,7,0)</f>
        <v>00</v>
      </c>
      <c r="N1163" s="29" t="str">
        <f>VLOOKUP(G1163,'insumos terrapl'!$C$3:$K$47,8,0)</f>
        <v>00</v>
      </c>
      <c r="O1163" s="97" t="str">
        <f>VLOOKUP(G1163,'insumos terrapl'!$C$3:$K$47,9,0)</f>
        <v>00</v>
      </c>
    </row>
    <row r="1164" spans="1:15" ht="30">
      <c r="A1164" s="134"/>
      <c r="B1164" s="137"/>
      <c r="C1164" s="125"/>
      <c r="D1164" s="115"/>
      <c r="E1164" s="115"/>
      <c r="F1164" s="11" t="s">
        <v>635</v>
      </c>
      <c r="G1164" s="20" t="s">
        <v>636</v>
      </c>
      <c r="H1164" s="29" t="str">
        <f>VLOOKUP(G1164,'insumos terrapl'!$C$3:$K$47,2,0)</f>
        <v>2N  58  06  00  00  00  00</v>
      </c>
      <c r="I1164" s="29" t="str">
        <f>VLOOKUP(G1164,'insumos terrapl'!$C$3:$K$47,3,0)</f>
        <v>2N</v>
      </c>
      <c r="J1164" s="29">
        <f>VLOOKUP(G1164,'insumos terrapl'!$C$3:$K$47,4,0)</f>
        <v>58</v>
      </c>
      <c r="K1164" s="29" t="str">
        <f>VLOOKUP(G1164,'insumos terrapl'!$C$3:$K$47,5,0)</f>
        <v>06</v>
      </c>
      <c r="L1164" s="29" t="str">
        <f>VLOOKUP(G1164,'insumos terrapl'!$C$3:$K$47,6,0)</f>
        <v>00</v>
      </c>
      <c r="M1164" s="29" t="str">
        <f>VLOOKUP(G1164,'insumos terrapl'!$C$3:$K$47,7,0)</f>
        <v>00</v>
      </c>
      <c r="N1164" s="29" t="str">
        <f>VLOOKUP(G1164,'insumos terrapl'!$C$3:$K$47,8,0)</f>
        <v>00</v>
      </c>
      <c r="O1164" s="97" t="str">
        <f>VLOOKUP(G1164,'insumos terrapl'!$C$3:$K$47,9,0)</f>
        <v>00</v>
      </c>
    </row>
    <row r="1165" spans="1:15">
      <c r="A1165" s="134"/>
      <c r="B1165" s="137"/>
      <c r="C1165" s="125"/>
      <c r="D1165" s="115"/>
      <c r="E1165" s="115"/>
      <c r="F1165" s="11" t="s">
        <v>617</v>
      </c>
      <c r="G1165" s="20" t="s">
        <v>618</v>
      </c>
      <c r="H1165" s="29" t="str">
        <f>VLOOKUP(G1165,'insumos terrapl'!$C$3:$K$47,2,0)</f>
        <v>2Q  58  06  02  28  00  00</v>
      </c>
      <c r="I1165" s="29" t="str">
        <f>VLOOKUP(G1165,'insumos terrapl'!$C$3:$K$47,3,0)</f>
        <v>2Q</v>
      </c>
      <c r="J1165" s="29">
        <f>VLOOKUP(G1165,'insumos terrapl'!$C$3:$K$47,4,0)</f>
        <v>58</v>
      </c>
      <c r="K1165" s="29" t="str">
        <f>VLOOKUP(G1165,'insumos terrapl'!$C$3:$K$47,5,0)</f>
        <v>06</v>
      </c>
      <c r="L1165" s="29" t="str">
        <f>VLOOKUP(G1165,'insumos terrapl'!$C$3:$K$47,6,0)</f>
        <v>02</v>
      </c>
      <c r="M1165" s="29" t="str">
        <f>VLOOKUP(G1165,'insumos terrapl'!$C$3:$K$47,7,0)</f>
        <v>28</v>
      </c>
      <c r="N1165" s="29" t="str">
        <f>VLOOKUP(G1165,'insumos terrapl'!$C$3:$K$47,8,0)</f>
        <v>00</v>
      </c>
      <c r="O1165" s="97" t="str">
        <f>VLOOKUP(G1165,'insumos terrapl'!$C$3:$K$47,9,0)</f>
        <v>00</v>
      </c>
    </row>
    <row r="1166" spans="1:15" ht="30">
      <c r="A1166" s="134"/>
      <c r="B1166" s="137"/>
      <c r="C1166" s="125"/>
      <c r="D1166" s="115"/>
      <c r="E1166" s="115"/>
      <c r="F1166" s="11" t="s">
        <v>637</v>
      </c>
      <c r="G1166" s="20" t="s">
        <v>638</v>
      </c>
      <c r="H1166" s="29" t="str">
        <f>VLOOKUP(G1166,'insumos terrapl'!$C$3:$K$47,2,0)</f>
        <v>2N  58  06  00  00  00  00</v>
      </c>
      <c r="I1166" s="29" t="str">
        <f>VLOOKUP(G1166,'insumos terrapl'!$C$3:$K$47,3,0)</f>
        <v>2N</v>
      </c>
      <c r="J1166" s="29">
        <f>VLOOKUP(G1166,'insumos terrapl'!$C$3:$K$47,4,0)</f>
        <v>58</v>
      </c>
      <c r="K1166" s="29" t="str">
        <f>VLOOKUP(G1166,'insumos terrapl'!$C$3:$K$47,5,0)</f>
        <v>06</v>
      </c>
      <c r="L1166" s="29" t="str">
        <f>VLOOKUP(G1166,'insumos terrapl'!$C$3:$K$47,6,0)</f>
        <v>00</v>
      </c>
      <c r="M1166" s="29" t="str">
        <f>VLOOKUP(G1166,'insumos terrapl'!$C$3:$K$47,7,0)</f>
        <v>00</v>
      </c>
      <c r="N1166" s="29" t="str">
        <f>VLOOKUP(G1166,'insumos terrapl'!$C$3:$K$47,8,0)</f>
        <v>00</v>
      </c>
      <c r="O1166" s="97" t="str">
        <f>VLOOKUP(G1166,'insumos terrapl'!$C$3:$K$47,9,0)</f>
        <v>00</v>
      </c>
    </row>
    <row r="1167" spans="1:15" ht="30">
      <c r="A1167" s="134"/>
      <c r="B1167" s="137"/>
      <c r="C1167" s="125"/>
      <c r="D1167" s="115"/>
      <c r="E1167" s="115"/>
      <c r="F1167" s="11" t="s">
        <v>639</v>
      </c>
      <c r="G1167" s="20" t="s">
        <v>640</v>
      </c>
      <c r="H1167" s="29" t="str">
        <f>VLOOKUP(G1167,'insumos terrapl'!$C$3:$K$47,2,0)</f>
        <v>2N  58  06  00  00  00  00</v>
      </c>
      <c r="I1167" s="29" t="str">
        <f>VLOOKUP(G1167,'insumos terrapl'!$C$3:$K$47,3,0)</f>
        <v>2N</v>
      </c>
      <c r="J1167" s="29">
        <f>VLOOKUP(G1167,'insumos terrapl'!$C$3:$K$47,4,0)</f>
        <v>58</v>
      </c>
      <c r="K1167" s="29" t="str">
        <f>VLOOKUP(G1167,'insumos terrapl'!$C$3:$K$47,5,0)</f>
        <v>06</v>
      </c>
      <c r="L1167" s="29" t="str">
        <f>VLOOKUP(G1167,'insumos terrapl'!$C$3:$K$47,6,0)</f>
        <v>00</v>
      </c>
      <c r="M1167" s="29" t="str">
        <f>VLOOKUP(G1167,'insumos terrapl'!$C$3:$K$47,7,0)</f>
        <v>00</v>
      </c>
      <c r="N1167" s="29" t="str">
        <f>VLOOKUP(G1167,'insumos terrapl'!$C$3:$K$47,8,0)</f>
        <v>00</v>
      </c>
      <c r="O1167" s="97" t="str">
        <f>VLOOKUP(G1167,'insumos terrapl'!$C$3:$K$47,9,0)</f>
        <v>00</v>
      </c>
    </row>
    <row r="1168" spans="1:15">
      <c r="A1168" s="134"/>
      <c r="B1168" s="137"/>
      <c r="C1168" s="125"/>
      <c r="D1168" s="115"/>
      <c r="E1168" s="115"/>
      <c r="F1168" s="11" t="s">
        <v>641</v>
      </c>
      <c r="G1168" s="20" t="s">
        <v>642</v>
      </c>
      <c r="H1168" s="29" t="str">
        <f>VLOOKUP(G1168,'insumos terrapl'!$C$3:$K$47,2,0)</f>
        <v>2N  58  06  00  00  00  00</v>
      </c>
      <c r="I1168" s="29" t="str">
        <f>VLOOKUP(G1168,'insumos terrapl'!$C$3:$K$47,3,0)</f>
        <v>2N</v>
      </c>
      <c r="J1168" s="29">
        <f>VLOOKUP(G1168,'insumos terrapl'!$C$3:$K$47,4,0)</f>
        <v>58</v>
      </c>
      <c r="K1168" s="29" t="str">
        <f>VLOOKUP(G1168,'insumos terrapl'!$C$3:$K$47,5,0)</f>
        <v>06</v>
      </c>
      <c r="L1168" s="29" t="str">
        <f>VLOOKUP(G1168,'insumos terrapl'!$C$3:$K$47,6,0)</f>
        <v>00</v>
      </c>
      <c r="M1168" s="29" t="str">
        <f>VLOOKUP(G1168,'insumos terrapl'!$C$3:$K$47,7,0)</f>
        <v>00</v>
      </c>
      <c r="N1168" s="29" t="str">
        <f>VLOOKUP(G1168,'insumos terrapl'!$C$3:$K$47,8,0)</f>
        <v>00</v>
      </c>
      <c r="O1168" s="97" t="str">
        <f>VLOOKUP(G1168,'insumos terrapl'!$C$3:$K$47,9,0)</f>
        <v>00</v>
      </c>
    </row>
    <row r="1169" spans="1:15">
      <c r="A1169" s="134"/>
      <c r="B1169" s="137"/>
      <c r="C1169" s="125"/>
      <c r="D1169" s="115"/>
      <c r="E1169" s="115"/>
      <c r="F1169" s="11" t="s">
        <v>619</v>
      </c>
      <c r="G1169" s="20" t="s">
        <v>620</v>
      </c>
      <c r="H1169" s="29"/>
      <c r="I1169" s="29"/>
      <c r="J1169" s="29"/>
      <c r="K1169" s="29"/>
      <c r="L1169" s="29"/>
      <c r="M1169" s="29"/>
      <c r="N1169" s="29"/>
      <c r="O1169" s="97"/>
    </row>
    <row r="1170" spans="1:15">
      <c r="A1170" s="134"/>
      <c r="B1170" s="137"/>
      <c r="C1170" s="125"/>
      <c r="D1170" s="115"/>
      <c r="E1170" s="115"/>
      <c r="F1170" s="11" t="s">
        <v>643</v>
      </c>
      <c r="G1170" s="20" t="s">
        <v>644</v>
      </c>
      <c r="H1170" s="29" t="str">
        <f>VLOOKUP(G1170,'insumos terrapl'!$C$3:$K$47,2,0)</f>
        <v>2N  58  06  00  00  00  00</v>
      </c>
      <c r="I1170" s="29" t="str">
        <f>VLOOKUP(G1170,'insumos terrapl'!$C$3:$K$47,3,0)</f>
        <v>2N</v>
      </c>
      <c r="J1170" s="29">
        <f>VLOOKUP(G1170,'insumos terrapl'!$C$3:$K$47,4,0)</f>
        <v>58</v>
      </c>
      <c r="K1170" s="29" t="str">
        <f>VLOOKUP(G1170,'insumos terrapl'!$C$3:$K$47,5,0)</f>
        <v>06</v>
      </c>
      <c r="L1170" s="29" t="str">
        <f>VLOOKUP(G1170,'insumos terrapl'!$C$3:$K$47,6,0)</f>
        <v>00</v>
      </c>
      <c r="M1170" s="29" t="str">
        <f>VLOOKUP(G1170,'insumos terrapl'!$C$3:$K$47,7,0)</f>
        <v>00</v>
      </c>
      <c r="N1170" s="29" t="str">
        <f>VLOOKUP(G1170,'insumos terrapl'!$C$3:$K$47,8,0)</f>
        <v>00</v>
      </c>
      <c r="O1170" s="97" t="str">
        <f>VLOOKUP(G1170,'insumos terrapl'!$C$3:$K$47,9,0)</f>
        <v>00</v>
      </c>
    </row>
    <row r="1171" spans="1:15">
      <c r="A1171" s="134"/>
      <c r="B1171" s="137"/>
      <c r="C1171" s="125"/>
      <c r="D1171" s="115"/>
      <c r="E1171" s="115"/>
      <c r="F1171" s="11" t="s">
        <v>645</v>
      </c>
      <c r="G1171" s="20" t="s">
        <v>646</v>
      </c>
      <c r="H1171" s="29" t="str">
        <f>VLOOKUP(G1171,'insumos terrapl'!$C$3:$K$47,2,0)</f>
        <v>2N  58  06  00  00  00  00</v>
      </c>
      <c r="I1171" s="29" t="str">
        <f>VLOOKUP(G1171,'insumos terrapl'!$C$3:$K$47,3,0)</f>
        <v>2N</v>
      </c>
      <c r="J1171" s="29">
        <f>VLOOKUP(G1171,'insumos terrapl'!$C$3:$K$47,4,0)</f>
        <v>58</v>
      </c>
      <c r="K1171" s="29" t="str">
        <f>VLOOKUP(G1171,'insumos terrapl'!$C$3:$K$47,5,0)</f>
        <v>06</v>
      </c>
      <c r="L1171" s="29" t="str">
        <f>VLOOKUP(G1171,'insumos terrapl'!$C$3:$K$47,6,0)</f>
        <v>00</v>
      </c>
      <c r="M1171" s="29" t="str">
        <f>VLOOKUP(G1171,'insumos terrapl'!$C$3:$K$47,7,0)</f>
        <v>00</v>
      </c>
      <c r="N1171" s="29" t="str">
        <f>VLOOKUP(G1171,'insumos terrapl'!$C$3:$K$47,8,0)</f>
        <v>00</v>
      </c>
      <c r="O1171" s="97" t="str">
        <f>VLOOKUP(G1171,'insumos terrapl'!$C$3:$K$47,9,0)</f>
        <v>00</v>
      </c>
    </row>
    <row r="1172" spans="1:15" ht="30">
      <c r="A1172" s="134"/>
      <c r="B1172" s="137"/>
      <c r="C1172" s="125"/>
      <c r="D1172" s="115"/>
      <c r="E1172" s="115"/>
      <c r="F1172" s="11" t="s">
        <v>647</v>
      </c>
      <c r="G1172" s="20" t="s">
        <v>648</v>
      </c>
      <c r="H1172" s="29" t="str">
        <f>VLOOKUP(G1172,'insumos terrapl'!$C$3:$K$47,2,0)</f>
        <v>2N  58  06  00  00  00  00</v>
      </c>
      <c r="I1172" s="29" t="str">
        <f>VLOOKUP(G1172,'insumos terrapl'!$C$3:$K$47,3,0)</f>
        <v>2N</v>
      </c>
      <c r="J1172" s="29">
        <f>VLOOKUP(G1172,'insumos terrapl'!$C$3:$K$47,4,0)</f>
        <v>58</v>
      </c>
      <c r="K1172" s="29" t="str">
        <f>VLOOKUP(G1172,'insumos terrapl'!$C$3:$K$47,5,0)</f>
        <v>06</v>
      </c>
      <c r="L1172" s="29" t="str">
        <f>VLOOKUP(G1172,'insumos terrapl'!$C$3:$K$47,6,0)</f>
        <v>00</v>
      </c>
      <c r="M1172" s="29" t="str">
        <f>VLOOKUP(G1172,'insumos terrapl'!$C$3:$K$47,7,0)</f>
        <v>00</v>
      </c>
      <c r="N1172" s="29" t="str">
        <f>VLOOKUP(G1172,'insumos terrapl'!$C$3:$K$47,8,0)</f>
        <v>00</v>
      </c>
      <c r="O1172" s="97" t="str">
        <f>VLOOKUP(G1172,'insumos terrapl'!$C$3:$K$47,9,0)</f>
        <v>00</v>
      </c>
    </row>
    <row r="1173" spans="1:15">
      <c r="A1173" s="134"/>
      <c r="B1173" s="137"/>
      <c r="C1173" s="125"/>
      <c r="D1173" s="115"/>
      <c r="E1173" s="115"/>
      <c r="F1173" s="11" t="s">
        <v>621</v>
      </c>
      <c r="G1173" s="20" t="s">
        <v>622</v>
      </c>
      <c r="H1173" s="29" t="str">
        <f>VLOOKUP(G1173,'insumos terrapl'!$C$3:$K$47,2,0)</f>
        <v>2N  58  06  00  00  00  00</v>
      </c>
      <c r="I1173" s="29" t="str">
        <f>VLOOKUP(G1173,'insumos terrapl'!$C$3:$K$47,3,0)</f>
        <v>2N</v>
      </c>
      <c r="J1173" s="29">
        <f>VLOOKUP(G1173,'insumos terrapl'!$C$3:$K$47,4,0)</f>
        <v>58</v>
      </c>
      <c r="K1173" s="29" t="str">
        <f>VLOOKUP(G1173,'insumos terrapl'!$C$3:$K$47,5,0)</f>
        <v>06</v>
      </c>
      <c r="L1173" s="29" t="str">
        <f>VLOOKUP(G1173,'insumos terrapl'!$C$3:$K$47,6,0)</f>
        <v>00</v>
      </c>
      <c r="M1173" s="29" t="str">
        <f>VLOOKUP(G1173,'insumos terrapl'!$C$3:$K$47,7,0)</f>
        <v>00</v>
      </c>
      <c r="N1173" s="29" t="str">
        <f>VLOOKUP(G1173,'insumos terrapl'!$C$3:$K$47,8,0)</f>
        <v>00</v>
      </c>
      <c r="O1173" s="97" t="str">
        <f>VLOOKUP(G1173,'insumos terrapl'!$C$3:$K$47,9,0)</f>
        <v>00</v>
      </c>
    </row>
    <row r="1174" spans="1:15">
      <c r="A1174" s="134"/>
      <c r="B1174" s="137"/>
      <c r="C1174" s="132"/>
      <c r="D1174" s="116"/>
      <c r="E1174" s="116"/>
      <c r="F1174" s="13"/>
      <c r="G1174" s="21"/>
      <c r="H1174" s="31"/>
      <c r="I1174" s="31"/>
      <c r="J1174" s="31"/>
      <c r="K1174" s="31"/>
      <c r="L1174" s="31"/>
      <c r="M1174" s="31"/>
      <c r="N1174" s="31"/>
      <c r="O1174" s="98"/>
    </row>
    <row r="1175" spans="1:15">
      <c r="A1175" s="134"/>
      <c r="B1175" s="137"/>
      <c r="C1175" s="124" t="s">
        <v>238</v>
      </c>
      <c r="D1175" s="114" t="str">
        <f>A1095</f>
        <v>2.6.8</v>
      </c>
      <c r="E1175" s="115" t="s">
        <v>496</v>
      </c>
      <c r="F1175" s="11" t="s">
        <v>238</v>
      </c>
      <c r="G1175" s="20"/>
      <c r="H1175" s="29"/>
      <c r="I1175" s="29"/>
      <c r="J1175" s="29"/>
      <c r="K1175" s="29"/>
      <c r="L1175" s="29"/>
      <c r="M1175" s="29"/>
      <c r="N1175" s="29"/>
      <c r="O1175" s="97"/>
    </row>
    <row r="1176" spans="1:15" ht="30">
      <c r="A1176" s="134"/>
      <c r="B1176" s="137"/>
      <c r="C1176" s="125"/>
      <c r="D1176" s="115"/>
      <c r="E1176" s="115"/>
      <c r="F1176" s="11" t="s">
        <v>659</v>
      </c>
      <c r="G1176" s="20" t="s">
        <v>660</v>
      </c>
      <c r="H1176" s="29" t="str">
        <f>VLOOKUP(G1176,'insumos terrapl'!$C$3:$K$47,2,0)</f>
        <v>2Q  66  10  02  00  00  00</v>
      </c>
      <c r="I1176" s="29" t="str">
        <f>VLOOKUP(G1176,'insumos terrapl'!$C$3:$K$47,3,0)</f>
        <v>2Q</v>
      </c>
      <c r="J1176" s="29">
        <f>VLOOKUP(G1176,'insumos terrapl'!$C$3:$K$47,4,0)</f>
        <v>66</v>
      </c>
      <c r="K1176" s="29" t="str">
        <f>VLOOKUP(G1176,'insumos terrapl'!$C$3:$K$47,5,0)</f>
        <v>10</v>
      </c>
      <c r="L1176" s="29" t="str">
        <f>VLOOKUP(G1176,'insumos terrapl'!$C$3:$K$47,6,0)</f>
        <v>02</v>
      </c>
      <c r="M1176" s="29" t="str">
        <f>VLOOKUP(G1176,'insumos terrapl'!$C$3:$K$47,7,0)</f>
        <v>00</v>
      </c>
      <c r="N1176" s="29" t="str">
        <f>VLOOKUP(G1176,'insumos terrapl'!$C$3:$K$47,8,0)</f>
        <v>00</v>
      </c>
      <c r="O1176" s="97" t="str">
        <f>VLOOKUP(G1176,'insumos terrapl'!$C$3:$K$47,9,0)</f>
        <v>00</v>
      </c>
    </row>
    <row r="1177" spans="1:15" ht="30">
      <c r="A1177" s="134"/>
      <c r="B1177" s="137"/>
      <c r="C1177" s="125"/>
      <c r="D1177" s="115"/>
      <c r="E1177" s="115"/>
      <c r="F1177" s="11" t="s">
        <v>661</v>
      </c>
      <c r="G1177" s="20" t="s">
        <v>662</v>
      </c>
      <c r="H1177" s="29" t="str">
        <f>VLOOKUP(G1177,'insumos terrapl'!$C$3:$K$47,2,0)</f>
        <v>2Q  62  10  06  00  00  00</v>
      </c>
      <c r="I1177" s="29" t="str">
        <f>VLOOKUP(G1177,'insumos terrapl'!$C$3:$K$47,3,0)</f>
        <v>2Q</v>
      </c>
      <c r="J1177" s="29">
        <f>VLOOKUP(G1177,'insumos terrapl'!$C$3:$K$47,4,0)</f>
        <v>62</v>
      </c>
      <c r="K1177" s="29" t="str">
        <f>VLOOKUP(G1177,'insumos terrapl'!$C$3:$K$47,5,0)</f>
        <v>10</v>
      </c>
      <c r="L1177" s="29" t="str">
        <f>VLOOKUP(G1177,'insumos terrapl'!$C$3:$K$47,6,0)</f>
        <v>06</v>
      </c>
      <c r="M1177" s="29" t="str">
        <f>VLOOKUP(G1177,'insumos terrapl'!$C$3:$K$47,7,0)</f>
        <v>00</v>
      </c>
      <c r="N1177" s="29" t="str">
        <f>VLOOKUP(G1177,'insumos terrapl'!$C$3:$K$47,8,0)</f>
        <v>00</v>
      </c>
      <c r="O1177" s="97" t="str">
        <f>VLOOKUP(G1177,'insumos terrapl'!$C$3:$K$47,9,0)</f>
        <v>00</v>
      </c>
    </row>
    <row r="1178" spans="1:15" ht="30">
      <c r="A1178" s="134"/>
      <c r="B1178" s="137"/>
      <c r="C1178" s="125"/>
      <c r="D1178" s="115"/>
      <c r="E1178" s="115"/>
      <c r="F1178" s="11" t="s">
        <v>607</v>
      </c>
      <c r="G1178" s="20" t="s">
        <v>608</v>
      </c>
      <c r="H1178" s="29" t="str">
        <f>VLOOKUP(G1178,'insumos terrapl'!$C$3:$K$47,2,0)</f>
        <v>2Q  42  06  18  02  02  00</v>
      </c>
      <c r="I1178" s="29" t="str">
        <f>VLOOKUP(G1178,'insumos terrapl'!$C$3:$K$47,3,0)</f>
        <v>2Q</v>
      </c>
      <c r="J1178" s="29">
        <f>VLOOKUP(G1178,'insumos terrapl'!$C$3:$K$47,4,0)</f>
        <v>42</v>
      </c>
      <c r="K1178" s="29" t="str">
        <f>VLOOKUP(G1178,'insumos terrapl'!$C$3:$K$47,5,0)</f>
        <v>06</v>
      </c>
      <c r="L1178" s="29">
        <f>VLOOKUP(G1178,'insumos terrapl'!$C$3:$K$47,6,0)</f>
        <v>18</v>
      </c>
      <c r="M1178" s="29" t="str">
        <f>VLOOKUP(G1178,'insumos terrapl'!$C$3:$K$47,7,0)</f>
        <v>02</v>
      </c>
      <c r="N1178" s="29" t="str">
        <f>VLOOKUP(G1178,'insumos terrapl'!$C$3:$K$47,8,0)</f>
        <v>02</v>
      </c>
      <c r="O1178" s="97" t="str">
        <f>VLOOKUP(G1178,'insumos terrapl'!$C$3:$K$47,9,0)</f>
        <v>00</v>
      </c>
    </row>
    <row r="1179" spans="1:15" ht="45">
      <c r="A1179" s="134"/>
      <c r="B1179" s="137"/>
      <c r="C1179" s="125"/>
      <c r="D1179" s="115"/>
      <c r="E1179" s="115"/>
      <c r="F1179" s="11" t="s">
        <v>609</v>
      </c>
      <c r="G1179" s="20" t="s">
        <v>610</v>
      </c>
      <c r="H1179" s="29" t="str">
        <f>VLOOKUP(G1179,'insumos terrapl'!$C$3:$K$47,2,0)</f>
        <v>2Q  42  06  02  14  02  00</v>
      </c>
      <c r="I1179" s="29" t="str">
        <f>VLOOKUP(G1179,'insumos terrapl'!$C$3:$K$47,3,0)</f>
        <v>2Q</v>
      </c>
      <c r="J1179" s="29">
        <f>VLOOKUP(G1179,'insumos terrapl'!$C$3:$K$47,4,0)</f>
        <v>42</v>
      </c>
      <c r="K1179" s="29" t="str">
        <f>VLOOKUP(G1179,'insumos terrapl'!$C$3:$K$47,5,0)</f>
        <v>06</v>
      </c>
      <c r="L1179" s="29" t="str">
        <f>VLOOKUP(G1179,'insumos terrapl'!$C$3:$K$47,6,0)</f>
        <v>02</v>
      </c>
      <c r="M1179" s="29" t="str">
        <f>VLOOKUP(G1179,'insumos terrapl'!$C$3:$K$47,7,0)</f>
        <v>14</v>
      </c>
      <c r="N1179" s="29" t="str">
        <f>VLOOKUP(G1179,'insumos terrapl'!$C$3:$K$47,8,0)</f>
        <v>02</v>
      </c>
      <c r="O1179" s="97" t="str">
        <f>VLOOKUP(G1179,'insumos terrapl'!$C$3:$K$47,9,0)</f>
        <v>00</v>
      </c>
    </row>
    <row r="1180" spans="1:15">
      <c r="A1180" s="134"/>
      <c r="B1180" s="137"/>
      <c r="C1180" s="125"/>
      <c r="D1180" s="115"/>
      <c r="E1180" s="115"/>
      <c r="F1180" s="11" t="s">
        <v>633</v>
      </c>
      <c r="G1180" s="20" t="s">
        <v>634</v>
      </c>
      <c r="H1180" s="29" t="str">
        <f>VLOOKUP(G1180,'insumos terrapl'!$C$3:$K$47,2,0)</f>
        <v>2Q  58  10  10  02  06  00</v>
      </c>
      <c r="I1180" s="29" t="str">
        <f>VLOOKUP(G1180,'insumos terrapl'!$C$3:$K$47,3,0)</f>
        <v>2Q</v>
      </c>
      <c r="J1180" s="29">
        <f>VLOOKUP(G1180,'insumos terrapl'!$C$3:$K$47,4,0)</f>
        <v>58</v>
      </c>
      <c r="K1180" s="29" t="str">
        <f>VLOOKUP(G1180,'insumos terrapl'!$C$3:$K$47,5,0)</f>
        <v>10</v>
      </c>
      <c r="L1180" s="29" t="str">
        <f>VLOOKUP(G1180,'insumos terrapl'!$C$3:$K$47,6,0)</f>
        <v>10</v>
      </c>
      <c r="M1180" s="29" t="str">
        <f>VLOOKUP(G1180,'insumos terrapl'!$C$3:$K$47,7,0)</f>
        <v>02</v>
      </c>
      <c r="N1180" s="29" t="str">
        <f>VLOOKUP(G1180,'insumos terrapl'!$C$3:$K$47,8,0)</f>
        <v>06</v>
      </c>
      <c r="O1180" s="97" t="str">
        <f>VLOOKUP(G1180,'insumos terrapl'!$C$3:$K$47,9,0)</f>
        <v>00</v>
      </c>
    </row>
    <row r="1181" spans="1:15">
      <c r="A1181" s="134"/>
      <c r="B1181" s="137"/>
      <c r="C1181" s="125"/>
      <c r="D1181" s="115"/>
      <c r="E1181" s="115"/>
      <c r="F1181" s="11" t="s">
        <v>586</v>
      </c>
      <c r="G1181" s="20" t="s">
        <v>587</v>
      </c>
      <c r="H1181" s="29" t="str">
        <f>VLOOKUP(G1181,'insumos terrapl'!$C$3:$K$47,2,0)</f>
        <v>2Q  62  30  02  14  00  00</v>
      </c>
      <c r="I1181" s="29" t="str">
        <f>VLOOKUP(G1181,'insumos terrapl'!$C$3:$K$47,3,0)</f>
        <v>2Q</v>
      </c>
      <c r="J1181" s="29">
        <f>VLOOKUP(G1181,'insumos terrapl'!$C$3:$K$47,4,0)</f>
        <v>62</v>
      </c>
      <c r="K1181" s="29">
        <f>VLOOKUP(G1181,'insumos terrapl'!$C$3:$K$47,5,0)</f>
        <v>30</v>
      </c>
      <c r="L1181" s="29" t="str">
        <f>VLOOKUP(G1181,'insumos terrapl'!$C$3:$K$47,6,0)</f>
        <v>02</v>
      </c>
      <c r="M1181" s="29" t="str">
        <f>VLOOKUP(G1181,'insumos terrapl'!$C$3:$K$47,7,0)</f>
        <v>14</v>
      </c>
      <c r="N1181" s="29" t="str">
        <f>VLOOKUP(G1181,'insumos terrapl'!$C$3:$K$47,8,0)</f>
        <v>00</v>
      </c>
      <c r="O1181" s="97" t="str">
        <f>VLOOKUP(G1181,'insumos terrapl'!$C$3:$K$47,9,0)</f>
        <v>00</v>
      </c>
    </row>
    <row r="1182" spans="1:15">
      <c r="A1182" s="134"/>
      <c r="B1182" s="137"/>
      <c r="C1182" s="125"/>
      <c r="D1182" s="115"/>
      <c r="E1182" s="115"/>
      <c r="F1182" s="11" t="s">
        <v>613</v>
      </c>
      <c r="G1182" s="20" t="s">
        <v>614</v>
      </c>
      <c r="H1182" s="29" t="str">
        <f>VLOOKUP(G1182,'insumos terrapl'!$C$3:$K$47,2,0)</f>
        <v>2N  20  14  02  00  00  00</v>
      </c>
      <c r="I1182" s="29" t="str">
        <f>VLOOKUP(G1182,'insumos terrapl'!$C$3:$K$47,3,0)</f>
        <v>2N</v>
      </c>
      <c r="J1182" s="29">
        <f>VLOOKUP(G1182,'insumos terrapl'!$C$3:$K$47,4,0)</f>
        <v>20</v>
      </c>
      <c r="K1182" s="29" t="str">
        <f>VLOOKUP(G1182,'insumos terrapl'!$C$3:$K$47,5,0)</f>
        <v>14</v>
      </c>
      <c r="L1182" s="29" t="str">
        <f>VLOOKUP(G1182,'insumos terrapl'!$C$3:$K$47,6,0)</f>
        <v>02</v>
      </c>
      <c r="M1182" s="29" t="str">
        <f>VLOOKUP(G1182,'insumos terrapl'!$C$3:$K$47,7,0)</f>
        <v>00</v>
      </c>
      <c r="N1182" s="29" t="str">
        <f>VLOOKUP(G1182,'insumos terrapl'!$C$3:$K$47,8,0)</f>
        <v>00</v>
      </c>
      <c r="O1182" s="97" t="str">
        <f>VLOOKUP(G1182,'insumos terrapl'!$C$3:$K$47,9,0)</f>
        <v>00</v>
      </c>
    </row>
    <row r="1183" spans="1:15">
      <c r="A1183" s="134"/>
      <c r="B1183" s="137"/>
      <c r="C1183" s="125"/>
      <c r="D1183" s="115"/>
      <c r="E1183" s="115"/>
      <c r="F1183" s="11" t="s">
        <v>615</v>
      </c>
      <c r="G1183" s="20" t="s">
        <v>616</v>
      </c>
      <c r="H1183" s="29" t="str">
        <f>VLOOKUP(G1183,'insumos terrapl'!$C$3:$K$47,2,0)</f>
        <v>2N  20  14  02  00  00  00</v>
      </c>
      <c r="I1183" s="29" t="str">
        <f>VLOOKUP(G1183,'insumos terrapl'!$C$3:$K$47,3,0)</f>
        <v>2N</v>
      </c>
      <c r="J1183" s="29">
        <f>VLOOKUP(G1183,'insumos terrapl'!$C$3:$K$47,4,0)</f>
        <v>20</v>
      </c>
      <c r="K1183" s="29" t="str">
        <f>VLOOKUP(G1183,'insumos terrapl'!$C$3:$K$47,5,0)</f>
        <v>14</v>
      </c>
      <c r="L1183" s="29" t="str">
        <f>VLOOKUP(G1183,'insumos terrapl'!$C$3:$K$47,6,0)</f>
        <v>02</v>
      </c>
      <c r="M1183" s="29" t="str">
        <f>VLOOKUP(G1183,'insumos terrapl'!$C$3:$K$47,7,0)</f>
        <v>00</v>
      </c>
      <c r="N1183" s="29" t="str">
        <f>VLOOKUP(G1183,'insumos terrapl'!$C$3:$K$47,8,0)</f>
        <v>00</v>
      </c>
      <c r="O1183" s="97" t="str">
        <f>VLOOKUP(G1183,'insumos terrapl'!$C$3:$K$47,9,0)</f>
        <v>00</v>
      </c>
    </row>
    <row r="1184" spans="1:15" ht="30">
      <c r="A1184" s="134"/>
      <c r="B1184" s="137"/>
      <c r="C1184" s="125"/>
      <c r="D1184" s="115"/>
      <c r="E1184" s="115"/>
      <c r="F1184" s="11" t="s">
        <v>635</v>
      </c>
      <c r="G1184" s="20" t="s">
        <v>636</v>
      </c>
      <c r="H1184" s="29" t="str">
        <f>VLOOKUP(G1184,'insumos terrapl'!$C$3:$K$47,2,0)</f>
        <v>2N  58  06  00  00  00  00</v>
      </c>
      <c r="I1184" s="29" t="str">
        <f>VLOOKUP(G1184,'insumos terrapl'!$C$3:$K$47,3,0)</f>
        <v>2N</v>
      </c>
      <c r="J1184" s="29">
        <f>VLOOKUP(G1184,'insumos terrapl'!$C$3:$K$47,4,0)</f>
        <v>58</v>
      </c>
      <c r="K1184" s="29" t="str">
        <f>VLOOKUP(G1184,'insumos terrapl'!$C$3:$K$47,5,0)</f>
        <v>06</v>
      </c>
      <c r="L1184" s="29" t="str">
        <f>VLOOKUP(G1184,'insumos terrapl'!$C$3:$K$47,6,0)</f>
        <v>00</v>
      </c>
      <c r="M1184" s="29" t="str">
        <f>VLOOKUP(G1184,'insumos terrapl'!$C$3:$K$47,7,0)</f>
        <v>00</v>
      </c>
      <c r="N1184" s="29" t="str">
        <f>VLOOKUP(G1184,'insumos terrapl'!$C$3:$K$47,8,0)</f>
        <v>00</v>
      </c>
      <c r="O1184" s="97" t="str">
        <f>VLOOKUP(G1184,'insumos terrapl'!$C$3:$K$47,9,0)</f>
        <v>00</v>
      </c>
    </row>
    <row r="1185" spans="1:15">
      <c r="A1185" s="134"/>
      <c r="B1185" s="137"/>
      <c r="C1185" s="125"/>
      <c r="D1185" s="115"/>
      <c r="E1185" s="115"/>
      <c r="F1185" s="11" t="s">
        <v>617</v>
      </c>
      <c r="G1185" s="20" t="s">
        <v>618</v>
      </c>
      <c r="H1185" s="29" t="str">
        <f>VLOOKUP(G1185,'insumos terrapl'!$C$3:$K$47,2,0)</f>
        <v>2Q  58  06  02  28  00  00</v>
      </c>
      <c r="I1185" s="29" t="str">
        <f>VLOOKUP(G1185,'insumos terrapl'!$C$3:$K$47,3,0)</f>
        <v>2Q</v>
      </c>
      <c r="J1185" s="29">
        <f>VLOOKUP(G1185,'insumos terrapl'!$C$3:$K$47,4,0)</f>
        <v>58</v>
      </c>
      <c r="K1185" s="29" t="str">
        <f>VLOOKUP(G1185,'insumos terrapl'!$C$3:$K$47,5,0)</f>
        <v>06</v>
      </c>
      <c r="L1185" s="29" t="str">
        <f>VLOOKUP(G1185,'insumos terrapl'!$C$3:$K$47,6,0)</f>
        <v>02</v>
      </c>
      <c r="M1185" s="29" t="str">
        <f>VLOOKUP(G1185,'insumos terrapl'!$C$3:$K$47,7,0)</f>
        <v>28</v>
      </c>
      <c r="N1185" s="29" t="str">
        <f>VLOOKUP(G1185,'insumos terrapl'!$C$3:$K$47,8,0)</f>
        <v>00</v>
      </c>
      <c r="O1185" s="97" t="str">
        <f>VLOOKUP(G1185,'insumos terrapl'!$C$3:$K$47,9,0)</f>
        <v>00</v>
      </c>
    </row>
    <row r="1186" spans="1:15" ht="30">
      <c r="A1186" s="134"/>
      <c r="B1186" s="137"/>
      <c r="C1186" s="125"/>
      <c r="D1186" s="115"/>
      <c r="E1186" s="115"/>
      <c r="F1186" s="11" t="s">
        <v>637</v>
      </c>
      <c r="G1186" s="20" t="s">
        <v>638</v>
      </c>
      <c r="H1186" s="29" t="str">
        <f>VLOOKUP(G1186,'insumos terrapl'!$C$3:$K$47,2,0)</f>
        <v>2N  58  06  00  00  00  00</v>
      </c>
      <c r="I1186" s="29" t="str">
        <f>VLOOKUP(G1186,'insumos terrapl'!$C$3:$K$47,3,0)</f>
        <v>2N</v>
      </c>
      <c r="J1186" s="29">
        <f>VLOOKUP(G1186,'insumos terrapl'!$C$3:$K$47,4,0)</f>
        <v>58</v>
      </c>
      <c r="K1186" s="29" t="str">
        <f>VLOOKUP(G1186,'insumos terrapl'!$C$3:$K$47,5,0)</f>
        <v>06</v>
      </c>
      <c r="L1186" s="29" t="str">
        <f>VLOOKUP(G1186,'insumos terrapl'!$C$3:$K$47,6,0)</f>
        <v>00</v>
      </c>
      <c r="M1186" s="29" t="str">
        <f>VLOOKUP(G1186,'insumos terrapl'!$C$3:$K$47,7,0)</f>
        <v>00</v>
      </c>
      <c r="N1186" s="29" t="str">
        <f>VLOOKUP(G1186,'insumos terrapl'!$C$3:$K$47,8,0)</f>
        <v>00</v>
      </c>
      <c r="O1186" s="97" t="str">
        <f>VLOOKUP(G1186,'insumos terrapl'!$C$3:$K$47,9,0)</f>
        <v>00</v>
      </c>
    </row>
    <row r="1187" spans="1:15" ht="30">
      <c r="A1187" s="134"/>
      <c r="B1187" s="137"/>
      <c r="C1187" s="125"/>
      <c r="D1187" s="115"/>
      <c r="E1187" s="115"/>
      <c r="F1187" s="11" t="s">
        <v>639</v>
      </c>
      <c r="G1187" s="20" t="s">
        <v>640</v>
      </c>
      <c r="H1187" s="29" t="str">
        <f>VLOOKUP(G1187,'insumos terrapl'!$C$3:$K$47,2,0)</f>
        <v>2N  58  06  00  00  00  00</v>
      </c>
      <c r="I1187" s="29" t="str">
        <f>VLOOKUP(G1187,'insumos terrapl'!$C$3:$K$47,3,0)</f>
        <v>2N</v>
      </c>
      <c r="J1187" s="29">
        <f>VLOOKUP(G1187,'insumos terrapl'!$C$3:$K$47,4,0)</f>
        <v>58</v>
      </c>
      <c r="K1187" s="29" t="str">
        <f>VLOOKUP(G1187,'insumos terrapl'!$C$3:$K$47,5,0)</f>
        <v>06</v>
      </c>
      <c r="L1187" s="29" t="str">
        <f>VLOOKUP(G1187,'insumos terrapl'!$C$3:$K$47,6,0)</f>
        <v>00</v>
      </c>
      <c r="M1187" s="29" t="str">
        <f>VLOOKUP(G1187,'insumos terrapl'!$C$3:$K$47,7,0)</f>
        <v>00</v>
      </c>
      <c r="N1187" s="29" t="str">
        <f>VLOOKUP(G1187,'insumos terrapl'!$C$3:$K$47,8,0)</f>
        <v>00</v>
      </c>
      <c r="O1187" s="97" t="str">
        <f>VLOOKUP(G1187,'insumos terrapl'!$C$3:$K$47,9,0)</f>
        <v>00</v>
      </c>
    </row>
    <row r="1188" spans="1:15">
      <c r="A1188" s="134"/>
      <c r="B1188" s="137"/>
      <c r="C1188" s="125"/>
      <c r="D1188" s="115"/>
      <c r="E1188" s="115"/>
      <c r="F1188" s="11" t="s">
        <v>641</v>
      </c>
      <c r="G1188" s="20" t="s">
        <v>642</v>
      </c>
      <c r="H1188" s="29" t="str">
        <f>VLOOKUP(G1188,'insumos terrapl'!$C$3:$K$47,2,0)</f>
        <v>2N  58  06  00  00  00  00</v>
      </c>
      <c r="I1188" s="29" t="str">
        <f>VLOOKUP(G1188,'insumos terrapl'!$C$3:$K$47,3,0)</f>
        <v>2N</v>
      </c>
      <c r="J1188" s="29">
        <f>VLOOKUP(G1188,'insumos terrapl'!$C$3:$K$47,4,0)</f>
        <v>58</v>
      </c>
      <c r="K1188" s="29" t="str">
        <f>VLOOKUP(G1188,'insumos terrapl'!$C$3:$K$47,5,0)</f>
        <v>06</v>
      </c>
      <c r="L1188" s="29" t="str">
        <f>VLOOKUP(G1188,'insumos terrapl'!$C$3:$K$47,6,0)</f>
        <v>00</v>
      </c>
      <c r="M1188" s="29" t="str">
        <f>VLOOKUP(G1188,'insumos terrapl'!$C$3:$K$47,7,0)</f>
        <v>00</v>
      </c>
      <c r="N1188" s="29" t="str">
        <f>VLOOKUP(G1188,'insumos terrapl'!$C$3:$K$47,8,0)</f>
        <v>00</v>
      </c>
      <c r="O1188" s="97" t="str">
        <f>VLOOKUP(G1188,'insumos terrapl'!$C$3:$K$47,9,0)</f>
        <v>00</v>
      </c>
    </row>
    <row r="1189" spans="1:15">
      <c r="A1189" s="134"/>
      <c r="B1189" s="137"/>
      <c r="C1189" s="125"/>
      <c r="D1189" s="115"/>
      <c r="E1189" s="115"/>
      <c r="F1189" s="11" t="s">
        <v>619</v>
      </c>
      <c r="G1189" s="20" t="s">
        <v>620</v>
      </c>
      <c r="H1189" s="29"/>
      <c r="I1189" s="29"/>
      <c r="J1189" s="29"/>
      <c r="K1189" s="29"/>
      <c r="L1189" s="29"/>
      <c r="M1189" s="29"/>
      <c r="N1189" s="29"/>
      <c r="O1189" s="97"/>
    </row>
    <row r="1190" spans="1:15">
      <c r="A1190" s="134"/>
      <c r="B1190" s="137"/>
      <c r="C1190" s="125"/>
      <c r="D1190" s="115"/>
      <c r="E1190" s="115"/>
      <c r="F1190" s="11" t="s">
        <v>643</v>
      </c>
      <c r="G1190" s="20" t="s">
        <v>644</v>
      </c>
      <c r="H1190" s="29" t="str">
        <f>VLOOKUP(G1190,'insumos terrapl'!$C$3:$K$47,2,0)</f>
        <v>2N  58  06  00  00  00  00</v>
      </c>
      <c r="I1190" s="29" t="str">
        <f>VLOOKUP(G1190,'insumos terrapl'!$C$3:$K$47,3,0)</f>
        <v>2N</v>
      </c>
      <c r="J1190" s="29">
        <f>VLOOKUP(G1190,'insumos terrapl'!$C$3:$K$47,4,0)</f>
        <v>58</v>
      </c>
      <c r="K1190" s="29" t="str">
        <f>VLOOKUP(G1190,'insumos terrapl'!$C$3:$K$47,5,0)</f>
        <v>06</v>
      </c>
      <c r="L1190" s="29" t="str">
        <f>VLOOKUP(G1190,'insumos terrapl'!$C$3:$K$47,6,0)</f>
        <v>00</v>
      </c>
      <c r="M1190" s="29" t="str">
        <f>VLOOKUP(G1190,'insumos terrapl'!$C$3:$K$47,7,0)</f>
        <v>00</v>
      </c>
      <c r="N1190" s="29" t="str">
        <f>VLOOKUP(G1190,'insumos terrapl'!$C$3:$K$47,8,0)</f>
        <v>00</v>
      </c>
      <c r="O1190" s="97" t="str">
        <f>VLOOKUP(G1190,'insumos terrapl'!$C$3:$K$47,9,0)</f>
        <v>00</v>
      </c>
    </row>
    <row r="1191" spans="1:15">
      <c r="A1191" s="134"/>
      <c r="B1191" s="137"/>
      <c r="C1191" s="125"/>
      <c r="D1191" s="115"/>
      <c r="E1191" s="115"/>
      <c r="F1191" s="11" t="s">
        <v>645</v>
      </c>
      <c r="G1191" s="20" t="s">
        <v>646</v>
      </c>
      <c r="H1191" s="29" t="str">
        <f>VLOOKUP(G1191,'insumos terrapl'!$C$3:$K$47,2,0)</f>
        <v>2N  58  06  00  00  00  00</v>
      </c>
      <c r="I1191" s="29" t="str">
        <f>VLOOKUP(G1191,'insumos terrapl'!$C$3:$K$47,3,0)</f>
        <v>2N</v>
      </c>
      <c r="J1191" s="29">
        <f>VLOOKUP(G1191,'insumos terrapl'!$C$3:$K$47,4,0)</f>
        <v>58</v>
      </c>
      <c r="K1191" s="29" t="str">
        <f>VLOOKUP(G1191,'insumos terrapl'!$C$3:$K$47,5,0)</f>
        <v>06</v>
      </c>
      <c r="L1191" s="29" t="str">
        <f>VLOOKUP(G1191,'insumos terrapl'!$C$3:$K$47,6,0)</f>
        <v>00</v>
      </c>
      <c r="M1191" s="29" t="str">
        <f>VLOOKUP(G1191,'insumos terrapl'!$C$3:$K$47,7,0)</f>
        <v>00</v>
      </c>
      <c r="N1191" s="29" t="str">
        <f>VLOOKUP(G1191,'insumos terrapl'!$C$3:$K$47,8,0)</f>
        <v>00</v>
      </c>
      <c r="O1191" s="97" t="str">
        <f>VLOOKUP(G1191,'insumos terrapl'!$C$3:$K$47,9,0)</f>
        <v>00</v>
      </c>
    </row>
    <row r="1192" spans="1:15" ht="30">
      <c r="A1192" s="134"/>
      <c r="B1192" s="137"/>
      <c r="C1192" s="125"/>
      <c r="D1192" s="115"/>
      <c r="E1192" s="115"/>
      <c r="F1192" s="11" t="s">
        <v>647</v>
      </c>
      <c r="G1192" s="20" t="s">
        <v>648</v>
      </c>
      <c r="H1192" s="29" t="str">
        <f>VLOOKUP(G1192,'insumos terrapl'!$C$3:$K$47,2,0)</f>
        <v>2N  58  06  00  00  00  00</v>
      </c>
      <c r="I1192" s="29" t="str">
        <f>VLOOKUP(G1192,'insumos terrapl'!$C$3:$K$47,3,0)</f>
        <v>2N</v>
      </c>
      <c r="J1192" s="29">
        <f>VLOOKUP(G1192,'insumos terrapl'!$C$3:$K$47,4,0)</f>
        <v>58</v>
      </c>
      <c r="K1192" s="29" t="str">
        <f>VLOOKUP(G1192,'insumos terrapl'!$C$3:$K$47,5,0)</f>
        <v>06</v>
      </c>
      <c r="L1192" s="29" t="str">
        <f>VLOOKUP(G1192,'insumos terrapl'!$C$3:$K$47,6,0)</f>
        <v>00</v>
      </c>
      <c r="M1192" s="29" t="str">
        <f>VLOOKUP(G1192,'insumos terrapl'!$C$3:$K$47,7,0)</f>
        <v>00</v>
      </c>
      <c r="N1192" s="29" t="str">
        <f>VLOOKUP(G1192,'insumos terrapl'!$C$3:$K$47,8,0)</f>
        <v>00</v>
      </c>
      <c r="O1192" s="97" t="str">
        <f>VLOOKUP(G1192,'insumos terrapl'!$C$3:$K$47,9,0)</f>
        <v>00</v>
      </c>
    </row>
    <row r="1193" spans="1:15">
      <c r="A1193" s="134"/>
      <c r="B1193" s="137"/>
      <c r="C1193" s="125"/>
      <c r="D1193" s="115"/>
      <c r="E1193" s="115"/>
      <c r="F1193" s="11" t="s">
        <v>621</v>
      </c>
      <c r="G1193" s="20" t="s">
        <v>622</v>
      </c>
      <c r="H1193" s="29" t="str">
        <f>VLOOKUP(G1193,'insumos terrapl'!$C$3:$K$47,2,0)</f>
        <v>2N  58  06  00  00  00  00</v>
      </c>
      <c r="I1193" s="29" t="str">
        <f>VLOOKUP(G1193,'insumos terrapl'!$C$3:$K$47,3,0)</f>
        <v>2N</v>
      </c>
      <c r="J1193" s="29">
        <f>VLOOKUP(G1193,'insumos terrapl'!$C$3:$K$47,4,0)</f>
        <v>58</v>
      </c>
      <c r="K1193" s="29" t="str">
        <f>VLOOKUP(G1193,'insumos terrapl'!$C$3:$K$47,5,0)</f>
        <v>06</v>
      </c>
      <c r="L1193" s="29" t="str">
        <f>VLOOKUP(G1193,'insumos terrapl'!$C$3:$K$47,6,0)</f>
        <v>00</v>
      </c>
      <c r="M1193" s="29" t="str">
        <f>VLOOKUP(G1193,'insumos terrapl'!$C$3:$K$47,7,0)</f>
        <v>00</v>
      </c>
      <c r="N1193" s="29" t="str">
        <f>VLOOKUP(G1193,'insumos terrapl'!$C$3:$K$47,8,0)</f>
        <v>00</v>
      </c>
      <c r="O1193" s="97" t="str">
        <f>VLOOKUP(G1193,'insumos terrapl'!$C$3:$K$47,9,0)</f>
        <v>00</v>
      </c>
    </row>
    <row r="1194" spans="1:15">
      <c r="A1194" s="134"/>
      <c r="B1194" s="137"/>
      <c r="C1194" s="132"/>
      <c r="D1194" s="116"/>
      <c r="E1194" s="115"/>
      <c r="F1194" s="10"/>
      <c r="G1194" s="20"/>
      <c r="H1194" s="29"/>
      <c r="I1194" s="29"/>
      <c r="J1194" s="29"/>
      <c r="K1194" s="29"/>
      <c r="L1194" s="29"/>
      <c r="M1194" s="29"/>
      <c r="N1194" s="29"/>
      <c r="O1194" s="97"/>
    </row>
    <row r="1195" spans="1:15">
      <c r="A1195" s="134"/>
      <c r="B1195" s="137"/>
      <c r="C1195" s="124" t="s">
        <v>239</v>
      </c>
      <c r="D1195" s="114" t="str">
        <f>A1095</f>
        <v>2.6.8</v>
      </c>
      <c r="E1195" s="114" t="s">
        <v>497</v>
      </c>
      <c r="F1195" s="12" t="s">
        <v>239</v>
      </c>
      <c r="G1195" s="19"/>
      <c r="H1195" s="28"/>
      <c r="I1195" s="28"/>
      <c r="J1195" s="28"/>
      <c r="K1195" s="28"/>
      <c r="L1195" s="28"/>
      <c r="M1195" s="28"/>
      <c r="N1195" s="28"/>
      <c r="O1195" s="99"/>
    </row>
    <row r="1196" spans="1:15" ht="30">
      <c r="A1196" s="134"/>
      <c r="B1196" s="137"/>
      <c r="C1196" s="125"/>
      <c r="D1196" s="115"/>
      <c r="E1196" s="115"/>
      <c r="F1196" s="11" t="s">
        <v>659</v>
      </c>
      <c r="G1196" s="20" t="s">
        <v>660</v>
      </c>
      <c r="H1196" s="29" t="str">
        <f>VLOOKUP(G1196,'insumos terrapl'!$C$3:$K$47,2,0)</f>
        <v>2Q  66  10  02  00  00  00</v>
      </c>
      <c r="I1196" s="29" t="str">
        <f>VLOOKUP(G1196,'insumos terrapl'!$C$3:$K$47,3,0)</f>
        <v>2Q</v>
      </c>
      <c r="J1196" s="29">
        <f>VLOOKUP(G1196,'insumos terrapl'!$C$3:$K$47,4,0)</f>
        <v>66</v>
      </c>
      <c r="K1196" s="29" t="str">
        <f>VLOOKUP(G1196,'insumos terrapl'!$C$3:$K$47,5,0)</f>
        <v>10</v>
      </c>
      <c r="L1196" s="29" t="str">
        <f>VLOOKUP(G1196,'insumos terrapl'!$C$3:$K$47,6,0)</f>
        <v>02</v>
      </c>
      <c r="M1196" s="29" t="str">
        <f>VLOOKUP(G1196,'insumos terrapl'!$C$3:$K$47,7,0)</f>
        <v>00</v>
      </c>
      <c r="N1196" s="29" t="str">
        <f>VLOOKUP(G1196,'insumos terrapl'!$C$3:$K$47,8,0)</f>
        <v>00</v>
      </c>
      <c r="O1196" s="97" t="str">
        <f>VLOOKUP(G1196,'insumos terrapl'!$C$3:$K$47,9,0)</f>
        <v>00</v>
      </c>
    </row>
    <row r="1197" spans="1:15" ht="30">
      <c r="A1197" s="134"/>
      <c r="B1197" s="137"/>
      <c r="C1197" s="125"/>
      <c r="D1197" s="115"/>
      <c r="E1197" s="115"/>
      <c r="F1197" s="11" t="s">
        <v>661</v>
      </c>
      <c r="G1197" s="20" t="s">
        <v>662</v>
      </c>
      <c r="H1197" s="29" t="str">
        <f>VLOOKUP(G1197,'insumos terrapl'!$C$3:$K$47,2,0)</f>
        <v>2Q  62  10  06  00  00  00</v>
      </c>
      <c r="I1197" s="29" t="str">
        <f>VLOOKUP(G1197,'insumos terrapl'!$C$3:$K$47,3,0)</f>
        <v>2Q</v>
      </c>
      <c r="J1197" s="29">
        <f>VLOOKUP(G1197,'insumos terrapl'!$C$3:$K$47,4,0)</f>
        <v>62</v>
      </c>
      <c r="K1197" s="29" t="str">
        <f>VLOOKUP(G1197,'insumos terrapl'!$C$3:$K$47,5,0)</f>
        <v>10</v>
      </c>
      <c r="L1197" s="29" t="str">
        <f>VLOOKUP(G1197,'insumos terrapl'!$C$3:$K$47,6,0)</f>
        <v>06</v>
      </c>
      <c r="M1197" s="29" t="str">
        <f>VLOOKUP(G1197,'insumos terrapl'!$C$3:$K$47,7,0)</f>
        <v>00</v>
      </c>
      <c r="N1197" s="29" t="str">
        <f>VLOOKUP(G1197,'insumos terrapl'!$C$3:$K$47,8,0)</f>
        <v>00</v>
      </c>
      <c r="O1197" s="97" t="str">
        <f>VLOOKUP(G1197,'insumos terrapl'!$C$3:$K$47,9,0)</f>
        <v>00</v>
      </c>
    </row>
    <row r="1198" spans="1:15" ht="30">
      <c r="A1198" s="134"/>
      <c r="B1198" s="137"/>
      <c r="C1198" s="125"/>
      <c r="D1198" s="115"/>
      <c r="E1198" s="115"/>
      <c r="F1198" s="11" t="s">
        <v>607</v>
      </c>
      <c r="G1198" s="20" t="s">
        <v>608</v>
      </c>
      <c r="H1198" s="29" t="str">
        <f>VLOOKUP(G1198,'insumos terrapl'!$C$3:$K$47,2,0)</f>
        <v>2Q  42  06  18  02  02  00</v>
      </c>
      <c r="I1198" s="29" t="str">
        <f>VLOOKUP(G1198,'insumos terrapl'!$C$3:$K$47,3,0)</f>
        <v>2Q</v>
      </c>
      <c r="J1198" s="29">
        <f>VLOOKUP(G1198,'insumos terrapl'!$C$3:$K$47,4,0)</f>
        <v>42</v>
      </c>
      <c r="K1198" s="29" t="str">
        <f>VLOOKUP(G1198,'insumos terrapl'!$C$3:$K$47,5,0)</f>
        <v>06</v>
      </c>
      <c r="L1198" s="29">
        <f>VLOOKUP(G1198,'insumos terrapl'!$C$3:$K$47,6,0)</f>
        <v>18</v>
      </c>
      <c r="M1198" s="29" t="str">
        <f>VLOOKUP(G1198,'insumos terrapl'!$C$3:$K$47,7,0)</f>
        <v>02</v>
      </c>
      <c r="N1198" s="29" t="str">
        <f>VLOOKUP(G1198,'insumos terrapl'!$C$3:$K$47,8,0)</f>
        <v>02</v>
      </c>
      <c r="O1198" s="97" t="str">
        <f>VLOOKUP(G1198,'insumos terrapl'!$C$3:$K$47,9,0)</f>
        <v>00</v>
      </c>
    </row>
    <row r="1199" spans="1:15" ht="45">
      <c r="A1199" s="134"/>
      <c r="B1199" s="137"/>
      <c r="C1199" s="125"/>
      <c r="D1199" s="115"/>
      <c r="E1199" s="115"/>
      <c r="F1199" s="11" t="s">
        <v>609</v>
      </c>
      <c r="G1199" s="20" t="s">
        <v>610</v>
      </c>
      <c r="H1199" s="29" t="str">
        <f>VLOOKUP(G1199,'insumos terrapl'!$C$3:$K$47,2,0)</f>
        <v>2Q  42  06  02  14  02  00</v>
      </c>
      <c r="I1199" s="29" t="str">
        <f>VLOOKUP(G1199,'insumos terrapl'!$C$3:$K$47,3,0)</f>
        <v>2Q</v>
      </c>
      <c r="J1199" s="29">
        <f>VLOOKUP(G1199,'insumos terrapl'!$C$3:$K$47,4,0)</f>
        <v>42</v>
      </c>
      <c r="K1199" s="29" t="str">
        <f>VLOOKUP(G1199,'insumos terrapl'!$C$3:$K$47,5,0)</f>
        <v>06</v>
      </c>
      <c r="L1199" s="29" t="str">
        <f>VLOOKUP(G1199,'insumos terrapl'!$C$3:$K$47,6,0)</f>
        <v>02</v>
      </c>
      <c r="M1199" s="29" t="str">
        <f>VLOOKUP(G1199,'insumos terrapl'!$C$3:$K$47,7,0)</f>
        <v>14</v>
      </c>
      <c r="N1199" s="29" t="str">
        <f>VLOOKUP(G1199,'insumos terrapl'!$C$3:$K$47,8,0)</f>
        <v>02</v>
      </c>
      <c r="O1199" s="97" t="str">
        <f>VLOOKUP(G1199,'insumos terrapl'!$C$3:$K$47,9,0)</f>
        <v>00</v>
      </c>
    </row>
    <row r="1200" spans="1:15">
      <c r="A1200" s="134"/>
      <c r="B1200" s="137"/>
      <c r="C1200" s="125"/>
      <c r="D1200" s="115"/>
      <c r="E1200" s="115"/>
      <c r="F1200" s="11" t="s">
        <v>633</v>
      </c>
      <c r="G1200" s="20" t="s">
        <v>634</v>
      </c>
      <c r="H1200" s="29" t="str">
        <f>VLOOKUP(G1200,'insumos terrapl'!$C$3:$K$47,2,0)</f>
        <v>2Q  58  10  10  02  06  00</v>
      </c>
      <c r="I1200" s="29" t="str">
        <f>VLOOKUP(G1200,'insumos terrapl'!$C$3:$K$47,3,0)</f>
        <v>2Q</v>
      </c>
      <c r="J1200" s="29">
        <f>VLOOKUP(G1200,'insumos terrapl'!$C$3:$K$47,4,0)</f>
        <v>58</v>
      </c>
      <c r="K1200" s="29" t="str">
        <f>VLOOKUP(G1200,'insumos terrapl'!$C$3:$K$47,5,0)</f>
        <v>10</v>
      </c>
      <c r="L1200" s="29" t="str">
        <f>VLOOKUP(G1200,'insumos terrapl'!$C$3:$K$47,6,0)</f>
        <v>10</v>
      </c>
      <c r="M1200" s="29" t="str">
        <f>VLOOKUP(G1200,'insumos terrapl'!$C$3:$K$47,7,0)</f>
        <v>02</v>
      </c>
      <c r="N1200" s="29" t="str">
        <f>VLOOKUP(G1200,'insumos terrapl'!$C$3:$K$47,8,0)</f>
        <v>06</v>
      </c>
      <c r="O1200" s="97" t="str">
        <f>VLOOKUP(G1200,'insumos terrapl'!$C$3:$K$47,9,0)</f>
        <v>00</v>
      </c>
    </row>
    <row r="1201" spans="1:15">
      <c r="A1201" s="134"/>
      <c r="B1201" s="137"/>
      <c r="C1201" s="125"/>
      <c r="D1201" s="115"/>
      <c r="E1201" s="115"/>
      <c r="F1201" s="11" t="s">
        <v>586</v>
      </c>
      <c r="G1201" s="20" t="s">
        <v>587</v>
      </c>
      <c r="H1201" s="29" t="str">
        <f>VLOOKUP(G1201,'insumos terrapl'!$C$3:$K$47,2,0)</f>
        <v>2Q  62  30  02  14  00  00</v>
      </c>
      <c r="I1201" s="29" t="str">
        <f>VLOOKUP(G1201,'insumos terrapl'!$C$3:$K$47,3,0)</f>
        <v>2Q</v>
      </c>
      <c r="J1201" s="29">
        <f>VLOOKUP(G1201,'insumos terrapl'!$C$3:$K$47,4,0)</f>
        <v>62</v>
      </c>
      <c r="K1201" s="29">
        <f>VLOOKUP(G1201,'insumos terrapl'!$C$3:$K$47,5,0)</f>
        <v>30</v>
      </c>
      <c r="L1201" s="29" t="str">
        <f>VLOOKUP(G1201,'insumos terrapl'!$C$3:$K$47,6,0)</f>
        <v>02</v>
      </c>
      <c r="M1201" s="29" t="str">
        <f>VLOOKUP(G1201,'insumos terrapl'!$C$3:$K$47,7,0)</f>
        <v>14</v>
      </c>
      <c r="N1201" s="29" t="str">
        <f>VLOOKUP(G1201,'insumos terrapl'!$C$3:$K$47,8,0)</f>
        <v>00</v>
      </c>
      <c r="O1201" s="97" t="str">
        <f>VLOOKUP(G1201,'insumos terrapl'!$C$3:$K$47,9,0)</f>
        <v>00</v>
      </c>
    </row>
    <row r="1202" spans="1:15">
      <c r="A1202" s="134"/>
      <c r="B1202" s="137"/>
      <c r="C1202" s="125"/>
      <c r="D1202" s="115"/>
      <c r="E1202" s="115"/>
      <c r="F1202" s="11" t="s">
        <v>613</v>
      </c>
      <c r="G1202" s="20" t="s">
        <v>614</v>
      </c>
      <c r="H1202" s="29" t="str">
        <f>VLOOKUP(G1202,'insumos terrapl'!$C$3:$K$47,2,0)</f>
        <v>2N  20  14  02  00  00  00</v>
      </c>
      <c r="I1202" s="29" t="str">
        <f>VLOOKUP(G1202,'insumos terrapl'!$C$3:$K$47,3,0)</f>
        <v>2N</v>
      </c>
      <c r="J1202" s="29">
        <f>VLOOKUP(G1202,'insumos terrapl'!$C$3:$K$47,4,0)</f>
        <v>20</v>
      </c>
      <c r="K1202" s="29" t="str">
        <f>VLOOKUP(G1202,'insumos terrapl'!$C$3:$K$47,5,0)</f>
        <v>14</v>
      </c>
      <c r="L1202" s="29" t="str">
        <f>VLOOKUP(G1202,'insumos terrapl'!$C$3:$K$47,6,0)</f>
        <v>02</v>
      </c>
      <c r="M1202" s="29" t="str">
        <f>VLOOKUP(G1202,'insumos terrapl'!$C$3:$K$47,7,0)</f>
        <v>00</v>
      </c>
      <c r="N1202" s="29" t="str">
        <f>VLOOKUP(G1202,'insumos terrapl'!$C$3:$K$47,8,0)</f>
        <v>00</v>
      </c>
      <c r="O1202" s="97" t="str">
        <f>VLOOKUP(G1202,'insumos terrapl'!$C$3:$K$47,9,0)</f>
        <v>00</v>
      </c>
    </row>
    <row r="1203" spans="1:15">
      <c r="A1203" s="134"/>
      <c r="B1203" s="137"/>
      <c r="C1203" s="125"/>
      <c r="D1203" s="115"/>
      <c r="E1203" s="115"/>
      <c r="F1203" s="11" t="s">
        <v>615</v>
      </c>
      <c r="G1203" s="20" t="s">
        <v>616</v>
      </c>
      <c r="H1203" s="29" t="str">
        <f>VLOOKUP(G1203,'insumos terrapl'!$C$3:$K$47,2,0)</f>
        <v>2N  20  14  02  00  00  00</v>
      </c>
      <c r="I1203" s="29" t="str">
        <f>VLOOKUP(G1203,'insumos terrapl'!$C$3:$K$47,3,0)</f>
        <v>2N</v>
      </c>
      <c r="J1203" s="29">
        <f>VLOOKUP(G1203,'insumos terrapl'!$C$3:$K$47,4,0)</f>
        <v>20</v>
      </c>
      <c r="K1203" s="29" t="str">
        <f>VLOOKUP(G1203,'insumos terrapl'!$C$3:$K$47,5,0)</f>
        <v>14</v>
      </c>
      <c r="L1203" s="29" t="str">
        <f>VLOOKUP(G1203,'insumos terrapl'!$C$3:$K$47,6,0)</f>
        <v>02</v>
      </c>
      <c r="M1203" s="29" t="str">
        <f>VLOOKUP(G1203,'insumos terrapl'!$C$3:$K$47,7,0)</f>
        <v>00</v>
      </c>
      <c r="N1203" s="29" t="str">
        <f>VLOOKUP(G1203,'insumos terrapl'!$C$3:$K$47,8,0)</f>
        <v>00</v>
      </c>
      <c r="O1203" s="97" t="str">
        <f>VLOOKUP(G1203,'insumos terrapl'!$C$3:$K$47,9,0)</f>
        <v>00</v>
      </c>
    </row>
    <row r="1204" spans="1:15" ht="30">
      <c r="A1204" s="134"/>
      <c r="B1204" s="137"/>
      <c r="C1204" s="125"/>
      <c r="D1204" s="115"/>
      <c r="E1204" s="115"/>
      <c r="F1204" s="11" t="s">
        <v>635</v>
      </c>
      <c r="G1204" s="20" t="s">
        <v>636</v>
      </c>
      <c r="H1204" s="29" t="str">
        <f>VLOOKUP(G1204,'insumos terrapl'!$C$3:$K$47,2,0)</f>
        <v>2N  58  06  00  00  00  00</v>
      </c>
      <c r="I1204" s="29" t="str">
        <f>VLOOKUP(G1204,'insumos terrapl'!$C$3:$K$47,3,0)</f>
        <v>2N</v>
      </c>
      <c r="J1204" s="29">
        <f>VLOOKUP(G1204,'insumos terrapl'!$C$3:$K$47,4,0)</f>
        <v>58</v>
      </c>
      <c r="K1204" s="29" t="str">
        <f>VLOOKUP(G1204,'insumos terrapl'!$C$3:$K$47,5,0)</f>
        <v>06</v>
      </c>
      <c r="L1204" s="29" t="str">
        <f>VLOOKUP(G1204,'insumos terrapl'!$C$3:$K$47,6,0)</f>
        <v>00</v>
      </c>
      <c r="M1204" s="29" t="str">
        <f>VLOOKUP(G1204,'insumos terrapl'!$C$3:$K$47,7,0)</f>
        <v>00</v>
      </c>
      <c r="N1204" s="29" t="str">
        <f>VLOOKUP(G1204,'insumos terrapl'!$C$3:$K$47,8,0)</f>
        <v>00</v>
      </c>
      <c r="O1204" s="97" t="str">
        <f>VLOOKUP(G1204,'insumos terrapl'!$C$3:$K$47,9,0)</f>
        <v>00</v>
      </c>
    </row>
    <row r="1205" spans="1:15">
      <c r="A1205" s="134"/>
      <c r="B1205" s="137"/>
      <c r="C1205" s="125"/>
      <c r="D1205" s="115"/>
      <c r="E1205" s="115"/>
      <c r="F1205" s="11" t="s">
        <v>617</v>
      </c>
      <c r="G1205" s="20" t="s">
        <v>618</v>
      </c>
      <c r="H1205" s="29" t="str">
        <f>VLOOKUP(G1205,'insumos terrapl'!$C$3:$K$47,2,0)</f>
        <v>2Q  58  06  02  28  00  00</v>
      </c>
      <c r="I1205" s="29" t="str">
        <f>VLOOKUP(G1205,'insumos terrapl'!$C$3:$K$47,3,0)</f>
        <v>2Q</v>
      </c>
      <c r="J1205" s="29">
        <f>VLOOKUP(G1205,'insumos terrapl'!$C$3:$K$47,4,0)</f>
        <v>58</v>
      </c>
      <c r="K1205" s="29" t="str">
        <f>VLOOKUP(G1205,'insumos terrapl'!$C$3:$K$47,5,0)</f>
        <v>06</v>
      </c>
      <c r="L1205" s="29" t="str">
        <f>VLOOKUP(G1205,'insumos terrapl'!$C$3:$K$47,6,0)</f>
        <v>02</v>
      </c>
      <c r="M1205" s="29" t="str">
        <f>VLOOKUP(G1205,'insumos terrapl'!$C$3:$K$47,7,0)</f>
        <v>28</v>
      </c>
      <c r="N1205" s="29" t="str">
        <f>VLOOKUP(G1205,'insumos terrapl'!$C$3:$K$47,8,0)</f>
        <v>00</v>
      </c>
      <c r="O1205" s="97" t="str">
        <f>VLOOKUP(G1205,'insumos terrapl'!$C$3:$K$47,9,0)</f>
        <v>00</v>
      </c>
    </row>
    <row r="1206" spans="1:15" ht="30">
      <c r="A1206" s="134"/>
      <c r="B1206" s="137"/>
      <c r="C1206" s="125"/>
      <c r="D1206" s="115"/>
      <c r="E1206" s="115"/>
      <c r="F1206" s="11" t="s">
        <v>637</v>
      </c>
      <c r="G1206" s="20" t="s">
        <v>638</v>
      </c>
      <c r="H1206" s="29" t="str">
        <f>VLOOKUP(G1206,'insumos terrapl'!$C$3:$K$47,2,0)</f>
        <v>2N  58  06  00  00  00  00</v>
      </c>
      <c r="I1206" s="29" t="str">
        <f>VLOOKUP(G1206,'insumos terrapl'!$C$3:$K$47,3,0)</f>
        <v>2N</v>
      </c>
      <c r="J1206" s="29">
        <f>VLOOKUP(G1206,'insumos terrapl'!$C$3:$K$47,4,0)</f>
        <v>58</v>
      </c>
      <c r="K1206" s="29" t="str">
        <f>VLOOKUP(G1206,'insumos terrapl'!$C$3:$K$47,5,0)</f>
        <v>06</v>
      </c>
      <c r="L1206" s="29" t="str">
        <f>VLOOKUP(G1206,'insumos terrapl'!$C$3:$K$47,6,0)</f>
        <v>00</v>
      </c>
      <c r="M1206" s="29" t="str">
        <f>VLOOKUP(G1206,'insumos terrapl'!$C$3:$K$47,7,0)</f>
        <v>00</v>
      </c>
      <c r="N1206" s="29" t="str">
        <f>VLOOKUP(G1206,'insumos terrapl'!$C$3:$K$47,8,0)</f>
        <v>00</v>
      </c>
      <c r="O1206" s="97" t="str">
        <f>VLOOKUP(G1206,'insumos terrapl'!$C$3:$K$47,9,0)</f>
        <v>00</v>
      </c>
    </row>
    <row r="1207" spans="1:15" ht="30">
      <c r="A1207" s="134"/>
      <c r="B1207" s="137"/>
      <c r="C1207" s="125"/>
      <c r="D1207" s="115"/>
      <c r="E1207" s="115"/>
      <c r="F1207" s="11" t="s">
        <v>639</v>
      </c>
      <c r="G1207" s="20" t="s">
        <v>640</v>
      </c>
      <c r="H1207" s="29" t="str">
        <f>VLOOKUP(G1207,'insumos terrapl'!$C$3:$K$47,2,0)</f>
        <v>2N  58  06  00  00  00  00</v>
      </c>
      <c r="I1207" s="29" t="str">
        <f>VLOOKUP(G1207,'insumos terrapl'!$C$3:$K$47,3,0)</f>
        <v>2N</v>
      </c>
      <c r="J1207" s="29">
        <f>VLOOKUP(G1207,'insumos terrapl'!$C$3:$K$47,4,0)</f>
        <v>58</v>
      </c>
      <c r="K1207" s="29" t="str">
        <f>VLOOKUP(G1207,'insumos terrapl'!$C$3:$K$47,5,0)</f>
        <v>06</v>
      </c>
      <c r="L1207" s="29" t="str">
        <f>VLOOKUP(G1207,'insumos terrapl'!$C$3:$K$47,6,0)</f>
        <v>00</v>
      </c>
      <c r="M1207" s="29" t="str">
        <f>VLOOKUP(G1207,'insumos terrapl'!$C$3:$K$47,7,0)</f>
        <v>00</v>
      </c>
      <c r="N1207" s="29" t="str">
        <f>VLOOKUP(G1207,'insumos terrapl'!$C$3:$K$47,8,0)</f>
        <v>00</v>
      </c>
      <c r="O1207" s="97" t="str">
        <f>VLOOKUP(G1207,'insumos terrapl'!$C$3:$K$47,9,0)</f>
        <v>00</v>
      </c>
    </row>
    <row r="1208" spans="1:15">
      <c r="A1208" s="134"/>
      <c r="B1208" s="137"/>
      <c r="C1208" s="125"/>
      <c r="D1208" s="115"/>
      <c r="E1208" s="115"/>
      <c r="F1208" s="11" t="s">
        <v>641</v>
      </c>
      <c r="G1208" s="20" t="s">
        <v>642</v>
      </c>
      <c r="H1208" s="29" t="str">
        <f>VLOOKUP(G1208,'insumos terrapl'!$C$3:$K$47,2,0)</f>
        <v>2N  58  06  00  00  00  00</v>
      </c>
      <c r="I1208" s="29" t="str">
        <f>VLOOKUP(G1208,'insumos terrapl'!$C$3:$K$47,3,0)</f>
        <v>2N</v>
      </c>
      <c r="J1208" s="29">
        <f>VLOOKUP(G1208,'insumos terrapl'!$C$3:$K$47,4,0)</f>
        <v>58</v>
      </c>
      <c r="K1208" s="29" t="str">
        <f>VLOOKUP(G1208,'insumos terrapl'!$C$3:$K$47,5,0)</f>
        <v>06</v>
      </c>
      <c r="L1208" s="29" t="str">
        <f>VLOOKUP(G1208,'insumos terrapl'!$C$3:$K$47,6,0)</f>
        <v>00</v>
      </c>
      <c r="M1208" s="29" t="str">
        <f>VLOOKUP(G1208,'insumos terrapl'!$C$3:$K$47,7,0)</f>
        <v>00</v>
      </c>
      <c r="N1208" s="29" t="str">
        <f>VLOOKUP(G1208,'insumos terrapl'!$C$3:$K$47,8,0)</f>
        <v>00</v>
      </c>
      <c r="O1208" s="97" t="str">
        <f>VLOOKUP(G1208,'insumos terrapl'!$C$3:$K$47,9,0)</f>
        <v>00</v>
      </c>
    </row>
    <row r="1209" spans="1:15">
      <c r="A1209" s="134"/>
      <c r="B1209" s="137"/>
      <c r="C1209" s="125"/>
      <c r="D1209" s="115"/>
      <c r="E1209" s="115"/>
      <c r="F1209" s="11" t="s">
        <v>619</v>
      </c>
      <c r="G1209" s="20" t="s">
        <v>620</v>
      </c>
      <c r="H1209" s="29"/>
      <c r="I1209" s="29"/>
      <c r="J1209" s="29"/>
      <c r="K1209" s="29"/>
      <c r="L1209" s="29"/>
      <c r="M1209" s="29"/>
      <c r="N1209" s="29"/>
      <c r="O1209" s="97"/>
    </row>
    <row r="1210" spans="1:15">
      <c r="A1210" s="134"/>
      <c r="B1210" s="137"/>
      <c r="C1210" s="125"/>
      <c r="D1210" s="115"/>
      <c r="E1210" s="115"/>
      <c r="F1210" s="11" t="s">
        <v>643</v>
      </c>
      <c r="G1210" s="20" t="s">
        <v>644</v>
      </c>
      <c r="H1210" s="29" t="str">
        <f>VLOOKUP(G1210,'insumos terrapl'!$C$3:$K$47,2,0)</f>
        <v>2N  58  06  00  00  00  00</v>
      </c>
      <c r="I1210" s="29" t="str">
        <f>VLOOKUP(G1210,'insumos terrapl'!$C$3:$K$47,3,0)</f>
        <v>2N</v>
      </c>
      <c r="J1210" s="29">
        <f>VLOOKUP(G1210,'insumos terrapl'!$C$3:$K$47,4,0)</f>
        <v>58</v>
      </c>
      <c r="K1210" s="29" t="str">
        <f>VLOOKUP(G1210,'insumos terrapl'!$C$3:$K$47,5,0)</f>
        <v>06</v>
      </c>
      <c r="L1210" s="29" t="str">
        <f>VLOOKUP(G1210,'insumos terrapl'!$C$3:$K$47,6,0)</f>
        <v>00</v>
      </c>
      <c r="M1210" s="29" t="str">
        <f>VLOOKUP(G1210,'insumos terrapl'!$C$3:$K$47,7,0)</f>
        <v>00</v>
      </c>
      <c r="N1210" s="29" t="str">
        <f>VLOOKUP(G1210,'insumos terrapl'!$C$3:$K$47,8,0)</f>
        <v>00</v>
      </c>
      <c r="O1210" s="97" t="str">
        <f>VLOOKUP(G1210,'insumos terrapl'!$C$3:$K$47,9,0)</f>
        <v>00</v>
      </c>
    </row>
    <row r="1211" spans="1:15">
      <c r="A1211" s="134"/>
      <c r="B1211" s="137"/>
      <c r="C1211" s="125"/>
      <c r="D1211" s="115"/>
      <c r="E1211" s="115"/>
      <c r="F1211" s="11" t="s">
        <v>645</v>
      </c>
      <c r="G1211" s="20" t="s">
        <v>646</v>
      </c>
      <c r="H1211" s="29" t="str">
        <f>VLOOKUP(G1211,'insumos terrapl'!$C$3:$K$47,2,0)</f>
        <v>2N  58  06  00  00  00  00</v>
      </c>
      <c r="I1211" s="29" t="str">
        <f>VLOOKUP(G1211,'insumos terrapl'!$C$3:$K$47,3,0)</f>
        <v>2N</v>
      </c>
      <c r="J1211" s="29">
        <f>VLOOKUP(G1211,'insumos terrapl'!$C$3:$K$47,4,0)</f>
        <v>58</v>
      </c>
      <c r="K1211" s="29" t="str">
        <f>VLOOKUP(G1211,'insumos terrapl'!$C$3:$K$47,5,0)</f>
        <v>06</v>
      </c>
      <c r="L1211" s="29" t="str">
        <f>VLOOKUP(G1211,'insumos terrapl'!$C$3:$K$47,6,0)</f>
        <v>00</v>
      </c>
      <c r="M1211" s="29" t="str">
        <f>VLOOKUP(G1211,'insumos terrapl'!$C$3:$K$47,7,0)</f>
        <v>00</v>
      </c>
      <c r="N1211" s="29" t="str">
        <f>VLOOKUP(G1211,'insumos terrapl'!$C$3:$K$47,8,0)</f>
        <v>00</v>
      </c>
      <c r="O1211" s="97" t="str">
        <f>VLOOKUP(G1211,'insumos terrapl'!$C$3:$K$47,9,0)</f>
        <v>00</v>
      </c>
    </row>
    <row r="1212" spans="1:15" ht="30">
      <c r="A1212" s="134"/>
      <c r="B1212" s="137"/>
      <c r="C1212" s="125"/>
      <c r="D1212" s="115"/>
      <c r="E1212" s="115"/>
      <c r="F1212" s="11" t="s">
        <v>647</v>
      </c>
      <c r="G1212" s="20" t="s">
        <v>648</v>
      </c>
      <c r="H1212" s="29" t="str">
        <f>VLOOKUP(G1212,'insumos terrapl'!$C$3:$K$47,2,0)</f>
        <v>2N  58  06  00  00  00  00</v>
      </c>
      <c r="I1212" s="29" t="str">
        <f>VLOOKUP(G1212,'insumos terrapl'!$C$3:$K$47,3,0)</f>
        <v>2N</v>
      </c>
      <c r="J1212" s="29">
        <f>VLOOKUP(G1212,'insumos terrapl'!$C$3:$K$47,4,0)</f>
        <v>58</v>
      </c>
      <c r="K1212" s="29" t="str">
        <f>VLOOKUP(G1212,'insumos terrapl'!$C$3:$K$47,5,0)</f>
        <v>06</v>
      </c>
      <c r="L1212" s="29" t="str">
        <f>VLOOKUP(G1212,'insumos terrapl'!$C$3:$K$47,6,0)</f>
        <v>00</v>
      </c>
      <c r="M1212" s="29" t="str">
        <f>VLOOKUP(G1212,'insumos terrapl'!$C$3:$K$47,7,0)</f>
        <v>00</v>
      </c>
      <c r="N1212" s="29" t="str">
        <f>VLOOKUP(G1212,'insumos terrapl'!$C$3:$K$47,8,0)</f>
        <v>00</v>
      </c>
      <c r="O1212" s="97" t="str">
        <f>VLOOKUP(G1212,'insumos terrapl'!$C$3:$K$47,9,0)</f>
        <v>00</v>
      </c>
    </row>
    <row r="1213" spans="1:15">
      <c r="A1213" s="134"/>
      <c r="B1213" s="137"/>
      <c r="C1213" s="125"/>
      <c r="D1213" s="115"/>
      <c r="E1213" s="115"/>
      <c r="F1213" s="11" t="s">
        <v>621</v>
      </c>
      <c r="G1213" s="20" t="s">
        <v>622</v>
      </c>
      <c r="H1213" s="29" t="str">
        <f>VLOOKUP(G1213,'insumos terrapl'!$C$3:$K$47,2,0)</f>
        <v>2N  58  06  00  00  00  00</v>
      </c>
      <c r="I1213" s="29" t="str">
        <f>VLOOKUP(G1213,'insumos terrapl'!$C$3:$K$47,3,0)</f>
        <v>2N</v>
      </c>
      <c r="J1213" s="29">
        <f>VLOOKUP(G1213,'insumos terrapl'!$C$3:$K$47,4,0)</f>
        <v>58</v>
      </c>
      <c r="K1213" s="29" t="str">
        <f>VLOOKUP(G1213,'insumos terrapl'!$C$3:$K$47,5,0)</f>
        <v>06</v>
      </c>
      <c r="L1213" s="29" t="str">
        <f>VLOOKUP(G1213,'insumos terrapl'!$C$3:$K$47,6,0)</f>
        <v>00</v>
      </c>
      <c r="M1213" s="29" t="str">
        <f>VLOOKUP(G1213,'insumos terrapl'!$C$3:$K$47,7,0)</f>
        <v>00</v>
      </c>
      <c r="N1213" s="29" t="str">
        <f>VLOOKUP(G1213,'insumos terrapl'!$C$3:$K$47,8,0)</f>
        <v>00</v>
      </c>
      <c r="O1213" s="97" t="str">
        <f>VLOOKUP(G1213,'insumos terrapl'!$C$3:$K$47,9,0)</f>
        <v>00</v>
      </c>
    </row>
    <row r="1214" spans="1:15">
      <c r="A1214" s="134"/>
      <c r="B1214" s="137"/>
      <c r="C1214" s="132"/>
      <c r="D1214" s="116"/>
      <c r="E1214" s="116"/>
      <c r="F1214" s="13"/>
      <c r="G1214" s="21"/>
      <c r="H1214" s="31"/>
      <c r="I1214" s="31"/>
      <c r="J1214" s="31"/>
      <c r="K1214" s="31"/>
      <c r="L1214" s="31"/>
      <c r="M1214" s="31"/>
      <c r="N1214" s="31"/>
      <c r="O1214" s="98"/>
    </row>
    <row r="1215" spans="1:15">
      <c r="A1215" s="134"/>
      <c r="B1215" s="137"/>
      <c r="C1215" s="124" t="s">
        <v>240</v>
      </c>
      <c r="D1215" s="114" t="str">
        <f>A1095</f>
        <v>2.6.8</v>
      </c>
      <c r="E1215" s="115" t="s">
        <v>498</v>
      </c>
      <c r="F1215" s="11" t="s">
        <v>240</v>
      </c>
      <c r="G1215" s="20"/>
      <c r="H1215" s="29"/>
      <c r="I1215" s="29"/>
      <c r="J1215" s="29"/>
      <c r="K1215" s="29"/>
      <c r="L1215" s="29"/>
      <c r="M1215" s="29"/>
      <c r="N1215" s="29"/>
      <c r="O1215" s="97"/>
    </row>
    <row r="1216" spans="1:15" ht="30">
      <c r="A1216" s="134"/>
      <c r="B1216" s="137"/>
      <c r="C1216" s="125"/>
      <c r="D1216" s="115"/>
      <c r="E1216" s="115"/>
      <c r="F1216" s="11" t="s">
        <v>659</v>
      </c>
      <c r="G1216" s="20" t="s">
        <v>660</v>
      </c>
      <c r="H1216" s="29" t="str">
        <f>VLOOKUP(G1216,'insumos terrapl'!$C$3:$K$47,2,0)</f>
        <v>2Q  66  10  02  00  00  00</v>
      </c>
      <c r="I1216" s="29" t="str">
        <f>VLOOKUP(G1216,'insumos terrapl'!$C$3:$K$47,3,0)</f>
        <v>2Q</v>
      </c>
      <c r="J1216" s="29">
        <f>VLOOKUP(G1216,'insumos terrapl'!$C$3:$K$47,4,0)</f>
        <v>66</v>
      </c>
      <c r="K1216" s="29" t="str">
        <f>VLOOKUP(G1216,'insumos terrapl'!$C$3:$K$47,5,0)</f>
        <v>10</v>
      </c>
      <c r="L1216" s="29" t="str">
        <f>VLOOKUP(G1216,'insumos terrapl'!$C$3:$K$47,6,0)</f>
        <v>02</v>
      </c>
      <c r="M1216" s="29" t="str">
        <f>VLOOKUP(G1216,'insumos terrapl'!$C$3:$K$47,7,0)</f>
        <v>00</v>
      </c>
      <c r="N1216" s="29" t="str">
        <f>VLOOKUP(G1216,'insumos terrapl'!$C$3:$K$47,8,0)</f>
        <v>00</v>
      </c>
      <c r="O1216" s="97" t="str">
        <f>VLOOKUP(G1216,'insumos terrapl'!$C$3:$K$47,9,0)</f>
        <v>00</v>
      </c>
    </row>
    <row r="1217" spans="1:15" ht="30">
      <c r="A1217" s="134"/>
      <c r="B1217" s="137"/>
      <c r="C1217" s="125"/>
      <c r="D1217" s="115"/>
      <c r="E1217" s="115"/>
      <c r="F1217" s="11" t="s">
        <v>661</v>
      </c>
      <c r="G1217" s="20" t="s">
        <v>662</v>
      </c>
      <c r="H1217" s="29" t="str">
        <f>VLOOKUP(G1217,'insumos terrapl'!$C$3:$K$47,2,0)</f>
        <v>2Q  62  10  06  00  00  00</v>
      </c>
      <c r="I1217" s="29" t="str">
        <f>VLOOKUP(G1217,'insumos terrapl'!$C$3:$K$47,3,0)</f>
        <v>2Q</v>
      </c>
      <c r="J1217" s="29">
        <f>VLOOKUP(G1217,'insumos terrapl'!$C$3:$K$47,4,0)</f>
        <v>62</v>
      </c>
      <c r="K1217" s="29" t="str">
        <f>VLOOKUP(G1217,'insumos terrapl'!$C$3:$K$47,5,0)</f>
        <v>10</v>
      </c>
      <c r="L1217" s="29" t="str">
        <f>VLOOKUP(G1217,'insumos terrapl'!$C$3:$K$47,6,0)</f>
        <v>06</v>
      </c>
      <c r="M1217" s="29" t="str">
        <f>VLOOKUP(G1217,'insumos terrapl'!$C$3:$K$47,7,0)</f>
        <v>00</v>
      </c>
      <c r="N1217" s="29" t="str">
        <f>VLOOKUP(G1217,'insumos terrapl'!$C$3:$K$47,8,0)</f>
        <v>00</v>
      </c>
      <c r="O1217" s="97" t="str">
        <f>VLOOKUP(G1217,'insumos terrapl'!$C$3:$K$47,9,0)</f>
        <v>00</v>
      </c>
    </row>
    <row r="1218" spans="1:15" ht="30">
      <c r="A1218" s="134"/>
      <c r="B1218" s="137"/>
      <c r="C1218" s="125"/>
      <c r="D1218" s="115"/>
      <c r="E1218" s="115"/>
      <c r="F1218" s="11" t="s">
        <v>607</v>
      </c>
      <c r="G1218" s="20" t="s">
        <v>608</v>
      </c>
      <c r="H1218" s="29" t="str">
        <f>VLOOKUP(G1218,'insumos terrapl'!$C$3:$K$47,2,0)</f>
        <v>2Q  42  06  18  02  02  00</v>
      </c>
      <c r="I1218" s="29" t="str">
        <f>VLOOKUP(G1218,'insumos terrapl'!$C$3:$K$47,3,0)</f>
        <v>2Q</v>
      </c>
      <c r="J1218" s="29">
        <f>VLOOKUP(G1218,'insumos terrapl'!$C$3:$K$47,4,0)</f>
        <v>42</v>
      </c>
      <c r="K1218" s="29" t="str">
        <f>VLOOKUP(G1218,'insumos terrapl'!$C$3:$K$47,5,0)</f>
        <v>06</v>
      </c>
      <c r="L1218" s="29">
        <f>VLOOKUP(G1218,'insumos terrapl'!$C$3:$K$47,6,0)</f>
        <v>18</v>
      </c>
      <c r="M1218" s="29" t="str">
        <f>VLOOKUP(G1218,'insumos terrapl'!$C$3:$K$47,7,0)</f>
        <v>02</v>
      </c>
      <c r="N1218" s="29" t="str">
        <f>VLOOKUP(G1218,'insumos terrapl'!$C$3:$K$47,8,0)</f>
        <v>02</v>
      </c>
      <c r="O1218" s="97" t="str">
        <f>VLOOKUP(G1218,'insumos terrapl'!$C$3:$K$47,9,0)</f>
        <v>00</v>
      </c>
    </row>
    <row r="1219" spans="1:15" ht="45">
      <c r="A1219" s="134"/>
      <c r="B1219" s="137"/>
      <c r="C1219" s="125"/>
      <c r="D1219" s="115"/>
      <c r="E1219" s="115"/>
      <c r="F1219" s="11" t="s">
        <v>609</v>
      </c>
      <c r="G1219" s="20" t="s">
        <v>610</v>
      </c>
      <c r="H1219" s="29" t="str">
        <f>VLOOKUP(G1219,'insumos terrapl'!$C$3:$K$47,2,0)</f>
        <v>2Q  42  06  02  14  02  00</v>
      </c>
      <c r="I1219" s="29" t="str">
        <f>VLOOKUP(G1219,'insumos terrapl'!$C$3:$K$47,3,0)</f>
        <v>2Q</v>
      </c>
      <c r="J1219" s="29">
        <f>VLOOKUP(G1219,'insumos terrapl'!$C$3:$K$47,4,0)</f>
        <v>42</v>
      </c>
      <c r="K1219" s="29" t="str">
        <f>VLOOKUP(G1219,'insumos terrapl'!$C$3:$K$47,5,0)</f>
        <v>06</v>
      </c>
      <c r="L1219" s="29" t="str">
        <f>VLOOKUP(G1219,'insumos terrapl'!$C$3:$K$47,6,0)</f>
        <v>02</v>
      </c>
      <c r="M1219" s="29" t="str">
        <f>VLOOKUP(G1219,'insumos terrapl'!$C$3:$K$47,7,0)</f>
        <v>14</v>
      </c>
      <c r="N1219" s="29" t="str">
        <f>VLOOKUP(G1219,'insumos terrapl'!$C$3:$K$47,8,0)</f>
        <v>02</v>
      </c>
      <c r="O1219" s="97" t="str">
        <f>VLOOKUP(G1219,'insumos terrapl'!$C$3:$K$47,9,0)</f>
        <v>00</v>
      </c>
    </row>
    <row r="1220" spans="1:15">
      <c r="A1220" s="134"/>
      <c r="B1220" s="137"/>
      <c r="C1220" s="125"/>
      <c r="D1220" s="115"/>
      <c r="E1220" s="115"/>
      <c r="F1220" s="11" t="s">
        <v>633</v>
      </c>
      <c r="G1220" s="20" t="s">
        <v>634</v>
      </c>
      <c r="H1220" s="29" t="str">
        <f>VLOOKUP(G1220,'insumos terrapl'!$C$3:$K$47,2,0)</f>
        <v>2Q  58  10  10  02  06  00</v>
      </c>
      <c r="I1220" s="29" t="str">
        <f>VLOOKUP(G1220,'insumos terrapl'!$C$3:$K$47,3,0)</f>
        <v>2Q</v>
      </c>
      <c r="J1220" s="29">
        <f>VLOOKUP(G1220,'insumos terrapl'!$C$3:$K$47,4,0)</f>
        <v>58</v>
      </c>
      <c r="K1220" s="29" t="str">
        <f>VLOOKUP(G1220,'insumos terrapl'!$C$3:$K$47,5,0)</f>
        <v>10</v>
      </c>
      <c r="L1220" s="29" t="str">
        <f>VLOOKUP(G1220,'insumos terrapl'!$C$3:$K$47,6,0)</f>
        <v>10</v>
      </c>
      <c r="M1220" s="29" t="str">
        <f>VLOOKUP(G1220,'insumos terrapl'!$C$3:$K$47,7,0)</f>
        <v>02</v>
      </c>
      <c r="N1220" s="29" t="str">
        <f>VLOOKUP(G1220,'insumos terrapl'!$C$3:$K$47,8,0)</f>
        <v>06</v>
      </c>
      <c r="O1220" s="97" t="str">
        <f>VLOOKUP(G1220,'insumos terrapl'!$C$3:$K$47,9,0)</f>
        <v>00</v>
      </c>
    </row>
    <row r="1221" spans="1:15">
      <c r="A1221" s="134"/>
      <c r="B1221" s="137"/>
      <c r="C1221" s="125"/>
      <c r="D1221" s="115"/>
      <c r="E1221" s="115"/>
      <c r="F1221" s="11" t="s">
        <v>586</v>
      </c>
      <c r="G1221" s="20" t="s">
        <v>587</v>
      </c>
      <c r="H1221" s="29" t="str">
        <f>VLOOKUP(G1221,'insumos terrapl'!$C$3:$K$47,2,0)</f>
        <v>2Q  62  30  02  14  00  00</v>
      </c>
      <c r="I1221" s="29" t="str">
        <f>VLOOKUP(G1221,'insumos terrapl'!$C$3:$K$47,3,0)</f>
        <v>2Q</v>
      </c>
      <c r="J1221" s="29">
        <f>VLOOKUP(G1221,'insumos terrapl'!$C$3:$K$47,4,0)</f>
        <v>62</v>
      </c>
      <c r="K1221" s="29">
        <f>VLOOKUP(G1221,'insumos terrapl'!$C$3:$K$47,5,0)</f>
        <v>30</v>
      </c>
      <c r="L1221" s="29" t="str">
        <f>VLOOKUP(G1221,'insumos terrapl'!$C$3:$K$47,6,0)</f>
        <v>02</v>
      </c>
      <c r="M1221" s="29" t="str">
        <f>VLOOKUP(G1221,'insumos terrapl'!$C$3:$K$47,7,0)</f>
        <v>14</v>
      </c>
      <c r="N1221" s="29" t="str">
        <f>VLOOKUP(G1221,'insumos terrapl'!$C$3:$K$47,8,0)</f>
        <v>00</v>
      </c>
      <c r="O1221" s="97" t="str">
        <f>VLOOKUP(G1221,'insumos terrapl'!$C$3:$K$47,9,0)</f>
        <v>00</v>
      </c>
    </row>
    <row r="1222" spans="1:15">
      <c r="A1222" s="134"/>
      <c r="B1222" s="137"/>
      <c r="C1222" s="125"/>
      <c r="D1222" s="115"/>
      <c r="E1222" s="115"/>
      <c r="F1222" s="11" t="s">
        <v>613</v>
      </c>
      <c r="G1222" s="20" t="s">
        <v>614</v>
      </c>
      <c r="H1222" s="29" t="str">
        <f>VLOOKUP(G1222,'insumos terrapl'!$C$3:$K$47,2,0)</f>
        <v>2N  20  14  02  00  00  00</v>
      </c>
      <c r="I1222" s="29" t="str">
        <f>VLOOKUP(G1222,'insumos terrapl'!$C$3:$K$47,3,0)</f>
        <v>2N</v>
      </c>
      <c r="J1222" s="29">
        <f>VLOOKUP(G1222,'insumos terrapl'!$C$3:$K$47,4,0)</f>
        <v>20</v>
      </c>
      <c r="K1222" s="29" t="str">
        <f>VLOOKUP(G1222,'insumos terrapl'!$C$3:$K$47,5,0)</f>
        <v>14</v>
      </c>
      <c r="L1222" s="29" t="str">
        <f>VLOOKUP(G1222,'insumos terrapl'!$C$3:$K$47,6,0)</f>
        <v>02</v>
      </c>
      <c r="M1222" s="29" t="str">
        <f>VLOOKUP(G1222,'insumos terrapl'!$C$3:$K$47,7,0)</f>
        <v>00</v>
      </c>
      <c r="N1222" s="29" t="str">
        <f>VLOOKUP(G1222,'insumos terrapl'!$C$3:$K$47,8,0)</f>
        <v>00</v>
      </c>
      <c r="O1222" s="97" t="str">
        <f>VLOOKUP(G1222,'insumos terrapl'!$C$3:$K$47,9,0)</f>
        <v>00</v>
      </c>
    </row>
    <row r="1223" spans="1:15">
      <c r="A1223" s="134"/>
      <c r="B1223" s="137"/>
      <c r="C1223" s="125"/>
      <c r="D1223" s="115"/>
      <c r="E1223" s="115"/>
      <c r="F1223" s="11" t="s">
        <v>615</v>
      </c>
      <c r="G1223" s="20" t="s">
        <v>616</v>
      </c>
      <c r="H1223" s="29" t="str">
        <f>VLOOKUP(G1223,'insumos terrapl'!$C$3:$K$47,2,0)</f>
        <v>2N  20  14  02  00  00  00</v>
      </c>
      <c r="I1223" s="29" t="str">
        <f>VLOOKUP(G1223,'insumos terrapl'!$C$3:$K$47,3,0)</f>
        <v>2N</v>
      </c>
      <c r="J1223" s="29">
        <f>VLOOKUP(G1223,'insumos terrapl'!$C$3:$K$47,4,0)</f>
        <v>20</v>
      </c>
      <c r="K1223" s="29" t="str">
        <f>VLOOKUP(G1223,'insumos terrapl'!$C$3:$K$47,5,0)</f>
        <v>14</v>
      </c>
      <c r="L1223" s="29" t="str">
        <f>VLOOKUP(G1223,'insumos terrapl'!$C$3:$K$47,6,0)</f>
        <v>02</v>
      </c>
      <c r="M1223" s="29" t="str">
        <f>VLOOKUP(G1223,'insumos terrapl'!$C$3:$K$47,7,0)</f>
        <v>00</v>
      </c>
      <c r="N1223" s="29" t="str">
        <f>VLOOKUP(G1223,'insumos terrapl'!$C$3:$K$47,8,0)</f>
        <v>00</v>
      </c>
      <c r="O1223" s="97" t="str">
        <f>VLOOKUP(G1223,'insumos terrapl'!$C$3:$K$47,9,0)</f>
        <v>00</v>
      </c>
    </row>
    <row r="1224" spans="1:15" ht="30">
      <c r="A1224" s="134"/>
      <c r="B1224" s="137"/>
      <c r="C1224" s="125"/>
      <c r="D1224" s="115"/>
      <c r="E1224" s="115"/>
      <c r="F1224" s="11" t="s">
        <v>635</v>
      </c>
      <c r="G1224" s="20" t="s">
        <v>636</v>
      </c>
      <c r="H1224" s="29" t="str">
        <f>VLOOKUP(G1224,'insumos terrapl'!$C$3:$K$47,2,0)</f>
        <v>2N  58  06  00  00  00  00</v>
      </c>
      <c r="I1224" s="29" t="str">
        <f>VLOOKUP(G1224,'insumos terrapl'!$C$3:$K$47,3,0)</f>
        <v>2N</v>
      </c>
      <c r="J1224" s="29">
        <f>VLOOKUP(G1224,'insumos terrapl'!$C$3:$K$47,4,0)</f>
        <v>58</v>
      </c>
      <c r="K1224" s="29" t="str">
        <f>VLOOKUP(G1224,'insumos terrapl'!$C$3:$K$47,5,0)</f>
        <v>06</v>
      </c>
      <c r="L1224" s="29" t="str">
        <f>VLOOKUP(G1224,'insumos terrapl'!$C$3:$K$47,6,0)</f>
        <v>00</v>
      </c>
      <c r="M1224" s="29" t="str">
        <f>VLOOKUP(G1224,'insumos terrapl'!$C$3:$K$47,7,0)</f>
        <v>00</v>
      </c>
      <c r="N1224" s="29" t="str">
        <f>VLOOKUP(G1224,'insumos terrapl'!$C$3:$K$47,8,0)</f>
        <v>00</v>
      </c>
      <c r="O1224" s="97" t="str">
        <f>VLOOKUP(G1224,'insumos terrapl'!$C$3:$K$47,9,0)</f>
        <v>00</v>
      </c>
    </row>
    <row r="1225" spans="1:15">
      <c r="A1225" s="134"/>
      <c r="B1225" s="137"/>
      <c r="C1225" s="125"/>
      <c r="D1225" s="115"/>
      <c r="E1225" s="115"/>
      <c r="F1225" s="11" t="s">
        <v>617</v>
      </c>
      <c r="G1225" s="20" t="s">
        <v>618</v>
      </c>
      <c r="H1225" s="29" t="str">
        <f>VLOOKUP(G1225,'insumos terrapl'!$C$3:$K$47,2,0)</f>
        <v>2Q  58  06  02  28  00  00</v>
      </c>
      <c r="I1225" s="29" t="str">
        <f>VLOOKUP(G1225,'insumos terrapl'!$C$3:$K$47,3,0)</f>
        <v>2Q</v>
      </c>
      <c r="J1225" s="29">
        <f>VLOOKUP(G1225,'insumos terrapl'!$C$3:$K$47,4,0)</f>
        <v>58</v>
      </c>
      <c r="K1225" s="29" t="str">
        <f>VLOOKUP(G1225,'insumos terrapl'!$C$3:$K$47,5,0)</f>
        <v>06</v>
      </c>
      <c r="L1225" s="29" t="str">
        <f>VLOOKUP(G1225,'insumos terrapl'!$C$3:$K$47,6,0)</f>
        <v>02</v>
      </c>
      <c r="M1225" s="29" t="str">
        <f>VLOOKUP(G1225,'insumos terrapl'!$C$3:$K$47,7,0)</f>
        <v>28</v>
      </c>
      <c r="N1225" s="29" t="str">
        <f>VLOOKUP(G1225,'insumos terrapl'!$C$3:$K$47,8,0)</f>
        <v>00</v>
      </c>
      <c r="O1225" s="97" t="str">
        <f>VLOOKUP(G1225,'insumos terrapl'!$C$3:$K$47,9,0)</f>
        <v>00</v>
      </c>
    </row>
    <row r="1226" spans="1:15" ht="30">
      <c r="A1226" s="134"/>
      <c r="B1226" s="137"/>
      <c r="C1226" s="125"/>
      <c r="D1226" s="115"/>
      <c r="E1226" s="115"/>
      <c r="F1226" s="11" t="s">
        <v>637</v>
      </c>
      <c r="G1226" s="20" t="s">
        <v>638</v>
      </c>
      <c r="H1226" s="29" t="str">
        <f>VLOOKUP(G1226,'insumos terrapl'!$C$3:$K$47,2,0)</f>
        <v>2N  58  06  00  00  00  00</v>
      </c>
      <c r="I1226" s="29" t="str">
        <f>VLOOKUP(G1226,'insumos terrapl'!$C$3:$K$47,3,0)</f>
        <v>2N</v>
      </c>
      <c r="J1226" s="29">
        <f>VLOOKUP(G1226,'insumos terrapl'!$C$3:$K$47,4,0)</f>
        <v>58</v>
      </c>
      <c r="K1226" s="29" t="str">
        <f>VLOOKUP(G1226,'insumos terrapl'!$C$3:$K$47,5,0)</f>
        <v>06</v>
      </c>
      <c r="L1226" s="29" t="str">
        <f>VLOOKUP(G1226,'insumos terrapl'!$C$3:$K$47,6,0)</f>
        <v>00</v>
      </c>
      <c r="M1226" s="29" t="str">
        <f>VLOOKUP(G1226,'insumos terrapl'!$C$3:$K$47,7,0)</f>
        <v>00</v>
      </c>
      <c r="N1226" s="29" t="str">
        <f>VLOOKUP(G1226,'insumos terrapl'!$C$3:$K$47,8,0)</f>
        <v>00</v>
      </c>
      <c r="O1226" s="97" t="str">
        <f>VLOOKUP(G1226,'insumos terrapl'!$C$3:$K$47,9,0)</f>
        <v>00</v>
      </c>
    </row>
    <row r="1227" spans="1:15" ht="30">
      <c r="A1227" s="134"/>
      <c r="B1227" s="137"/>
      <c r="C1227" s="125"/>
      <c r="D1227" s="115"/>
      <c r="E1227" s="115"/>
      <c r="F1227" s="11" t="s">
        <v>639</v>
      </c>
      <c r="G1227" s="20" t="s">
        <v>640</v>
      </c>
      <c r="H1227" s="29" t="str">
        <f>VLOOKUP(G1227,'insumos terrapl'!$C$3:$K$47,2,0)</f>
        <v>2N  58  06  00  00  00  00</v>
      </c>
      <c r="I1227" s="29" t="str">
        <f>VLOOKUP(G1227,'insumos terrapl'!$C$3:$K$47,3,0)</f>
        <v>2N</v>
      </c>
      <c r="J1227" s="29">
        <f>VLOOKUP(G1227,'insumos terrapl'!$C$3:$K$47,4,0)</f>
        <v>58</v>
      </c>
      <c r="K1227" s="29" t="str">
        <f>VLOOKUP(G1227,'insumos terrapl'!$C$3:$K$47,5,0)</f>
        <v>06</v>
      </c>
      <c r="L1227" s="29" t="str">
        <f>VLOOKUP(G1227,'insumos terrapl'!$C$3:$K$47,6,0)</f>
        <v>00</v>
      </c>
      <c r="M1227" s="29" t="str">
        <f>VLOOKUP(G1227,'insumos terrapl'!$C$3:$K$47,7,0)</f>
        <v>00</v>
      </c>
      <c r="N1227" s="29" t="str">
        <f>VLOOKUP(G1227,'insumos terrapl'!$C$3:$K$47,8,0)</f>
        <v>00</v>
      </c>
      <c r="O1227" s="97" t="str">
        <f>VLOOKUP(G1227,'insumos terrapl'!$C$3:$K$47,9,0)</f>
        <v>00</v>
      </c>
    </row>
    <row r="1228" spans="1:15">
      <c r="A1228" s="134"/>
      <c r="B1228" s="137"/>
      <c r="C1228" s="125"/>
      <c r="D1228" s="115"/>
      <c r="E1228" s="115"/>
      <c r="F1228" s="11" t="s">
        <v>641</v>
      </c>
      <c r="G1228" s="20" t="s">
        <v>642</v>
      </c>
      <c r="H1228" s="29" t="str">
        <f>VLOOKUP(G1228,'insumos terrapl'!$C$3:$K$47,2,0)</f>
        <v>2N  58  06  00  00  00  00</v>
      </c>
      <c r="I1228" s="29" t="str">
        <f>VLOOKUP(G1228,'insumos terrapl'!$C$3:$K$47,3,0)</f>
        <v>2N</v>
      </c>
      <c r="J1228" s="29">
        <f>VLOOKUP(G1228,'insumos terrapl'!$C$3:$K$47,4,0)</f>
        <v>58</v>
      </c>
      <c r="K1228" s="29" t="str">
        <f>VLOOKUP(G1228,'insumos terrapl'!$C$3:$K$47,5,0)</f>
        <v>06</v>
      </c>
      <c r="L1228" s="29" t="str">
        <f>VLOOKUP(G1228,'insumos terrapl'!$C$3:$K$47,6,0)</f>
        <v>00</v>
      </c>
      <c r="M1228" s="29" t="str">
        <f>VLOOKUP(G1228,'insumos terrapl'!$C$3:$K$47,7,0)</f>
        <v>00</v>
      </c>
      <c r="N1228" s="29" t="str">
        <f>VLOOKUP(G1228,'insumos terrapl'!$C$3:$K$47,8,0)</f>
        <v>00</v>
      </c>
      <c r="O1228" s="97" t="str">
        <f>VLOOKUP(G1228,'insumos terrapl'!$C$3:$K$47,9,0)</f>
        <v>00</v>
      </c>
    </row>
    <row r="1229" spans="1:15">
      <c r="A1229" s="134"/>
      <c r="B1229" s="137"/>
      <c r="C1229" s="125"/>
      <c r="D1229" s="115"/>
      <c r="E1229" s="115"/>
      <c r="F1229" s="11" t="s">
        <v>619</v>
      </c>
      <c r="G1229" s="20" t="s">
        <v>620</v>
      </c>
      <c r="H1229" s="29"/>
      <c r="I1229" s="29"/>
      <c r="J1229" s="29"/>
      <c r="K1229" s="29"/>
      <c r="L1229" s="29"/>
      <c r="M1229" s="29"/>
      <c r="N1229" s="29"/>
      <c r="O1229" s="97"/>
    </row>
    <row r="1230" spans="1:15">
      <c r="A1230" s="134"/>
      <c r="B1230" s="137"/>
      <c r="C1230" s="125"/>
      <c r="D1230" s="115"/>
      <c r="E1230" s="115"/>
      <c r="F1230" s="11" t="s">
        <v>643</v>
      </c>
      <c r="G1230" s="20" t="s">
        <v>644</v>
      </c>
      <c r="H1230" s="29" t="str">
        <f>VLOOKUP(G1230,'insumos terrapl'!$C$3:$K$47,2,0)</f>
        <v>2N  58  06  00  00  00  00</v>
      </c>
      <c r="I1230" s="29" t="str">
        <f>VLOOKUP(G1230,'insumos terrapl'!$C$3:$K$47,3,0)</f>
        <v>2N</v>
      </c>
      <c r="J1230" s="29">
        <f>VLOOKUP(G1230,'insumos terrapl'!$C$3:$K$47,4,0)</f>
        <v>58</v>
      </c>
      <c r="K1230" s="29" t="str">
        <f>VLOOKUP(G1230,'insumos terrapl'!$C$3:$K$47,5,0)</f>
        <v>06</v>
      </c>
      <c r="L1230" s="29" t="str">
        <f>VLOOKUP(G1230,'insumos terrapl'!$C$3:$K$47,6,0)</f>
        <v>00</v>
      </c>
      <c r="M1230" s="29" t="str">
        <f>VLOOKUP(G1230,'insumos terrapl'!$C$3:$K$47,7,0)</f>
        <v>00</v>
      </c>
      <c r="N1230" s="29" t="str">
        <f>VLOOKUP(G1230,'insumos terrapl'!$C$3:$K$47,8,0)</f>
        <v>00</v>
      </c>
      <c r="O1230" s="97" t="str">
        <f>VLOOKUP(G1230,'insumos terrapl'!$C$3:$K$47,9,0)</f>
        <v>00</v>
      </c>
    </row>
    <row r="1231" spans="1:15">
      <c r="A1231" s="134"/>
      <c r="B1231" s="137"/>
      <c r="C1231" s="125"/>
      <c r="D1231" s="115"/>
      <c r="E1231" s="115"/>
      <c r="F1231" s="11" t="s">
        <v>645</v>
      </c>
      <c r="G1231" s="20" t="s">
        <v>646</v>
      </c>
      <c r="H1231" s="29" t="str">
        <f>VLOOKUP(G1231,'insumos terrapl'!$C$3:$K$47,2,0)</f>
        <v>2N  58  06  00  00  00  00</v>
      </c>
      <c r="I1231" s="29" t="str">
        <f>VLOOKUP(G1231,'insumos terrapl'!$C$3:$K$47,3,0)</f>
        <v>2N</v>
      </c>
      <c r="J1231" s="29">
        <f>VLOOKUP(G1231,'insumos terrapl'!$C$3:$K$47,4,0)</f>
        <v>58</v>
      </c>
      <c r="K1231" s="29" t="str">
        <f>VLOOKUP(G1231,'insumos terrapl'!$C$3:$K$47,5,0)</f>
        <v>06</v>
      </c>
      <c r="L1231" s="29" t="str">
        <f>VLOOKUP(G1231,'insumos terrapl'!$C$3:$K$47,6,0)</f>
        <v>00</v>
      </c>
      <c r="M1231" s="29" t="str">
        <f>VLOOKUP(G1231,'insumos terrapl'!$C$3:$K$47,7,0)</f>
        <v>00</v>
      </c>
      <c r="N1231" s="29" t="str">
        <f>VLOOKUP(G1231,'insumos terrapl'!$C$3:$K$47,8,0)</f>
        <v>00</v>
      </c>
      <c r="O1231" s="97" t="str">
        <f>VLOOKUP(G1231,'insumos terrapl'!$C$3:$K$47,9,0)</f>
        <v>00</v>
      </c>
    </row>
    <row r="1232" spans="1:15" ht="30">
      <c r="A1232" s="134"/>
      <c r="B1232" s="137"/>
      <c r="C1232" s="125"/>
      <c r="D1232" s="115"/>
      <c r="E1232" s="115"/>
      <c r="F1232" s="11" t="s">
        <v>647</v>
      </c>
      <c r="G1232" s="20" t="s">
        <v>648</v>
      </c>
      <c r="H1232" s="29" t="str">
        <f>VLOOKUP(G1232,'insumos terrapl'!$C$3:$K$47,2,0)</f>
        <v>2N  58  06  00  00  00  00</v>
      </c>
      <c r="I1232" s="29" t="str">
        <f>VLOOKUP(G1232,'insumos terrapl'!$C$3:$K$47,3,0)</f>
        <v>2N</v>
      </c>
      <c r="J1232" s="29">
        <f>VLOOKUP(G1232,'insumos terrapl'!$C$3:$K$47,4,0)</f>
        <v>58</v>
      </c>
      <c r="K1232" s="29" t="str">
        <f>VLOOKUP(G1232,'insumos terrapl'!$C$3:$K$47,5,0)</f>
        <v>06</v>
      </c>
      <c r="L1232" s="29" t="str">
        <f>VLOOKUP(G1232,'insumos terrapl'!$C$3:$K$47,6,0)</f>
        <v>00</v>
      </c>
      <c r="M1232" s="29" t="str">
        <f>VLOOKUP(G1232,'insumos terrapl'!$C$3:$K$47,7,0)</f>
        <v>00</v>
      </c>
      <c r="N1232" s="29" t="str">
        <f>VLOOKUP(G1232,'insumos terrapl'!$C$3:$K$47,8,0)</f>
        <v>00</v>
      </c>
      <c r="O1232" s="97" t="str">
        <f>VLOOKUP(G1232,'insumos terrapl'!$C$3:$K$47,9,0)</f>
        <v>00</v>
      </c>
    </row>
    <row r="1233" spans="1:15">
      <c r="A1233" s="134"/>
      <c r="B1233" s="137"/>
      <c r="C1233" s="125"/>
      <c r="D1233" s="115"/>
      <c r="E1233" s="115"/>
      <c r="F1233" s="11" t="s">
        <v>621</v>
      </c>
      <c r="G1233" s="20" t="s">
        <v>622</v>
      </c>
      <c r="H1233" s="29" t="str">
        <f>VLOOKUP(G1233,'insumos terrapl'!$C$3:$K$47,2,0)</f>
        <v>2N  58  06  00  00  00  00</v>
      </c>
      <c r="I1233" s="29" t="str">
        <f>VLOOKUP(G1233,'insumos terrapl'!$C$3:$K$47,3,0)</f>
        <v>2N</v>
      </c>
      <c r="J1233" s="29">
        <f>VLOOKUP(G1233,'insumos terrapl'!$C$3:$K$47,4,0)</f>
        <v>58</v>
      </c>
      <c r="K1233" s="29" t="str">
        <f>VLOOKUP(G1233,'insumos terrapl'!$C$3:$K$47,5,0)</f>
        <v>06</v>
      </c>
      <c r="L1233" s="29" t="str">
        <f>VLOOKUP(G1233,'insumos terrapl'!$C$3:$K$47,6,0)</f>
        <v>00</v>
      </c>
      <c r="M1233" s="29" t="str">
        <f>VLOOKUP(G1233,'insumos terrapl'!$C$3:$K$47,7,0)</f>
        <v>00</v>
      </c>
      <c r="N1233" s="29" t="str">
        <f>VLOOKUP(G1233,'insumos terrapl'!$C$3:$K$47,8,0)</f>
        <v>00</v>
      </c>
      <c r="O1233" s="97" t="str">
        <f>VLOOKUP(G1233,'insumos terrapl'!$C$3:$K$47,9,0)</f>
        <v>00</v>
      </c>
    </row>
    <row r="1234" spans="1:15">
      <c r="A1234" s="134"/>
      <c r="B1234" s="137"/>
      <c r="C1234" s="132"/>
      <c r="D1234" s="116"/>
      <c r="E1234" s="115"/>
      <c r="F1234" s="10"/>
      <c r="G1234" s="20"/>
      <c r="H1234" s="29"/>
      <c r="I1234" s="29"/>
      <c r="J1234" s="29"/>
      <c r="K1234" s="29"/>
      <c r="L1234" s="29"/>
      <c r="M1234" s="29"/>
      <c r="N1234" s="29"/>
      <c r="O1234" s="97"/>
    </row>
    <row r="1235" spans="1:15">
      <c r="A1235" s="134"/>
      <c r="B1235" s="137"/>
      <c r="C1235" s="124" t="s">
        <v>241</v>
      </c>
      <c r="D1235" s="114" t="str">
        <f>A1095</f>
        <v>2.6.8</v>
      </c>
      <c r="E1235" s="114" t="s">
        <v>499</v>
      </c>
      <c r="F1235" s="12" t="s">
        <v>241</v>
      </c>
      <c r="G1235" s="19"/>
      <c r="H1235" s="28"/>
      <c r="I1235" s="28"/>
      <c r="J1235" s="28"/>
      <c r="K1235" s="28"/>
      <c r="L1235" s="28"/>
      <c r="M1235" s="28"/>
      <c r="N1235" s="28"/>
      <c r="O1235" s="99"/>
    </row>
    <row r="1236" spans="1:15" ht="30">
      <c r="A1236" s="134"/>
      <c r="B1236" s="137"/>
      <c r="C1236" s="125"/>
      <c r="D1236" s="115"/>
      <c r="E1236" s="115"/>
      <c r="F1236" s="11" t="s">
        <v>659</v>
      </c>
      <c r="G1236" s="20" t="s">
        <v>660</v>
      </c>
      <c r="H1236" s="29" t="str">
        <f>VLOOKUP(G1236,'insumos terrapl'!$C$3:$K$47,2,0)</f>
        <v>2Q  66  10  02  00  00  00</v>
      </c>
      <c r="I1236" s="29" t="str">
        <f>VLOOKUP(G1236,'insumos terrapl'!$C$3:$K$47,3,0)</f>
        <v>2Q</v>
      </c>
      <c r="J1236" s="29">
        <f>VLOOKUP(G1236,'insumos terrapl'!$C$3:$K$47,4,0)</f>
        <v>66</v>
      </c>
      <c r="K1236" s="29" t="str">
        <f>VLOOKUP(G1236,'insumos terrapl'!$C$3:$K$47,5,0)</f>
        <v>10</v>
      </c>
      <c r="L1236" s="29" t="str">
        <f>VLOOKUP(G1236,'insumos terrapl'!$C$3:$K$47,6,0)</f>
        <v>02</v>
      </c>
      <c r="M1236" s="29" t="str">
        <f>VLOOKUP(G1236,'insumos terrapl'!$C$3:$K$47,7,0)</f>
        <v>00</v>
      </c>
      <c r="N1236" s="29" t="str">
        <f>VLOOKUP(G1236,'insumos terrapl'!$C$3:$K$47,8,0)</f>
        <v>00</v>
      </c>
      <c r="O1236" s="97" t="str">
        <f>VLOOKUP(G1236,'insumos terrapl'!$C$3:$K$47,9,0)</f>
        <v>00</v>
      </c>
    </row>
    <row r="1237" spans="1:15" ht="30">
      <c r="A1237" s="134"/>
      <c r="B1237" s="137"/>
      <c r="C1237" s="125"/>
      <c r="D1237" s="115"/>
      <c r="E1237" s="115"/>
      <c r="F1237" s="11" t="s">
        <v>661</v>
      </c>
      <c r="G1237" s="20" t="s">
        <v>662</v>
      </c>
      <c r="H1237" s="29" t="str">
        <f>VLOOKUP(G1237,'insumos terrapl'!$C$3:$K$47,2,0)</f>
        <v>2Q  62  10  06  00  00  00</v>
      </c>
      <c r="I1237" s="29" t="str">
        <f>VLOOKUP(G1237,'insumos terrapl'!$C$3:$K$47,3,0)</f>
        <v>2Q</v>
      </c>
      <c r="J1237" s="29">
        <f>VLOOKUP(G1237,'insumos terrapl'!$C$3:$K$47,4,0)</f>
        <v>62</v>
      </c>
      <c r="K1237" s="29" t="str">
        <f>VLOOKUP(G1237,'insumos terrapl'!$C$3:$K$47,5,0)</f>
        <v>10</v>
      </c>
      <c r="L1237" s="29" t="str">
        <f>VLOOKUP(G1237,'insumos terrapl'!$C$3:$K$47,6,0)</f>
        <v>06</v>
      </c>
      <c r="M1237" s="29" t="str">
        <f>VLOOKUP(G1237,'insumos terrapl'!$C$3:$K$47,7,0)</f>
        <v>00</v>
      </c>
      <c r="N1237" s="29" t="str">
        <f>VLOOKUP(G1237,'insumos terrapl'!$C$3:$K$47,8,0)</f>
        <v>00</v>
      </c>
      <c r="O1237" s="97" t="str">
        <f>VLOOKUP(G1237,'insumos terrapl'!$C$3:$K$47,9,0)</f>
        <v>00</v>
      </c>
    </row>
    <row r="1238" spans="1:15" ht="30">
      <c r="A1238" s="134"/>
      <c r="B1238" s="137"/>
      <c r="C1238" s="125"/>
      <c r="D1238" s="115"/>
      <c r="E1238" s="115"/>
      <c r="F1238" s="11" t="s">
        <v>607</v>
      </c>
      <c r="G1238" s="20" t="s">
        <v>608</v>
      </c>
      <c r="H1238" s="29" t="str">
        <f>VLOOKUP(G1238,'insumos terrapl'!$C$3:$K$47,2,0)</f>
        <v>2Q  42  06  18  02  02  00</v>
      </c>
      <c r="I1238" s="29" t="str">
        <f>VLOOKUP(G1238,'insumos terrapl'!$C$3:$K$47,3,0)</f>
        <v>2Q</v>
      </c>
      <c r="J1238" s="29">
        <f>VLOOKUP(G1238,'insumos terrapl'!$C$3:$K$47,4,0)</f>
        <v>42</v>
      </c>
      <c r="K1238" s="29" t="str">
        <f>VLOOKUP(G1238,'insumos terrapl'!$C$3:$K$47,5,0)</f>
        <v>06</v>
      </c>
      <c r="L1238" s="29">
        <f>VLOOKUP(G1238,'insumos terrapl'!$C$3:$K$47,6,0)</f>
        <v>18</v>
      </c>
      <c r="M1238" s="29" t="str">
        <f>VLOOKUP(G1238,'insumos terrapl'!$C$3:$K$47,7,0)</f>
        <v>02</v>
      </c>
      <c r="N1238" s="29" t="str">
        <f>VLOOKUP(G1238,'insumos terrapl'!$C$3:$K$47,8,0)</f>
        <v>02</v>
      </c>
      <c r="O1238" s="97" t="str">
        <f>VLOOKUP(G1238,'insumos terrapl'!$C$3:$K$47,9,0)</f>
        <v>00</v>
      </c>
    </row>
    <row r="1239" spans="1:15" ht="45">
      <c r="A1239" s="134"/>
      <c r="B1239" s="137"/>
      <c r="C1239" s="125"/>
      <c r="D1239" s="115"/>
      <c r="E1239" s="115"/>
      <c r="F1239" s="11" t="s">
        <v>609</v>
      </c>
      <c r="G1239" s="20" t="s">
        <v>610</v>
      </c>
      <c r="H1239" s="29" t="str">
        <f>VLOOKUP(G1239,'insumos terrapl'!$C$3:$K$47,2,0)</f>
        <v>2Q  42  06  02  14  02  00</v>
      </c>
      <c r="I1239" s="29" t="str">
        <f>VLOOKUP(G1239,'insumos terrapl'!$C$3:$K$47,3,0)</f>
        <v>2Q</v>
      </c>
      <c r="J1239" s="29">
        <f>VLOOKUP(G1239,'insumos terrapl'!$C$3:$K$47,4,0)</f>
        <v>42</v>
      </c>
      <c r="K1239" s="29" t="str">
        <f>VLOOKUP(G1239,'insumos terrapl'!$C$3:$K$47,5,0)</f>
        <v>06</v>
      </c>
      <c r="L1239" s="29" t="str">
        <f>VLOOKUP(G1239,'insumos terrapl'!$C$3:$K$47,6,0)</f>
        <v>02</v>
      </c>
      <c r="M1239" s="29" t="str">
        <f>VLOOKUP(G1239,'insumos terrapl'!$C$3:$K$47,7,0)</f>
        <v>14</v>
      </c>
      <c r="N1239" s="29" t="str">
        <f>VLOOKUP(G1239,'insumos terrapl'!$C$3:$K$47,8,0)</f>
        <v>02</v>
      </c>
      <c r="O1239" s="97" t="str">
        <f>VLOOKUP(G1239,'insumos terrapl'!$C$3:$K$47,9,0)</f>
        <v>00</v>
      </c>
    </row>
    <row r="1240" spans="1:15">
      <c r="A1240" s="134"/>
      <c r="B1240" s="137"/>
      <c r="C1240" s="125"/>
      <c r="D1240" s="115"/>
      <c r="E1240" s="115"/>
      <c r="F1240" s="11" t="s">
        <v>633</v>
      </c>
      <c r="G1240" s="20" t="s">
        <v>634</v>
      </c>
      <c r="H1240" s="29" t="str">
        <f>VLOOKUP(G1240,'insumos terrapl'!$C$3:$K$47,2,0)</f>
        <v>2Q  58  10  10  02  06  00</v>
      </c>
      <c r="I1240" s="29" t="str">
        <f>VLOOKUP(G1240,'insumos terrapl'!$C$3:$K$47,3,0)</f>
        <v>2Q</v>
      </c>
      <c r="J1240" s="29">
        <f>VLOOKUP(G1240,'insumos terrapl'!$C$3:$K$47,4,0)</f>
        <v>58</v>
      </c>
      <c r="K1240" s="29" t="str">
        <f>VLOOKUP(G1240,'insumos terrapl'!$C$3:$K$47,5,0)</f>
        <v>10</v>
      </c>
      <c r="L1240" s="29" t="str">
        <f>VLOOKUP(G1240,'insumos terrapl'!$C$3:$K$47,6,0)</f>
        <v>10</v>
      </c>
      <c r="M1240" s="29" t="str">
        <f>VLOOKUP(G1240,'insumos terrapl'!$C$3:$K$47,7,0)</f>
        <v>02</v>
      </c>
      <c r="N1240" s="29" t="str">
        <f>VLOOKUP(G1240,'insumos terrapl'!$C$3:$K$47,8,0)</f>
        <v>06</v>
      </c>
      <c r="O1240" s="97" t="str">
        <f>VLOOKUP(G1240,'insumos terrapl'!$C$3:$K$47,9,0)</f>
        <v>00</v>
      </c>
    </row>
    <row r="1241" spans="1:15">
      <c r="A1241" s="134"/>
      <c r="B1241" s="137"/>
      <c r="C1241" s="125"/>
      <c r="D1241" s="115"/>
      <c r="E1241" s="115"/>
      <c r="F1241" s="11" t="s">
        <v>586</v>
      </c>
      <c r="G1241" s="20" t="s">
        <v>587</v>
      </c>
      <c r="H1241" s="29" t="str">
        <f>VLOOKUP(G1241,'insumos terrapl'!$C$3:$K$47,2,0)</f>
        <v>2Q  62  30  02  14  00  00</v>
      </c>
      <c r="I1241" s="29" t="str">
        <f>VLOOKUP(G1241,'insumos terrapl'!$C$3:$K$47,3,0)</f>
        <v>2Q</v>
      </c>
      <c r="J1241" s="29">
        <f>VLOOKUP(G1241,'insumos terrapl'!$C$3:$K$47,4,0)</f>
        <v>62</v>
      </c>
      <c r="K1241" s="29">
        <f>VLOOKUP(G1241,'insumos terrapl'!$C$3:$K$47,5,0)</f>
        <v>30</v>
      </c>
      <c r="L1241" s="29" t="str">
        <f>VLOOKUP(G1241,'insumos terrapl'!$C$3:$K$47,6,0)</f>
        <v>02</v>
      </c>
      <c r="M1241" s="29" t="str">
        <f>VLOOKUP(G1241,'insumos terrapl'!$C$3:$K$47,7,0)</f>
        <v>14</v>
      </c>
      <c r="N1241" s="29" t="str">
        <f>VLOOKUP(G1241,'insumos terrapl'!$C$3:$K$47,8,0)</f>
        <v>00</v>
      </c>
      <c r="O1241" s="97" t="str">
        <f>VLOOKUP(G1241,'insumos terrapl'!$C$3:$K$47,9,0)</f>
        <v>00</v>
      </c>
    </row>
    <row r="1242" spans="1:15">
      <c r="A1242" s="134"/>
      <c r="B1242" s="137"/>
      <c r="C1242" s="125"/>
      <c r="D1242" s="115"/>
      <c r="E1242" s="115"/>
      <c r="F1242" s="11" t="s">
        <v>613</v>
      </c>
      <c r="G1242" s="20" t="s">
        <v>614</v>
      </c>
      <c r="H1242" s="29" t="str">
        <f>VLOOKUP(G1242,'insumos terrapl'!$C$3:$K$47,2,0)</f>
        <v>2N  20  14  02  00  00  00</v>
      </c>
      <c r="I1242" s="29" t="str">
        <f>VLOOKUP(G1242,'insumos terrapl'!$C$3:$K$47,3,0)</f>
        <v>2N</v>
      </c>
      <c r="J1242" s="29">
        <f>VLOOKUP(G1242,'insumos terrapl'!$C$3:$K$47,4,0)</f>
        <v>20</v>
      </c>
      <c r="K1242" s="29" t="str">
        <f>VLOOKUP(G1242,'insumos terrapl'!$C$3:$K$47,5,0)</f>
        <v>14</v>
      </c>
      <c r="L1242" s="29" t="str">
        <f>VLOOKUP(G1242,'insumos terrapl'!$C$3:$K$47,6,0)</f>
        <v>02</v>
      </c>
      <c r="M1242" s="29" t="str">
        <f>VLOOKUP(G1242,'insumos terrapl'!$C$3:$K$47,7,0)</f>
        <v>00</v>
      </c>
      <c r="N1242" s="29" t="str">
        <f>VLOOKUP(G1242,'insumos terrapl'!$C$3:$K$47,8,0)</f>
        <v>00</v>
      </c>
      <c r="O1242" s="97" t="str">
        <f>VLOOKUP(G1242,'insumos terrapl'!$C$3:$K$47,9,0)</f>
        <v>00</v>
      </c>
    </row>
    <row r="1243" spans="1:15">
      <c r="A1243" s="134"/>
      <c r="B1243" s="137"/>
      <c r="C1243" s="125"/>
      <c r="D1243" s="115"/>
      <c r="E1243" s="115"/>
      <c r="F1243" s="11" t="s">
        <v>615</v>
      </c>
      <c r="G1243" s="20" t="s">
        <v>616</v>
      </c>
      <c r="H1243" s="29" t="str">
        <f>VLOOKUP(G1243,'insumos terrapl'!$C$3:$K$47,2,0)</f>
        <v>2N  20  14  02  00  00  00</v>
      </c>
      <c r="I1243" s="29" t="str">
        <f>VLOOKUP(G1243,'insumos terrapl'!$C$3:$K$47,3,0)</f>
        <v>2N</v>
      </c>
      <c r="J1243" s="29">
        <f>VLOOKUP(G1243,'insumos terrapl'!$C$3:$K$47,4,0)</f>
        <v>20</v>
      </c>
      <c r="K1243" s="29" t="str">
        <f>VLOOKUP(G1243,'insumos terrapl'!$C$3:$K$47,5,0)</f>
        <v>14</v>
      </c>
      <c r="L1243" s="29" t="str">
        <f>VLOOKUP(G1243,'insumos terrapl'!$C$3:$K$47,6,0)</f>
        <v>02</v>
      </c>
      <c r="M1243" s="29" t="str">
        <f>VLOOKUP(G1243,'insumos terrapl'!$C$3:$K$47,7,0)</f>
        <v>00</v>
      </c>
      <c r="N1243" s="29" t="str">
        <f>VLOOKUP(G1243,'insumos terrapl'!$C$3:$K$47,8,0)</f>
        <v>00</v>
      </c>
      <c r="O1243" s="97" t="str">
        <f>VLOOKUP(G1243,'insumos terrapl'!$C$3:$K$47,9,0)</f>
        <v>00</v>
      </c>
    </row>
    <row r="1244" spans="1:15" ht="30">
      <c r="A1244" s="134"/>
      <c r="B1244" s="137"/>
      <c r="C1244" s="125"/>
      <c r="D1244" s="115"/>
      <c r="E1244" s="115"/>
      <c r="F1244" s="11" t="s">
        <v>635</v>
      </c>
      <c r="G1244" s="20" t="s">
        <v>636</v>
      </c>
      <c r="H1244" s="29" t="str">
        <f>VLOOKUP(G1244,'insumos terrapl'!$C$3:$K$47,2,0)</f>
        <v>2N  58  06  00  00  00  00</v>
      </c>
      <c r="I1244" s="29" t="str">
        <f>VLOOKUP(G1244,'insumos terrapl'!$C$3:$K$47,3,0)</f>
        <v>2N</v>
      </c>
      <c r="J1244" s="29">
        <f>VLOOKUP(G1244,'insumos terrapl'!$C$3:$K$47,4,0)</f>
        <v>58</v>
      </c>
      <c r="K1244" s="29" t="str">
        <f>VLOOKUP(G1244,'insumos terrapl'!$C$3:$K$47,5,0)</f>
        <v>06</v>
      </c>
      <c r="L1244" s="29" t="str">
        <f>VLOOKUP(G1244,'insumos terrapl'!$C$3:$K$47,6,0)</f>
        <v>00</v>
      </c>
      <c r="M1244" s="29" t="str">
        <f>VLOOKUP(G1244,'insumos terrapl'!$C$3:$K$47,7,0)</f>
        <v>00</v>
      </c>
      <c r="N1244" s="29" t="str">
        <f>VLOOKUP(G1244,'insumos terrapl'!$C$3:$K$47,8,0)</f>
        <v>00</v>
      </c>
      <c r="O1244" s="97" t="str">
        <f>VLOOKUP(G1244,'insumos terrapl'!$C$3:$K$47,9,0)</f>
        <v>00</v>
      </c>
    </row>
    <row r="1245" spans="1:15">
      <c r="A1245" s="134"/>
      <c r="B1245" s="137"/>
      <c r="C1245" s="125"/>
      <c r="D1245" s="115"/>
      <c r="E1245" s="115"/>
      <c r="F1245" s="11" t="s">
        <v>617</v>
      </c>
      <c r="G1245" s="20" t="s">
        <v>618</v>
      </c>
      <c r="H1245" s="29" t="str">
        <f>VLOOKUP(G1245,'insumos terrapl'!$C$3:$K$47,2,0)</f>
        <v>2Q  58  06  02  28  00  00</v>
      </c>
      <c r="I1245" s="29" t="str">
        <f>VLOOKUP(G1245,'insumos terrapl'!$C$3:$K$47,3,0)</f>
        <v>2Q</v>
      </c>
      <c r="J1245" s="29">
        <f>VLOOKUP(G1245,'insumos terrapl'!$C$3:$K$47,4,0)</f>
        <v>58</v>
      </c>
      <c r="K1245" s="29" t="str">
        <f>VLOOKUP(G1245,'insumos terrapl'!$C$3:$K$47,5,0)</f>
        <v>06</v>
      </c>
      <c r="L1245" s="29" t="str">
        <f>VLOOKUP(G1245,'insumos terrapl'!$C$3:$K$47,6,0)</f>
        <v>02</v>
      </c>
      <c r="M1245" s="29" t="str">
        <f>VLOOKUP(G1245,'insumos terrapl'!$C$3:$K$47,7,0)</f>
        <v>28</v>
      </c>
      <c r="N1245" s="29" t="str">
        <f>VLOOKUP(G1245,'insumos terrapl'!$C$3:$K$47,8,0)</f>
        <v>00</v>
      </c>
      <c r="O1245" s="97" t="str">
        <f>VLOOKUP(G1245,'insumos terrapl'!$C$3:$K$47,9,0)</f>
        <v>00</v>
      </c>
    </row>
    <row r="1246" spans="1:15" ht="30">
      <c r="A1246" s="134"/>
      <c r="B1246" s="137"/>
      <c r="C1246" s="125"/>
      <c r="D1246" s="115"/>
      <c r="E1246" s="115"/>
      <c r="F1246" s="11" t="s">
        <v>637</v>
      </c>
      <c r="G1246" s="20" t="s">
        <v>638</v>
      </c>
      <c r="H1246" s="29" t="str">
        <f>VLOOKUP(G1246,'insumos terrapl'!$C$3:$K$47,2,0)</f>
        <v>2N  58  06  00  00  00  00</v>
      </c>
      <c r="I1246" s="29" t="str">
        <f>VLOOKUP(G1246,'insumos terrapl'!$C$3:$K$47,3,0)</f>
        <v>2N</v>
      </c>
      <c r="J1246" s="29">
        <f>VLOOKUP(G1246,'insumos terrapl'!$C$3:$K$47,4,0)</f>
        <v>58</v>
      </c>
      <c r="K1246" s="29" t="str">
        <f>VLOOKUP(G1246,'insumos terrapl'!$C$3:$K$47,5,0)</f>
        <v>06</v>
      </c>
      <c r="L1246" s="29" t="str">
        <f>VLOOKUP(G1246,'insumos terrapl'!$C$3:$K$47,6,0)</f>
        <v>00</v>
      </c>
      <c r="M1246" s="29" t="str">
        <f>VLOOKUP(G1246,'insumos terrapl'!$C$3:$K$47,7,0)</f>
        <v>00</v>
      </c>
      <c r="N1246" s="29" t="str">
        <f>VLOOKUP(G1246,'insumos terrapl'!$C$3:$K$47,8,0)</f>
        <v>00</v>
      </c>
      <c r="O1246" s="97" t="str">
        <f>VLOOKUP(G1246,'insumos terrapl'!$C$3:$K$47,9,0)</f>
        <v>00</v>
      </c>
    </row>
    <row r="1247" spans="1:15" ht="30">
      <c r="A1247" s="134"/>
      <c r="B1247" s="137"/>
      <c r="C1247" s="125"/>
      <c r="D1247" s="115"/>
      <c r="E1247" s="115"/>
      <c r="F1247" s="11" t="s">
        <v>639</v>
      </c>
      <c r="G1247" s="20" t="s">
        <v>640</v>
      </c>
      <c r="H1247" s="29" t="str">
        <f>VLOOKUP(G1247,'insumos terrapl'!$C$3:$K$47,2,0)</f>
        <v>2N  58  06  00  00  00  00</v>
      </c>
      <c r="I1247" s="29" t="str">
        <f>VLOOKUP(G1247,'insumos terrapl'!$C$3:$K$47,3,0)</f>
        <v>2N</v>
      </c>
      <c r="J1247" s="29">
        <f>VLOOKUP(G1247,'insumos terrapl'!$C$3:$K$47,4,0)</f>
        <v>58</v>
      </c>
      <c r="K1247" s="29" t="str">
        <f>VLOOKUP(G1247,'insumos terrapl'!$C$3:$K$47,5,0)</f>
        <v>06</v>
      </c>
      <c r="L1247" s="29" t="str">
        <f>VLOOKUP(G1247,'insumos terrapl'!$C$3:$K$47,6,0)</f>
        <v>00</v>
      </c>
      <c r="M1247" s="29" t="str">
        <f>VLOOKUP(G1247,'insumos terrapl'!$C$3:$K$47,7,0)</f>
        <v>00</v>
      </c>
      <c r="N1247" s="29" t="str">
        <f>VLOOKUP(G1247,'insumos terrapl'!$C$3:$K$47,8,0)</f>
        <v>00</v>
      </c>
      <c r="O1247" s="97" t="str">
        <f>VLOOKUP(G1247,'insumos terrapl'!$C$3:$K$47,9,0)</f>
        <v>00</v>
      </c>
    </row>
    <row r="1248" spans="1:15">
      <c r="A1248" s="134"/>
      <c r="B1248" s="137"/>
      <c r="C1248" s="125"/>
      <c r="D1248" s="115"/>
      <c r="E1248" s="115"/>
      <c r="F1248" s="11" t="s">
        <v>641</v>
      </c>
      <c r="G1248" s="20" t="s">
        <v>642</v>
      </c>
      <c r="H1248" s="29" t="str">
        <f>VLOOKUP(G1248,'insumos terrapl'!$C$3:$K$47,2,0)</f>
        <v>2N  58  06  00  00  00  00</v>
      </c>
      <c r="I1248" s="29" t="str">
        <f>VLOOKUP(G1248,'insumos terrapl'!$C$3:$K$47,3,0)</f>
        <v>2N</v>
      </c>
      <c r="J1248" s="29">
        <f>VLOOKUP(G1248,'insumos terrapl'!$C$3:$K$47,4,0)</f>
        <v>58</v>
      </c>
      <c r="K1248" s="29" t="str">
        <f>VLOOKUP(G1248,'insumos terrapl'!$C$3:$K$47,5,0)</f>
        <v>06</v>
      </c>
      <c r="L1248" s="29" t="str">
        <f>VLOOKUP(G1248,'insumos terrapl'!$C$3:$K$47,6,0)</f>
        <v>00</v>
      </c>
      <c r="M1248" s="29" t="str">
        <f>VLOOKUP(G1248,'insumos terrapl'!$C$3:$K$47,7,0)</f>
        <v>00</v>
      </c>
      <c r="N1248" s="29" t="str">
        <f>VLOOKUP(G1248,'insumos terrapl'!$C$3:$K$47,8,0)</f>
        <v>00</v>
      </c>
      <c r="O1248" s="97" t="str">
        <f>VLOOKUP(G1248,'insumos terrapl'!$C$3:$K$47,9,0)</f>
        <v>00</v>
      </c>
    </row>
    <row r="1249" spans="1:15">
      <c r="A1249" s="134"/>
      <c r="B1249" s="137"/>
      <c r="C1249" s="125"/>
      <c r="D1249" s="115"/>
      <c r="E1249" s="115"/>
      <c r="F1249" s="11" t="s">
        <v>619</v>
      </c>
      <c r="G1249" s="20" t="s">
        <v>620</v>
      </c>
      <c r="H1249" s="29"/>
      <c r="I1249" s="29"/>
      <c r="J1249" s="29"/>
      <c r="K1249" s="29"/>
      <c r="L1249" s="29"/>
      <c r="M1249" s="29"/>
      <c r="N1249" s="29"/>
      <c r="O1249" s="97"/>
    </row>
    <row r="1250" spans="1:15">
      <c r="A1250" s="134"/>
      <c r="B1250" s="137"/>
      <c r="C1250" s="125"/>
      <c r="D1250" s="115"/>
      <c r="E1250" s="115"/>
      <c r="F1250" s="11" t="s">
        <v>643</v>
      </c>
      <c r="G1250" s="20" t="s">
        <v>644</v>
      </c>
      <c r="H1250" s="29" t="str">
        <f>VLOOKUP(G1250,'insumos terrapl'!$C$3:$K$47,2,0)</f>
        <v>2N  58  06  00  00  00  00</v>
      </c>
      <c r="I1250" s="29" t="str">
        <f>VLOOKUP(G1250,'insumos terrapl'!$C$3:$K$47,3,0)</f>
        <v>2N</v>
      </c>
      <c r="J1250" s="29">
        <f>VLOOKUP(G1250,'insumos terrapl'!$C$3:$K$47,4,0)</f>
        <v>58</v>
      </c>
      <c r="K1250" s="29" t="str">
        <f>VLOOKUP(G1250,'insumos terrapl'!$C$3:$K$47,5,0)</f>
        <v>06</v>
      </c>
      <c r="L1250" s="29" t="str">
        <f>VLOOKUP(G1250,'insumos terrapl'!$C$3:$K$47,6,0)</f>
        <v>00</v>
      </c>
      <c r="M1250" s="29" t="str">
        <f>VLOOKUP(G1250,'insumos terrapl'!$C$3:$K$47,7,0)</f>
        <v>00</v>
      </c>
      <c r="N1250" s="29" t="str">
        <f>VLOOKUP(G1250,'insumos terrapl'!$C$3:$K$47,8,0)</f>
        <v>00</v>
      </c>
      <c r="O1250" s="97" t="str">
        <f>VLOOKUP(G1250,'insumos terrapl'!$C$3:$K$47,9,0)</f>
        <v>00</v>
      </c>
    </row>
    <row r="1251" spans="1:15">
      <c r="A1251" s="134"/>
      <c r="B1251" s="137"/>
      <c r="C1251" s="125"/>
      <c r="D1251" s="115"/>
      <c r="E1251" s="115"/>
      <c r="F1251" s="11" t="s">
        <v>645</v>
      </c>
      <c r="G1251" s="20" t="s">
        <v>646</v>
      </c>
      <c r="H1251" s="29" t="str">
        <f>VLOOKUP(G1251,'insumos terrapl'!$C$3:$K$47,2,0)</f>
        <v>2N  58  06  00  00  00  00</v>
      </c>
      <c r="I1251" s="29" t="str">
        <f>VLOOKUP(G1251,'insumos terrapl'!$C$3:$K$47,3,0)</f>
        <v>2N</v>
      </c>
      <c r="J1251" s="29">
        <f>VLOOKUP(G1251,'insumos terrapl'!$C$3:$K$47,4,0)</f>
        <v>58</v>
      </c>
      <c r="K1251" s="29" t="str">
        <f>VLOOKUP(G1251,'insumos terrapl'!$C$3:$K$47,5,0)</f>
        <v>06</v>
      </c>
      <c r="L1251" s="29" t="str">
        <f>VLOOKUP(G1251,'insumos terrapl'!$C$3:$K$47,6,0)</f>
        <v>00</v>
      </c>
      <c r="M1251" s="29" t="str">
        <f>VLOOKUP(G1251,'insumos terrapl'!$C$3:$K$47,7,0)</f>
        <v>00</v>
      </c>
      <c r="N1251" s="29" t="str">
        <f>VLOOKUP(G1251,'insumos terrapl'!$C$3:$K$47,8,0)</f>
        <v>00</v>
      </c>
      <c r="O1251" s="97" t="str">
        <f>VLOOKUP(G1251,'insumos terrapl'!$C$3:$K$47,9,0)</f>
        <v>00</v>
      </c>
    </row>
    <row r="1252" spans="1:15" ht="30">
      <c r="A1252" s="134"/>
      <c r="B1252" s="137"/>
      <c r="C1252" s="125"/>
      <c r="D1252" s="115"/>
      <c r="E1252" s="115"/>
      <c r="F1252" s="11" t="s">
        <v>647</v>
      </c>
      <c r="G1252" s="20" t="s">
        <v>648</v>
      </c>
      <c r="H1252" s="29" t="str">
        <f>VLOOKUP(G1252,'insumos terrapl'!$C$3:$K$47,2,0)</f>
        <v>2N  58  06  00  00  00  00</v>
      </c>
      <c r="I1252" s="29" t="str">
        <f>VLOOKUP(G1252,'insumos terrapl'!$C$3:$K$47,3,0)</f>
        <v>2N</v>
      </c>
      <c r="J1252" s="29">
        <f>VLOOKUP(G1252,'insumos terrapl'!$C$3:$K$47,4,0)</f>
        <v>58</v>
      </c>
      <c r="K1252" s="29" t="str">
        <f>VLOOKUP(G1252,'insumos terrapl'!$C$3:$K$47,5,0)</f>
        <v>06</v>
      </c>
      <c r="L1252" s="29" t="str">
        <f>VLOOKUP(G1252,'insumos terrapl'!$C$3:$K$47,6,0)</f>
        <v>00</v>
      </c>
      <c r="M1252" s="29" t="str">
        <f>VLOOKUP(G1252,'insumos terrapl'!$C$3:$K$47,7,0)</f>
        <v>00</v>
      </c>
      <c r="N1252" s="29" t="str">
        <f>VLOOKUP(G1252,'insumos terrapl'!$C$3:$K$47,8,0)</f>
        <v>00</v>
      </c>
      <c r="O1252" s="97" t="str">
        <f>VLOOKUP(G1252,'insumos terrapl'!$C$3:$K$47,9,0)</f>
        <v>00</v>
      </c>
    </row>
    <row r="1253" spans="1:15">
      <c r="A1253" s="134"/>
      <c r="B1253" s="137"/>
      <c r="C1253" s="125"/>
      <c r="D1253" s="115"/>
      <c r="E1253" s="115"/>
      <c r="F1253" s="11" t="s">
        <v>621</v>
      </c>
      <c r="G1253" s="20" t="s">
        <v>622</v>
      </c>
      <c r="H1253" s="29" t="str">
        <f>VLOOKUP(G1253,'insumos terrapl'!$C$3:$K$47,2,0)</f>
        <v>2N  58  06  00  00  00  00</v>
      </c>
      <c r="I1253" s="29" t="str">
        <f>VLOOKUP(G1253,'insumos terrapl'!$C$3:$K$47,3,0)</f>
        <v>2N</v>
      </c>
      <c r="J1253" s="29">
        <f>VLOOKUP(G1253,'insumos terrapl'!$C$3:$K$47,4,0)</f>
        <v>58</v>
      </c>
      <c r="K1253" s="29" t="str">
        <f>VLOOKUP(G1253,'insumos terrapl'!$C$3:$K$47,5,0)</f>
        <v>06</v>
      </c>
      <c r="L1253" s="29" t="str">
        <f>VLOOKUP(G1253,'insumos terrapl'!$C$3:$K$47,6,0)</f>
        <v>00</v>
      </c>
      <c r="M1253" s="29" t="str">
        <f>VLOOKUP(G1253,'insumos terrapl'!$C$3:$K$47,7,0)</f>
        <v>00</v>
      </c>
      <c r="N1253" s="29" t="str">
        <f>VLOOKUP(G1253,'insumos terrapl'!$C$3:$K$47,8,0)</f>
        <v>00</v>
      </c>
      <c r="O1253" s="97" t="str">
        <f>VLOOKUP(G1253,'insumos terrapl'!$C$3:$K$47,9,0)</f>
        <v>00</v>
      </c>
    </row>
    <row r="1254" spans="1:15">
      <c r="A1254" s="134"/>
      <c r="B1254" s="137"/>
      <c r="C1254" s="132"/>
      <c r="D1254" s="116"/>
      <c r="E1254" s="116"/>
      <c r="F1254" s="13"/>
      <c r="G1254" s="21"/>
      <c r="H1254" s="31"/>
      <c r="I1254" s="31"/>
      <c r="J1254" s="31"/>
      <c r="K1254" s="31"/>
      <c r="L1254" s="31"/>
      <c r="M1254" s="31"/>
      <c r="N1254" s="31"/>
      <c r="O1254" s="98"/>
    </row>
    <row r="1255" spans="1:15">
      <c r="A1255" s="134"/>
      <c r="B1255" s="137"/>
      <c r="C1255" s="124" t="s">
        <v>242</v>
      </c>
      <c r="D1255" s="114" t="str">
        <f>$A$1095</f>
        <v>2.6.8</v>
      </c>
      <c r="E1255" s="114" t="s">
        <v>500</v>
      </c>
      <c r="F1255" s="12" t="s">
        <v>242</v>
      </c>
      <c r="G1255" s="19"/>
      <c r="H1255" s="28"/>
      <c r="I1255" s="28"/>
      <c r="J1255" s="28"/>
      <c r="K1255" s="28"/>
      <c r="L1255" s="28"/>
      <c r="M1255" s="28"/>
      <c r="N1255" s="28"/>
      <c r="O1255" s="99"/>
    </row>
    <row r="1256" spans="1:15" ht="30">
      <c r="A1256" s="134"/>
      <c r="B1256" s="137"/>
      <c r="C1256" s="125"/>
      <c r="D1256" s="115"/>
      <c r="E1256" s="115"/>
      <c r="F1256" s="11" t="s">
        <v>659</v>
      </c>
      <c r="G1256" s="20" t="s">
        <v>660</v>
      </c>
      <c r="H1256" s="29" t="str">
        <f>VLOOKUP(G1256,'insumos terrapl'!$C$3:$K$47,2,0)</f>
        <v>2Q  66  10  02  00  00  00</v>
      </c>
      <c r="I1256" s="29" t="str">
        <f>VLOOKUP(G1256,'insumos terrapl'!$C$3:$K$47,3,0)</f>
        <v>2Q</v>
      </c>
      <c r="J1256" s="29">
        <f>VLOOKUP(G1256,'insumos terrapl'!$C$3:$K$47,4,0)</f>
        <v>66</v>
      </c>
      <c r="K1256" s="29" t="str">
        <f>VLOOKUP(G1256,'insumos terrapl'!$C$3:$K$47,5,0)</f>
        <v>10</v>
      </c>
      <c r="L1256" s="29" t="str">
        <f>VLOOKUP(G1256,'insumos terrapl'!$C$3:$K$47,6,0)</f>
        <v>02</v>
      </c>
      <c r="M1256" s="29" t="str">
        <f>VLOOKUP(G1256,'insumos terrapl'!$C$3:$K$47,7,0)</f>
        <v>00</v>
      </c>
      <c r="N1256" s="29" t="str">
        <f>VLOOKUP(G1256,'insumos terrapl'!$C$3:$K$47,8,0)</f>
        <v>00</v>
      </c>
      <c r="O1256" s="97" t="str">
        <f>VLOOKUP(G1256,'insumos terrapl'!$C$3:$K$47,9,0)</f>
        <v>00</v>
      </c>
    </row>
    <row r="1257" spans="1:15" ht="30">
      <c r="A1257" s="134"/>
      <c r="B1257" s="137"/>
      <c r="C1257" s="125"/>
      <c r="D1257" s="115"/>
      <c r="E1257" s="115"/>
      <c r="F1257" s="11" t="s">
        <v>661</v>
      </c>
      <c r="G1257" s="20" t="s">
        <v>662</v>
      </c>
      <c r="H1257" s="29" t="str">
        <f>VLOOKUP(G1257,'insumos terrapl'!$C$3:$K$47,2,0)</f>
        <v>2Q  62  10  06  00  00  00</v>
      </c>
      <c r="I1257" s="29" t="str">
        <f>VLOOKUP(G1257,'insumos terrapl'!$C$3:$K$47,3,0)</f>
        <v>2Q</v>
      </c>
      <c r="J1257" s="29">
        <f>VLOOKUP(G1257,'insumos terrapl'!$C$3:$K$47,4,0)</f>
        <v>62</v>
      </c>
      <c r="K1257" s="29" t="str">
        <f>VLOOKUP(G1257,'insumos terrapl'!$C$3:$K$47,5,0)</f>
        <v>10</v>
      </c>
      <c r="L1257" s="29" t="str">
        <f>VLOOKUP(G1257,'insumos terrapl'!$C$3:$K$47,6,0)</f>
        <v>06</v>
      </c>
      <c r="M1257" s="29" t="str">
        <f>VLOOKUP(G1257,'insumos terrapl'!$C$3:$K$47,7,0)</f>
        <v>00</v>
      </c>
      <c r="N1257" s="29" t="str">
        <f>VLOOKUP(G1257,'insumos terrapl'!$C$3:$K$47,8,0)</f>
        <v>00</v>
      </c>
      <c r="O1257" s="97" t="str">
        <f>VLOOKUP(G1257,'insumos terrapl'!$C$3:$K$47,9,0)</f>
        <v>00</v>
      </c>
    </row>
    <row r="1258" spans="1:15" ht="30">
      <c r="A1258" s="134"/>
      <c r="B1258" s="137"/>
      <c r="C1258" s="125"/>
      <c r="D1258" s="115"/>
      <c r="E1258" s="115"/>
      <c r="F1258" s="11" t="s">
        <v>607</v>
      </c>
      <c r="G1258" s="20" t="s">
        <v>608</v>
      </c>
      <c r="H1258" s="29" t="str">
        <f>VLOOKUP(G1258,'insumos terrapl'!$C$3:$K$47,2,0)</f>
        <v>2Q  42  06  18  02  02  00</v>
      </c>
      <c r="I1258" s="29" t="str">
        <f>VLOOKUP(G1258,'insumos terrapl'!$C$3:$K$47,3,0)</f>
        <v>2Q</v>
      </c>
      <c r="J1258" s="29">
        <f>VLOOKUP(G1258,'insumos terrapl'!$C$3:$K$47,4,0)</f>
        <v>42</v>
      </c>
      <c r="K1258" s="29" t="str">
        <f>VLOOKUP(G1258,'insumos terrapl'!$C$3:$K$47,5,0)</f>
        <v>06</v>
      </c>
      <c r="L1258" s="29">
        <f>VLOOKUP(G1258,'insumos terrapl'!$C$3:$K$47,6,0)</f>
        <v>18</v>
      </c>
      <c r="M1258" s="29" t="str">
        <f>VLOOKUP(G1258,'insumos terrapl'!$C$3:$K$47,7,0)</f>
        <v>02</v>
      </c>
      <c r="N1258" s="29" t="str">
        <f>VLOOKUP(G1258,'insumos terrapl'!$C$3:$K$47,8,0)</f>
        <v>02</v>
      </c>
      <c r="O1258" s="97" t="str">
        <f>VLOOKUP(G1258,'insumos terrapl'!$C$3:$K$47,9,0)</f>
        <v>00</v>
      </c>
    </row>
    <row r="1259" spans="1:15" ht="45">
      <c r="A1259" s="134"/>
      <c r="B1259" s="137"/>
      <c r="C1259" s="125"/>
      <c r="D1259" s="115"/>
      <c r="E1259" s="115"/>
      <c r="F1259" s="11" t="s">
        <v>609</v>
      </c>
      <c r="G1259" s="20" t="s">
        <v>610</v>
      </c>
      <c r="H1259" s="29" t="str">
        <f>VLOOKUP(G1259,'insumos terrapl'!$C$3:$K$47,2,0)</f>
        <v>2Q  42  06  02  14  02  00</v>
      </c>
      <c r="I1259" s="29" t="str">
        <f>VLOOKUP(G1259,'insumos terrapl'!$C$3:$K$47,3,0)</f>
        <v>2Q</v>
      </c>
      <c r="J1259" s="29">
        <f>VLOOKUP(G1259,'insumos terrapl'!$C$3:$K$47,4,0)</f>
        <v>42</v>
      </c>
      <c r="K1259" s="29" t="str">
        <f>VLOOKUP(G1259,'insumos terrapl'!$C$3:$K$47,5,0)</f>
        <v>06</v>
      </c>
      <c r="L1259" s="29" t="str">
        <f>VLOOKUP(G1259,'insumos terrapl'!$C$3:$K$47,6,0)</f>
        <v>02</v>
      </c>
      <c r="M1259" s="29" t="str">
        <f>VLOOKUP(G1259,'insumos terrapl'!$C$3:$K$47,7,0)</f>
        <v>14</v>
      </c>
      <c r="N1259" s="29" t="str">
        <f>VLOOKUP(G1259,'insumos terrapl'!$C$3:$K$47,8,0)</f>
        <v>02</v>
      </c>
      <c r="O1259" s="97" t="str">
        <f>VLOOKUP(G1259,'insumos terrapl'!$C$3:$K$47,9,0)</f>
        <v>00</v>
      </c>
    </row>
    <row r="1260" spans="1:15">
      <c r="A1260" s="134"/>
      <c r="B1260" s="137"/>
      <c r="C1260" s="125"/>
      <c r="D1260" s="115"/>
      <c r="E1260" s="115"/>
      <c r="F1260" s="11" t="s">
        <v>633</v>
      </c>
      <c r="G1260" s="20" t="s">
        <v>634</v>
      </c>
      <c r="H1260" s="29" t="str">
        <f>VLOOKUP(G1260,'insumos terrapl'!$C$3:$K$47,2,0)</f>
        <v>2Q  58  10  10  02  06  00</v>
      </c>
      <c r="I1260" s="29" t="str">
        <f>VLOOKUP(G1260,'insumos terrapl'!$C$3:$K$47,3,0)</f>
        <v>2Q</v>
      </c>
      <c r="J1260" s="29">
        <f>VLOOKUP(G1260,'insumos terrapl'!$C$3:$K$47,4,0)</f>
        <v>58</v>
      </c>
      <c r="K1260" s="29" t="str">
        <f>VLOOKUP(G1260,'insumos terrapl'!$C$3:$K$47,5,0)</f>
        <v>10</v>
      </c>
      <c r="L1260" s="29" t="str">
        <f>VLOOKUP(G1260,'insumos terrapl'!$C$3:$K$47,6,0)</f>
        <v>10</v>
      </c>
      <c r="M1260" s="29" t="str">
        <f>VLOOKUP(G1260,'insumos terrapl'!$C$3:$K$47,7,0)</f>
        <v>02</v>
      </c>
      <c r="N1260" s="29" t="str">
        <f>VLOOKUP(G1260,'insumos terrapl'!$C$3:$K$47,8,0)</f>
        <v>06</v>
      </c>
      <c r="O1260" s="97" t="str">
        <f>VLOOKUP(G1260,'insumos terrapl'!$C$3:$K$47,9,0)</f>
        <v>00</v>
      </c>
    </row>
    <row r="1261" spans="1:15">
      <c r="A1261" s="134"/>
      <c r="B1261" s="137"/>
      <c r="C1261" s="125"/>
      <c r="D1261" s="115"/>
      <c r="E1261" s="115"/>
      <c r="F1261" s="11" t="s">
        <v>586</v>
      </c>
      <c r="G1261" s="20" t="s">
        <v>587</v>
      </c>
      <c r="H1261" s="29" t="str">
        <f>VLOOKUP(G1261,'insumos terrapl'!$C$3:$K$47,2,0)</f>
        <v>2Q  62  30  02  14  00  00</v>
      </c>
      <c r="I1261" s="29" t="str">
        <f>VLOOKUP(G1261,'insumos terrapl'!$C$3:$K$47,3,0)</f>
        <v>2Q</v>
      </c>
      <c r="J1261" s="29">
        <f>VLOOKUP(G1261,'insumos terrapl'!$C$3:$K$47,4,0)</f>
        <v>62</v>
      </c>
      <c r="K1261" s="29">
        <f>VLOOKUP(G1261,'insumos terrapl'!$C$3:$K$47,5,0)</f>
        <v>30</v>
      </c>
      <c r="L1261" s="29" t="str">
        <f>VLOOKUP(G1261,'insumos terrapl'!$C$3:$K$47,6,0)</f>
        <v>02</v>
      </c>
      <c r="M1261" s="29" t="str">
        <f>VLOOKUP(G1261,'insumos terrapl'!$C$3:$K$47,7,0)</f>
        <v>14</v>
      </c>
      <c r="N1261" s="29" t="str">
        <f>VLOOKUP(G1261,'insumos terrapl'!$C$3:$K$47,8,0)</f>
        <v>00</v>
      </c>
      <c r="O1261" s="97" t="str">
        <f>VLOOKUP(G1261,'insumos terrapl'!$C$3:$K$47,9,0)</f>
        <v>00</v>
      </c>
    </row>
    <row r="1262" spans="1:15">
      <c r="A1262" s="134"/>
      <c r="B1262" s="137"/>
      <c r="C1262" s="125"/>
      <c r="D1262" s="115"/>
      <c r="E1262" s="115"/>
      <c r="F1262" s="11" t="s">
        <v>613</v>
      </c>
      <c r="G1262" s="20" t="s">
        <v>614</v>
      </c>
      <c r="H1262" s="29" t="str">
        <f>VLOOKUP(G1262,'insumos terrapl'!$C$3:$K$47,2,0)</f>
        <v>2N  20  14  02  00  00  00</v>
      </c>
      <c r="I1262" s="29" t="str">
        <f>VLOOKUP(G1262,'insumos terrapl'!$C$3:$K$47,3,0)</f>
        <v>2N</v>
      </c>
      <c r="J1262" s="29">
        <f>VLOOKUP(G1262,'insumos terrapl'!$C$3:$K$47,4,0)</f>
        <v>20</v>
      </c>
      <c r="K1262" s="29" t="str">
        <f>VLOOKUP(G1262,'insumos terrapl'!$C$3:$K$47,5,0)</f>
        <v>14</v>
      </c>
      <c r="L1262" s="29" t="str">
        <f>VLOOKUP(G1262,'insumos terrapl'!$C$3:$K$47,6,0)</f>
        <v>02</v>
      </c>
      <c r="M1262" s="29" t="str">
        <f>VLOOKUP(G1262,'insumos terrapl'!$C$3:$K$47,7,0)</f>
        <v>00</v>
      </c>
      <c r="N1262" s="29" t="str">
        <f>VLOOKUP(G1262,'insumos terrapl'!$C$3:$K$47,8,0)</f>
        <v>00</v>
      </c>
      <c r="O1262" s="97" t="str">
        <f>VLOOKUP(G1262,'insumos terrapl'!$C$3:$K$47,9,0)</f>
        <v>00</v>
      </c>
    </row>
    <row r="1263" spans="1:15">
      <c r="A1263" s="134"/>
      <c r="B1263" s="137"/>
      <c r="C1263" s="125"/>
      <c r="D1263" s="115"/>
      <c r="E1263" s="115"/>
      <c r="F1263" s="11" t="s">
        <v>615</v>
      </c>
      <c r="G1263" s="20" t="s">
        <v>616</v>
      </c>
      <c r="H1263" s="29" t="str">
        <f>VLOOKUP(G1263,'insumos terrapl'!$C$3:$K$47,2,0)</f>
        <v>2N  20  14  02  00  00  00</v>
      </c>
      <c r="I1263" s="29" t="str">
        <f>VLOOKUP(G1263,'insumos terrapl'!$C$3:$K$47,3,0)</f>
        <v>2N</v>
      </c>
      <c r="J1263" s="29">
        <f>VLOOKUP(G1263,'insumos terrapl'!$C$3:$K$47,4,0)</f>
        <v>20</v>
      </c>
      <c r="K1263" s="29" t="str">
        <f>VLOOKUP(G1263,'insumos terrapl'!$C$3:$K$47,5,0)</f>
        <v>14</v>
      </c>
      <c r="L1263" s="29" t="str">
        <f>VLOOKUP(G1263,'insumos terrapl'!$C$3:$K$47,6,0)</f>
        <v>02</v>
      </c>
      <c r="M1263" s="29" t="str">
        <f>VLOOKUP(G1263,'insumos terrapl'!$C$3:$K$47,7,0)</f>
        <v>00</v>
      </c>
      <c r="N1263" s="29" t="str">
        <f>VLOOKUP(G1263,'insumos terrapl'!$C$3:$K$47,8,0)</f>
        <v>00</v>
      </c>
      <c r="O1263" s="97" t="str">
        <f>VLOOKUP(G1263,'insumos terrapl'!$C$3:$K$47,9,0)</f>
        <v>00</v>
      </c>
    </row>
    <row r="1264" spans="1:15" ht="30">
      <c r="A1264" s="134"/>
      <c r="B1264" s="137"/>
      <c r="C1264" s="125"/>
      <c r="D1264" s="115"/>
      <c r="E1264" s="115"/>
      <c r="F1264" s="11" t="s">
        <v>635</v>
      </c>
      <c r="G1264" s="20" t="s">
        <v>636</v>
      </c>
      <c r="H1264" s="29" t="str">
        <f>VLOOKUP(G1264,'insumos terrapl'!$C$3:$K$47,2,0)</f>
        <v>2N  58  06  00  00  00  00</v>
      </c>
      <c r="I1264" s="29" t="str">
        <f>VLOOKUP(G1264,'insumos terrapl'!$C$3:$K$47,3,0)</f>
        <v>2N</v>
      </c>
      <c r="J1264" s="29">
        <f>VLOOKUP(G1264,'insumos terrapl'!$C$3:$K$47,4,0)</f>
        <v>58</v>
      </c>
      <c r="K1264" s="29" t="str">
        <f>VLOOKUP(G1264,'insumos terrapl'!$C$3:$K$47,5,0)</f>
        <v>06</v>
      </c>
      <c r="L1264" s="29" t="str">
        <f>VLOOKUP(G1264,'insumos terrapl'!$C$3:$K$47,6,0)</f>
        <v>00</v>
      </c>
      <c r="M1264" s="29" t="str">
        <f>VLOOKUP(G1264,'insumos terrapl'!$C$3:$K$47,7,0)</f>
        <v>00</v>
      </c>
      <c r="N1264" s="29" t="str">
        <f>VLOOKUP(G1264,'insumos terrapl'!$C$3:$K$47,8,0)</f>
        <v>00</v>
      </c>
      <c r="O1264" s="97" t="str">
        <f>VLOOKUP(G1264,'insumos terrapl'!$C$3:$K$47,9,0)</f>
        <v>00</v>
      </c>
    </row>
    <row r="1265" spans="1:15">
      <c r="A1265" s="134"/>
      <c r="B1265" s="137"/>
      <c r="C1265" s="125"/>
      <c r="D1265" s="115"/>
      <c r="E1265" s="115"/>
      <c r="F1265" s="11" t="s">
        <v>617</v>
      </c>
      <c r="G1265" s="20" t="s">
        <v>618</v>
      </c>
      <c r="H1265" s="29" t="str">
        <f>VLOOKUP(G1265,'insumos terrapl'!$C$3:$K$47,2,0)</f>
        <v>2Q  58  06  02  28  00  00</v>
      </c>
      <c r="I1265" s="29" t="str">
        <f>VLOOKUP(G1265,'insumos terrapl'!$C$3:$K$47,3,0)</f>
        <v>2Q</v>
      </c>
      <c r="J1265" s="29">
        <f>VLOOKUP(G1265,'insumos terrapl'!$C$3:$K$47,4,0)</f>
        <v>58</v>
      </c>
      <c r="K1265" s="29" t="str">
        <f>VLOOKUP(G1265,'insumos terrapl'!$C$3:$K$47,5,0)</f>
        <v>06</v>
      </c>
      <c r="L1265" s="29" t="str">
        <f>VLOOKUP(G1265,'insumos terrapl'!$C$3:$K$47,6,0)</f>
        <v>02</v>
      </c>
      <c r="M1265" s="29" t="str">
        <f>VLOOKUP(G1265,'insumos terrapl'!$C$3:$K$47,7,0)</f>
        <v>28</v>
      </c>
      <c r="N1265" s="29" t="str">
        <f>VLOOKUP(G1265,'insumos terrapl'!$C$3:$K$47,8,0)</f>
        <v>00</v>
      </c>
      <c r="O1265" s="97" t="str">
        <f>VLOOKUP(G1265,'insumos terrapl'!$C$3:$K$47,9,0)</f>
        <v>00</v>
      </c>
    </row>
    <row r="1266" spans="1:15" ht="30">
      <c r="A1266" s="134"/>
      <c r="B1266" s="137"/>
      <c r="C1266" s="125"/>
      <c r="D1266" s="115"/>
      <c r="E1266" s="115"/>
      <c r="F1266" s="11" t="s">
        <v>637</v>
      </c>
      <c r="G1266" s="20" t="s">
        <v>638</v>
      </c>
      <c r="H1266" s="29" t="str">
        <f>VLOOKUP(G1266,'insumos terrapl'!$C$3:$K$47,2,0)</f>
        <v>2N  58  06  00  00  00  00</v>
      </c>
      <c r="I1266" s="29" t="str">
        <f>VLOOKUP(G1266,'insumos terrapl'!$C$3:$K$47,3,0)</f>
        <v>2N</v>
      </c>
      <c r="J1266" s="29">
        <f>VLOOKUP(G1266,'insumos terrapl'!$C$3:$K$47,4,0)</f>
        <v>58</v>
      </c>
      <c r="K1266" s="29" t="str">
        <f>VLOOKUP(G1266,'insumos terrapl'!$C$3:$K$47,5,0)</f>
        <v>06</v>
      </c>
      <c r="L1266" s="29" t="str">
        <f>VLOOKUP(G1266,'insumos terrapl'!$C$3:$K$47,6,0)</f>
        <v>00</v>
      </c>
      <c r="M1266" s="29" t="str">
        <f>VLOOKUP(G1266,'insumos terrapl'!$C$3:$K$47,7,0)</f>
        <v>00</v>
      </c>
      <c r="N1266" s="29" t="str">
        <f>VLOOKUP(G1266,'insumos terrapl'!$C$3:$K$47,8,0)</f>
        <v>00</v>
      </c>
      <c r="O1266" s="97" t="str">
        <f>VLOOKUP(G1266,'insumos terrapl'!$C$3:$K$47,9,0)</f>
        <v>00</v>
      </c>
    </row>
    <row r="1267" spans="1:15" ht="30">
      <c r="A1267" s="134"/>
      <c r="B1267" s="137"/>
      <c r="C1267" s="125"/>
      <c r="D1267" s="115"/>
      <c r="E1267" s="115"/>
      <c r="F1267" s="11" t="s">
        <v>639</v>
      </c>
      <c r="G1267" s="20" t="s">
        <v>640</v>
      </c>
      <c r="H1267" s="29" t="str">
        <f>VLOOKUP(G1267,'insumos terrapl'!$C$3:$K$47,2,0)</f>
        <v>2N  58  06  00  00  00  00</v>
      </c>
      <c r="I1267" s="29" t="str">
        <f>VLOOKUP(G1267,'insumos terrapl'!$C$3:$K$47,3,0)</f>
        <v>2N</v>
      </c>
      <c r="J1267" s="29">
        <f>VLOOKUP(G1267,'insumos terrapl'!$C$3:$K$47,4,0)</f>
        <v>58</v>
      </c>
      <c r="K1267" s="29" t="str">
        <f>VLOOKUP(G1267,'insumos terrapl'!$C$3:$K$47,5,0)</f>
        <v>06</v>
      </c>
      <c r="L1267" s="29" t="str">
        <f>VLOOKUP(G1267,'insumos terrapl'!$C$3:$K$47,6,0)</f>
        <v>00</v>
      </c>
      <c r="M1267" s="29" t="str">
        <f>VLOOKUP(G1267,'insumos terrapl'!$C$3:$K$47,7,0)</f>
        <v>00</v>
      </c>
      <c r="N1267" s="29" t="str">
        <f>VLOOKUP(G1267,'insumos terrapl'!$C$3:$K$47,8,0)</f>
        <v>00</v>
      </c>
      <c r="O1267" s="97" t="str">
        <f>VLOOKUP(G1267,'insumos terrapl'!$C$3:$K$47,9,0)</f>
        <v>00</v>
      </c>
    </row>
    <row r="1268" spans="1:15">
      <c r="A1268" s="134"/>
      <c r="B1268" s="137"/>
      <c r="C1268" s="125"/>
      <c r="D1268" s="115"/>
      <c r="E1268" s="115"/>
      <c r="F1268" s="11" t="s">
        <v>641</v>
      </c>
      <c r="G1268" s="20" t="s">
        <v>642</v>
      </c>
      <c r="H1268" s="29" t="str">
        <f>VLOOKUP(G1268,'insumos terrapl'!$C$3:$K$47,2,0)</f>
        <v>2N  58  06  00  00  00  00</v>
      </c>
      <c r="I1268" s="29" t="str">
        <f>VLOOKUP(G1268,'insumos terrapl'!$C$3:$K$47,3,0)</f>
        <v>2N</v>
      </c>
      <c r="J1268" s="29">
        <f>VLOOKUP(G1268,'insumos terrapl'!$C$3:$K$47,4,0)</f>
        <v>58</v>
      </c>
      <c r="K1268" s="29" t="str">
        <f>VLOOKUP(G1268,'insumos terrapl'!$C$3:$K$47,5,0)</f>
        <v>06</v>
      </c>
      <c r="L1268" s="29" t="str">
        <f>VLOOKUP(G1268,'insumos terrapl'!$C$3:$K$47,6,0)</f>
        <v>00</v>
      </c>
      <c r="M1268" s="29" t="str">
        <f>VLOOKUP(G1268,'insumos terrapl'!$C$3:$K$47,7,0)</f>
        <v>00</v>
      </c>
      <c r="N1268" s="29" t="str">
        <f>VLOOKUP(G1268,'insumos terrapl'!$C$3:$K$47,8,0)</f>
        <v>00</v>
      </c>
      <c r="O1268" s="97" t="str">
        <f>VLOOKUP(G1268,'insumos terrapl'!$C$3:$K$47,9,0)</f>
        <v>00</v>
      </c>
    </row>
    <row r="1269" spans="1:15">
      <c r="A1269" s="134"/>
      <c r="B1269" s="137"/>
      <c r="C1269" s="125"/>
      <c r="D1269" s="115"/>
      <c r="E1269" s="115"/>
      <c r="F1269" s="11" t="s">
        <v>619</v>
      </c>
      <c r="G1269" s="20" t="s">
        <v>620</v>
      </c>
      <c r="H1269" s="29"/>
      <c r="I1269" s="29"/>
      <c r="J1269" s="29"/>
      <c r="K1269" s="29"/>
      <c r="L1269" s="29"/>
      <c r="M1269" s="29"/>
      <c r="N1269" s="29"/>
      <c r="O1269" s="97"/>
    </row>
    <row r="1270" spans="1:15">
      <c r="A1270" s="134"/>
      <c r="B1270" s="137"/>
      <c r="C1270" s="125"/>
      <c r="D1270" s="115"/>
      <c r="E1270" s="115"/>
      <c r="F1270" s="11" t="s">
        <v>643</v>
      </c>
      <c r="G1270" s="20" t="s">
        <v>644</v>
      </c>
      <c r="H1270" s="29" t="str">
        <f>VLOOKUP(G1270,'insumos terrapl'!$C$3:$K$47,2,0)</f>
        <v>2N  58  06  00  00  00  00</v>
      </c>
      <c r="I1270" s="29" t="str">
        <f>VLOOKUP(G1270,'insumos terrapl'!$C$3:$K$47,3,0)</f>
        <v>2N</v>
      </c>
      <c r="J1270" s="29">
        <f>VLOOKUP(G1270,'insumos terrapl'!$C$3:$K$47,4,0)</f>
        <v>58</v>
      </c>
      <c r="K1270" s="29" t="str">
        <f>VLOOKUP(G1270,'insumos terrapl'!$C$3:$K$47,5,0)</f>
        <v>06</v>
      </c>
      <c r="L1270" s="29" t="str">
        <f>VLOOKUP(G1270,'insumos terrapl'!$C$3:$K$47,6,0)</f>
        <v>00</v>
      </c>
      <c r="M1270" s="29" t="str">
        <f>VLOOKUP(G1270,'insumos terrapl'!$C$3:$K$47,7,0)</f>
        <v>00</v>
      </c>
      <c r="N1270" s="29" t="str">
        <f>VLOOKUP(G1270,'insumos terrapl'!$C$3:$K$47,8,0)</f>
        <v>00</v>
      </c>
      <c r="O1270" s="97" t="str">
        <f>VLOOKUP(G1270,'insumos terrapl'!$C$3:$K$47,9,0)</f>
        <v>00</v>
      </c>
    </row>
    <row r="1271" spans="1:15">
      <c r="A1271" s="134"/>
      <c r="B1271" s="137"/>
      <c r="C1271" s="125"/>
      <c r="D1271" s="115"/>
      <c r="E1271" s="115"/>
      <c r="F1271" s="11" t="s">
        <v>645</v>
      </c>
      <c r="G1271" s="20" t="s">
        <v>646</v>
      </c>
      <c r="H1271" s="29" t="str">
        <f>VLOOKUP(G1271,'insumos terrapl'!$C$3:$K$47,2,0)</f>
        <v>2N  58  06  00  00  00  00</v>
      </c>
      <c r="I1271" s="29" t="str">
        <f>VLOOKUP(G1271,'insumos terrapl'!$C$3:$K$47,3,0)</f>
        <v>2N</v>
      </c>
      <c r="J1271" s="29">
        <f>VLOOKUP(G1271,'insumos terrapl'!$C$3:$K$47,4,0)</f>
        <v>58</v>
      </c>
      <c r="K1271" s="29" t="str">
        <f>VLOOKUP(G1271,'insumos terrapl'!$C$3:$K$47,5,0)</f>
        <v>06</v>
      </c>
      <c r="L1271" s="29" t="str">
        <f>VLOOKUP(G1271,'insumos terrapl'!$C$3:$K$47,6,0)</f>
        <v>00</v>
      </c>
      <c r="M1271" s="29" t="str">
        <f>VLOOKUP(G1271,'insumos terrapl'!$C$3:$K$47,7,0)</f>
        <v>00</v>
      </c>
      <c r="N1271" s="29" t="str">
        <f>VLOOKUP(G1271,'insumos terrapl'!$C$3:$K$47,8,0)</f>
        <v>00</v>
      </c>
      <c r="O1271" s="97" t="str">
        <f>VLOOKUP(G1271,'insumos terrapl'!$C$3:$K$47,9,0)</f>
        <v>00</v>
      </c>
    </row>
    <row r="1272" spans="1:15" ht="30">
      <c r="A1272" s="134"/>
      <c r="B1272" s="137"/>
      <c r="C1272" s="125"/>
      <c r="D1272" s="115"/>
      <c r="E1272" s="115"/>
      <c r="F1272" s="11" t="s">
        <v>647</v>
      </c>
      <c r="G1272" s="20" t="s">
        <v>648</v>
      </c>
      <c r="H1272" s="29" t="str">
        <f>VLOOKUP(G1272,'insumos terrapl'!$C$3:$K$47,2,0)</f>
        <v>2N  58  06  00  00  00  00</v>
      </c>
      <c r="I1272" s="29" t="str">
        <f>VLOOKUP(G1272,'insumos terrapl'!$C$3:$K$47,3,0)</f>
        <v>2N</v>
      </c>
      <c r="J1272" s="29">
        <f>VLOOKUP(G1272,'insumos terrapl'!$C$3:$K$47,4,0)</f>
        <v>58</v>
      </c>
      <c r="K1272" s="29" t="str">
        <f>VLOOKUP(G1272,'insumos terrapl'!$C$3:$K$47,5,0)</f>
        <v>06</v>
      </c>
      <c r="L1272" s="29" t="str">
        <f>VLOOKUP(G1272,'insumos terrapl'!$C$3:$K$47,6,0)</f>
        <v>00</v>
      </c>
      <c r="M1272" s="29" t="str">
        <f>VLOOKUP(G1272,'insumos terrapl'!$C$3:$K$47,7,0)</f>
        <v>00</v>
      </c>
      <c r="N1272" s="29" t="str">
        <f>VLOOKUP(G1272,'insumos terrapl'!$C$3:$K$47,8,0)</f>
        <v>00</v>
      </c>
      <c r="O1272" s="97" t="str">
        <f>VLOOKUP(G1272,'insumos terrapl'!$C$3:$K$47,9,0)</f>
        <v>00</v>
      </c>
    </row>
    <row r="1273" spans="1:15">
      <c r="A1273" s="134"/>
      <c r="B1273" s="137"/>
      <c r="C1273" s="125"/>
      <c r="D1273" s="115"/>
      <c r="E1273" s="115"/>
      <c r="F1273" s="11" t="s">
        <v>621</v>
      </c>
      <c r="G1273" s="20" t="s">
        <v>622</v>
      </c>
      <c r="H1273" s="29" t="str">
        <f>VLOOKUP(G1273,'insumos terrapl'!$C$3:$K$47,2,0)</f>
        <v>2N  58  06  00  00  00  00</v>
      </c>
      <c r="I1273" s="29" t="str">
        <f>VLOOKUP(G1273,'insumos terrapl'!$C$3:$K$47,3,0)</f>
        <v>2N</v>
      </c>
      <c r="J1273" s="29">
        <f>VLOOKUP(G1273,'insumos terrapl'!$C$3:$K$47,4,0)</f>
        <v>58</v>
      </c>
      <c r="K1273" s="29" t="str">
        <f>VLOOKUP(G1273,'insumos terrapl'!$C$3:$K$47,5,0)</f>
        <v>06</v>
      </c>
      <c r="L1273" s="29" t="str">
        <f>VLOOKUP(G1273,'insumos terrapl'!$C$3:$K$47,6,0)</f>
        <v>00</v>
      </c>
      <c r="M1273" s="29" t="str">
        <f>VLOOKUP(G1273,'insumos terrapl'!$C$3:$K$47,7,0)</f>
        <v>00</v>
      </c>
      <c r="N1273" s="29" t="str">
        <f>VLOOKUP(G1273,'insumos terrapl'!$C$3:$K$47,8,0)</f>
        <v>00</v>
      </c>
      <c r="O1273" s="97" t="str">
        <f>VLOOKUP(G1273,'insumos terrapl'!$C$3:$K$47,9,0)</f>
        <v>00</v>
      </c>
    </row>
    <row r="1274" spans="1:15">
      <c r="A1274" s="134"/>
      <c r="B1274" s="137"/>
      <c r="C1274" s="132"/>
      <c r="D1274" s="116"/>
      <c r="E1274" s="116"/>
      <c r="F1274" s="13"/>
      <c r="G1274" s="21"/>
      <c r="H1274" s="31"/>
      <c r="I1274" s="31"/>
      <c r="J1274" s="31"/>
      <c r="K1274" s="31"/>
      <c r="L1274" s="31"/>
      <c r="M1274" s="31"/>
      <c r="N1274" s="31"/>
      <c r="O1274" s="98"/>
    </row>
    <row r="1275" spans="1:15">
      <c r="A1275" s="134"/>
      <c r="B1275" s="137"/>
      <c r="C1275" s="124" t="s">
        <v>243</v>
      </c>
      <c r="D1275" s="114" t="str">
        <f>$A$1095</f>
        <v>2.6.8</v>
      </c>
      <c r="E1275" s="115" t="s">
        <v>501</v>
      </c>
      <c r="F1275" s="11" t="s">
        <v>243</v>
      </c>
      <c r="G1275" s="20"/>
      <c r="H1275" s="29"/>
      <c r="I1275" s="29"/>
      <c r="J1275" s="29"/>
      <c r="K1275" s="29"/>
      <c r="L1275" s="29"/>
      <c r="M1275" s="29"/>
      <c r="N1275" s="29"/>
      <c r="O1275" s="97"/>
    </row>
    <row r="1276" spans="1:15" ht="30">
      <c r="A1276" s="134"/>
      <c r="B1276" s="137"/>
      <c r="C1276" s="125"/>
      <c r="D1276" s="115"/>
      <c r="E1276" s="115"/>
      <c r="F1276" s="11" t="s">
        <v>659</v>
      </c>
      <c r="G1276" s="20" t="s">
        <v>660</v>
      </c>
      <c r="H1276" s="29" t="str">
        <f>VLOOKUP(G1276,'insumos terrapl'!$C$3:$K$47,2,0)</f>
        <v>2Q  66  10  02  00  00  00</v>
      </c>
      <c r="I1276" s="29" t="str">
        <f>VLOOKUP(G1276,'insumos terrapl'!$C$3:$K$47,3,0)</f>
        <v>2Q</v>
      </c>
      <c r="J1276" s="29">
        <f>VLOOKUP(G1276,'insumos terrapl'!$C$3:$K$47,4,0)</f>
        <v>66</v>
      </c>
      <c r="K1276" s="29" t="str">
        <f>VLOOKUP(G1276,'insumos terrapl'!$C$3:$K$47,5,0)</f>
        <v>10</v>
      </c>
      <c r="L1276" s="29" t="str">
        <f>VLOOKUP(G1276,'insumos terrapl'!$C$3:$K$47,6,0)</f>
        <v>02</v>
      </c>
      <c r="M1276" s="29" t="str">
        <f>VLOOKUP(G1276,'insumos terrapl'!$C$3:$K$47,7,0)</f>
        <v>00</v>
      </c>
      <c r="N1276" s="29" t="str">
        <f>VLOOKUP(G1276,'insumos terrapl'!$C$3:$K$47,8,0)</f>
        <v>00</v>
      </c>
      <c r="O1276" s="97" t="str">
        <f>VLOOKUP(G1276,'insumos terrapl'!$C$3:$K$47,9,0)</f>
        <v>00</v>
      </c>
    </row>
    <row r="1277" spans="1:15" ht="30">
      <c r="A1277" s="134"/>
      <c r="B1277" s="137"/>
      <c r="C1277" s="125"/>
      <c r="D1277" s="115"/>
      <c r="E1277" s="115"/>
      <c r="F1277" s="11" t="s">
        <v>661</v>
      </c>
      <c r="G1277" s="20" t="s">
        <v>662</v>
      </c>
      <c r="H1277" s="29" t="str">
        <f>VLOOKUP(G1277,'insumos terrapl'!$C$3:$K$47,2,0)</f>
        <v>2Q  62  10  06  00  00  00</v>
      </c>
      <c r="I1277" s="29" t="str">
        <f>VLOOKUP(G1277,'insumos terrapl'!$C$3:$K$47,3,0)</f>
        <v>2Q</v>
      </c>
      <c r="J1277" s="29">
        <f>VLOOKUP(G1277,'insumos terrapl'!$C$3:$K$47,4,0)</f>
        <v>62</v>
      </c>
      <c r="K1277" s="29" t="str">
        <f>VLOOKUP(G1277,'insumos terrapl'!$C$3:$K$47,5,0)</f>
        <v>10</v>
      </c>
      <c r="L1277" s="29" t="str">
        <f>VLOOKUP(G1277,'insumos terrapl'!$C$3:$K$47,6,0)</f>
        <v>06</v>
      </c>
      <c r="M1277" s="29" t="str">
        <f>VLOOKUP(G1277,'insumos terrapl'!$C$3:$K$47,7,0)</f>
        <v>00</v>
      </c>
      <c r="N1277" s="29" t="str">
        <f>VLOOKUP(G1277,'insumos terrapl'!$C$3:$K$47,8,0)</f>
        <v>00</v>
      </c>
      <c r="O1277" s="97" t="str">
        <f>VLOOKUP(G1277,'insumos terrapl'!$C$3:$K$47,9,0)</f>
        <v>00</v>
      </c>
    </row>
    <row r="1278" spans="1:15" ht="30">
      <c r="A1278" s="134"/>
      <c r="B1278" s="137"/>
      <c r="C1278" s="125"/>
      <c r="D1278" s="115"/>
      <c r="E1278" s="115"/>
      <c r="F1278" s="11" t="s">
        <v>607</v>
      </c>
      <c r="G1278" s="20" t="s">
        <v>608</v>
      </c>
      <c r="H1278" s="29" t="str">
        <f>VLOOKUP(G1278,'insumos terrapl'!$C$3:$K$47,2,0)</f>
        <v>2Q  42  06  18  02  02  00</v>
      </c>
      <c r="I1278" s="29" t="str">
        <f>VLOOKUP(G1278,'insumos terrapl'!$C$3:$K$47,3,0)</f>
        <v>2Q</v>
      </c>
      <c r="J1278" s="29">
        <f>VLOOKUP(G1278,'insumos terrapl'!$C$3:$K$47,4,0)</f>
        <v>42</v>
      </c>
      <c r="K1278" s="29" t="str">
        <f>VLOOKUP(G1278,'insumos terrapl'!$C$3:$K$47,5,0)</f>
        <v>06</v>
      </c>
      <c r="L1278" s="29">
        <f>VLOOKUP(G1278,'insumos terrapl'!$C$3:$K$47,6,0)</f>
        <v>18</v>
      </c>
      <c r="M1278" s="29" t="str">
        <f>VLOOKUP(G1278,'insumos terrapl'!$C$3:$K$47,7,0)</f>
        <v>02</v>
      </c>
      <c r="N1278" s="29" t="str">
        <f>VLOOKUP(G1278,'insumos terrapl'!$C$3:$K$47,8,0)</f>
        <v>02</v>
      </c>
      <c r="O1278" s="97" t="str">
        <f>VLOOKUP(G1278,'insumos terrapl'!$C$3:$K$47,9,0)</f>
        <v>00</v>
      </c>
    </row>
    <row r="1279" spans="1:15" ht="45">
      <c r="A1279" s="134"/>
      <c r="B1279" s="137"/>
      <c r="C1279" s="125"/>
      <c r="D1279" s="115"/>
      <c r="E1279" s="115"/>
      <c r="F1279" s="11" t="s">
        <v>609</v>
      </c>
      <c r="G1279" s="20" t="s">
        <v>610</v>
      </c>
      <c r="H1279" s="29" t="str">
        <f>VLOOKUP(G1279,'insumos terrapl'!$C$3:$K$47,2,0)</f>
        <v>2Q  42  06  02  14  02  00</v>
      </c>
      <c r="I1279" s="29" t="str">
        <f>VLOOKUP(G1279,'insumos terrapl'!$C$3:$K$47,3,0)</f>
        <v>2Q</v>
      </c>
      <c r="J1279" s="29">
        <f>VLOOKUP(G1279,'insumos terrapl'!$C$3:$K$47,4,0)</f>
        <v>42</v>
      </c>
      <c r="K1279" s="29" t="str">
        <f>VLOOKUP(G1279,'insumos terrapl'!$C$3:$K$47,5,0)</f>
        <v>06</v>
      </c>
      <c r="L1279" s="29" t="str">
        <f>VLOOKUP(G1279,'insumos terrapl'!$C$3:$K$47,6,0)</f>
        <v>02</v>
      </c>
      <c r="M1279" s="29" t="str">
        <f>VLOOKUP(G1279,'insumos terrapl'!$C$3:$K$47,7,0)</f>
        <v>14</v>
      </c>
      <c r="N1279" s="29" t="str">
        <f>VLOOKUP(G1279,'insumos terrapl'!$C$3:$K$47,8,0)</f>
        <v>02</v>
      </c>
      <c r="O1279" s="97" t="str">
        <f>VLOOKUP(G1279,'insumos terrapl'!$C$3:$K$47,9,0)</f>
        <v>00</v>
      </c>
    </row>
    <row r="1280" spans="1:15">
      <c r="A1280" s="134"/>
      <c r="B1280" s="137"/>
      <c r="C1280" s="125"/>
      <c r="D1280" s="115"/>
      <c r="E1280" s="115"/>
      <c r="F1280" s="11" t="s">
        <v>633</v>
      </c>
      <c r="G1280" s="20" t="s">
        <v>634</v>
      </c>
      <c r="H1280" s="29" t="str">
        <f>VLOOKUP(G1280,'insumos terrapl'!$C$3:$K$47,2,0)</f>
        <v>2Q  58  10  10  02  06  00</v>
      </c>
      <c r="I1280" s="29" t="str">
        <f>VLOOKUP(G1280,'insumos terrapl'!$C$3:$K$47,3,0)</f>
        <v>2Q</v>
      </c>
      <c r="J1280" s="29">
        <f>VLOOKUP(G1280,'insumos terrapl'!$C$3:$K$47,4,0)</f>
        <v>58</v>
      </c>
      <c r="K1280" s="29" t="str">
        <f>VLOOKUP(G1280,'insumos terrapl'!$C$3:$K$47,5,0)</f>
        <v>10</v>
      </c>
      <c r="L1280" s="29" t="str">
        <f>VLOOKUP(G1280,'insumos terrapl'!$C$3:$K$47,6,0)</f>
        <v>10</v>
      </c>
      <c r="M1280" s="29" t="str">
        <f>VLOOKUP(G1280,'insumos terrapl'!$C$3:$K$47,7,0)</f>
        <v>02</v>
      </c>
      <c r="N1280" s="29" t="str">
        <f>VLOOKUP(G1280,'insumos terrapl'!$C$3:$K$47,8,0)</f>
        <v>06</v>
      </c>
      <c r="O1280" s="97" t="str">
        <f>VLOOKUP(G1280,'insumos terrapl'!$C$3:$K$47,9,0)</f>
        <v>00</v>
      </c>
    </row>
    <row r="1281" spans="1:15">
      <c r="A1281" s="134"/>
      <c r="B1281" s="137"/>
      <c r="C1281" s="125"/>
      <c r="D1281" s="115"/>
      <c r="E1281" s="115"/>
      <c r="F1281" s="11" t="s">
        <v>586</v>
      </c>
      <c r="G1281" s="20" t="s">
        <v>587</v>
      </c>
      <c r="H1281" s="29" t="str">
        <f>VLOOKUP(G1281,'insumos terrapl'!$C$3:$K$47,2,0)</f>
        <v>2Q  62  30  02  14  00  00</v>
      </c>
      <c r="I1281" s="29" t="str">
        <f>VLOOKUP(G1281,'insumos terrapl'!$C$3:$K$47,3,0)</f>
        <v>2Q</v>
      </c>
      <c r="J1281" s="29">
        <f>VLOOKUP(G1281,'insumos terrapl'!$C$3:$K$47,4,0)</f>
        <v>62</v>
      </c>
      <c r="K1281" s="29">
        <f>VLOOKUP(G1281,'insumos terrapl'!$C$3:$K$47,5,0)</f>
        <v>30</v>
      </c>
      <c r="L1281" s="29" t="str">
        <f>VLOOKUP(G1281,'insumos terrapl'!$C$3:$K$47,6,0)</f>
        <v>02</v>
      </c>
      <c r="M1281" s="29" t="str">
        <f>VLOOKUP(G1281,'insumos terrapl'!$C$3:$K$47,7,0)</f>
        <v>14</v>
      </c>
      <c r="N1281" s="29" t="str">
        <f>VLOOKUP(G1281,'insumos terrapl'!$C$3:$K$47,8,0)</f>
        <v>00</v>
      </c>
      <c r="O1281" s="97" t="str">
        <f>VLOOKUP(G1281,'insumos terrapl'!$C$3:$K$47,9,0)</f>
        <v>00</v>
      </c>
    </row>
    <row r="1282" spans="1:15">
      <c r="A1282" s="134"/>
      <c r="B1282" s="137"/>
      <c r="C1282" s="125"/>
      <c r="D1282" s="115"/>
      <c r="E1282" s="115"/>
      <c r="F1282" s="11" t="s">
        <v>613</v>
      </c>
      <c r="G1282" s="20" t="s">
        <v>614</v>
      </c>
      <c r="H1282" s="29" t="str">
        <f>VLOOKUP(G1282,'insumos terrapl'!$C$3:$K$47,2,0)</f>
        <v>2N  20  14  02  00  00  00</v>
      </c>
      <c r="I1282" s="29" t="str">
        <f>VLOOKUP(G1282,'insumos terrapl'!$C$3:$K$47,3,0)</f>
        <v>2N</v>
      </c>
      <c r="J1282" s="29">
        <f>VLOOKUP(G1282,'insumos terrapl'!$C$3:$K$47,4,0)</f>
        <v>20</v>
      </c>
      <c r="K1282" s="29" t="str">
        <f>VLOOKUP(G1282,'insumos terrapl'!$C$3:$K$47,5,0)</f>
        <v>14</v>
      </c>
      <c r="L1282" s="29" t="str">
        <f>VLOOKUP(G1282,'insumos terrapl'!$C$3:$K$47,6,0)</f>
        <v>02</v>
      </c>
      <c r="M1282" s="29" t="str">
        <f>VLOOKUP(G1282,'insumos terrapl'!$C$3:$K$47,7,0)</f>
        <v>00</v>
      </c>
      <c r="N1282" s="29" t="str">
        <f>VLOOKUP(G1282,'insumos terrapl'!$C$3:$K$47,8,0)</f>
        <v>00</v>
      </c>
      <c r="O1282" s="97" t="str">
        <f>VLOOKUP(G1282,'insumos terrapl'!$C$3:$K$47,9,0)</f>
        <v>00</v>
      </c>
    </row>
    <row r="1283" spans="1:15">
      <c r="A1283" s="134"/>
      <c r="B1283" s="137"/>
      <c r="C1283" s="125"/>
      <c r="D1283" s="115"/>
      <c r="E1283" s="115"/>
      <c r="F1283" s="11" t="s">
        <v>615</v>
      </c>
      <c r="G1283" s="20" t="s">
        <v>616</v>
      </c>
      <c r="H1283" s="29" t="str">
        <f>VLOOKUP(G1283,'insumos terrapl'!$C$3:$K$47,2,0)</f>
        <v>2N  20  14  02  00  00  00</v>
      </c>
      <c r="I1283" s="29" t="str">
        <f>VLOOKUP(G1283,'insumos terrapl'!$C$3:$K$47,3,0)</f>
        <v>2N</v>
      </c>
      <c r="J1283" s="29">
        <f>VLOOKUP(G1283,'insumos terrapl'!$C$3:$K$47,4,0)</f>
        <v>20</v>
      </c>
      <c r="K1283" s="29" t="str">
        <f>VLOOKUP(G1283,'insumos terrapl'!$C$3:$K$47,5,0)</f>
        <v>14</v>
      </c>
      <c r="L1283" s="29" t="str">
        <f>VLOOKUP(G1283,'insumos terrapl'!$C$3:$K$47,6,0)</f>
        <v>02</v>
      </c>
      <c r="M1283" s="29" t="str">
        <f>VLOOKUP(G1283,'insumos terrapl'!$C$3:$K$47,7,0)</f>
        <v>00</v>
      </c>
      <c r="N1283" s="29" t="str">
        <f>VLOOKUP(G1283,'insumos terrapl'!$C$3:$K$47,8,0)</f>
        <v>00</v>
      </c>
      <c r="O1283" s="97" t="str">
        <f>VLOOKUP(G1283,'insumos terrapl'!$C$3:$K$47,9,0)</f>
        <v>00</v>
      </c>
    </row>
    <row r="1284" spans="1:15" ht="30">
      <c r="A1284" s="134"/>
      <c r="B1284" s="137"/>
      <c r="C1284" s="125"/>
      <c r="D1284" s="115"/>
      <c r="E1284" s="115"/>
      <c r="F1284" s="11" t="s">
        <v>635</v>
      </c>
      <c r="G1284" s="20" t="s">
        <v>636</v>
      </c>
      <c r="H1284" s="29" t="str">
        <f>VLOOKUP(G1284,'insumos terrapl'!$C$3:$K$47,2,0)</f>
        <v>2N  58  06  00  00  00  00</v>
      </c>
      <c r="I1284" s="29" t="str">
        <f>VLOOKUP(G1284,'insumos terrapl'!$C$3:$K$47,3,0)</f>
        <v>2N</v>
      </c>
      <c r="J1284" s="29">
        <f>VLOOKUP(G1284,'insumos terrapl'!$C$3:$K$47,4,0)</f>
        <v>58</v>
      </c>
      <c r="K1284" s="29" t="str">
        <f>VLOOKUP(G1284,'insumos terrapl'!$C$3:$K$47,5,0)</f>
        <v>06</v>
      </c>
      <c r="L1284" s="29" t="str">
        <f>VLOOKUP(G1284,'insumos terrapl'!$C$3:$K$47,6,0)</f>
        <v>00</v>
      </c>
      <c r="M1284" s="29" t="str">
        <f>VLOOKUP(G1284,'insumos terrapl'!$C$3:$K$47,7,0)</f>
        <v>00</v>
      </c>
      <c r="N1284" s="29" t="str">
        <f>VLOOKUP(G1284,'insumos terrapl'!$C$3:$K$47,8,0)</f>
        <v>00</v>
      </c>
      <c r="O1284" s="97" t="str">
        <f>VLOOKUP(G1284,'insumos terrapl'!$C$3:$K$47,9,0)</f>
        <v>00</v>
      </c>
    </row>
    <row r="1285" spans="1:15">
      <c r="A1285" s="134"/>
      <c r="B1285" s="137"/>
      <c r="C1285" s="125"/>
      <c r="D1285" s="115"/>
      <c r="E1285" s="115"/>
      <c r="F1285" s="11" t="s">
        <v>617</v>
      </c>
      <c r="G1285" s="20" t="s">
        <v>618</v>
      </c>
      <c r="H1285" s="29" t="str">
        <f>VLOOKUP(G1285,'insumos terrapl'!$C$3:$K$47,2,0)</f>
        <v>2Q  58  06  02  28  00  00</v>
      </c>
      <c r="I1285" s="29" t="str">
        <f>VLOOKUP(G1285,'insumos terrapl'!$C$3:$K$47,3,0)</f>
        <v>2Q</v>
      </c>
      <c r="J1285" s="29">
        <f>VLOOKUP(G1285,'insumos terrapl'!$C$3:$K$47,4,0)</f>
        <v>58</v>
      </c>
      <c r="K1285" s="29" t="str">
        <f>VLOOKUP(G1285,'insumos terrapl'!$C$3:$K$47,5,0)</f>
        <v>06</v>
      </c>
      <c r="L1285" s="29" t="str">
        <f>VLOOKUP(G1285,'insumos terrapl'!$C$3:$K$47,6,0)</f>
        <v>02</v>
      </c>
      <c r="M1285" s="29" t="str">
        <f>VLOOKUP(G1285,'insumos terrapl'!$C$3:$K$47,7,0)</f>
        <v>28</v>
      </c>
      <c r="N1285" s="29" t="str">
        <f>VLOOKUP(G1285,'insumos terrapl'!$C$3:$K$47,8,0)</f>
        <v>00</v>
      </c>
      <c r="O1285" s="97" t="str">
        <f>VLOOKUP(G1285,'insumos terrapl'!$C$3:$K$47,9,0)</f>
        <v>00</v>
      </c>
    </row>
    <row r="1286" spans="1:15" ht="30">
      <c r="A1286" s="134"/>
      <c r="B1286" s="137"/>
      <c r="C1286" s="125"/>
      <c r="D1286" s="115"/>
      <c r="E1286" s="115"/>
      <c r="F1286" s="11" t="s">
        <v>637</v>
      </c>
      <c r="G1286" s="20" t="s">
        <v>638</v>
      </c>
      <c r="H1286" s="29" t="str">
        <f>VLOOKUP(G1286,'insumos terrapl'!$C$3:$K$47,2,0)</f>
        <v>2N  58  06  00  00  00  00</v>
      </c>
      <c r="I1286" s="29" t="str">
        <f>VLOOKUP(G1286,'insumos terrapl'!$C$3:$K$47,3,0)</f>
        <v>2N</v>
      </c>
      <c r="J1286" s="29">
        <f>VLOOKUP(G1286,'insumos terrapl'!$C$3:$K$47,4,0)</f>
        <v>58</v>
      </c>
      <c r="K1286" s="29" t="str">
        <f>VLOOKUP(G1286,'insumos terrapl'!$C$3:$K$47,5,0)</f>
        <v>06</v>
      </c>
      <c r="L1286" s="29" t="str">
        <f>VLOOKUP(G1286,'insumos terrapl'!$C$3:$K$47,6,0)</f>
        <v>00</v>
      </c>
      <c r="M1286" s="29" t="str">
        <f>VLOOKUP(G1286,'insumos terrapl'!$C$3:$K$47,7,0)</f>
        <v>00</v>
      </c>
      <c r="N1286" s="29" t="str">
        <f>VLOOKUP(G1286,'insumos terrapl'!$C$3:$K$47,8,0)</f>
        <v>00</v>
      </c>
      <c r="O1286" s="97" t="str">
        <f>VLOOKUP(G1286,'insumos terrapl'!$C$3:$K$47,9,0)</f>
        <v>00</v>
      </c>
    </row>
    <row r="1287" spans="1:15" ht="30">
      <c r="A1287" s="134"/>
      <c r="B1287" s="137"/>
      <c r="C1287" s="125"/>
      <c r="D1287" s="115"/>
      <c r="E1287" s="115"/>
      <c r="F1287" s="11" t="s">
        <v>639</v>
      </c>
      <c r="G1287" s="20" t="s">
        <v>640</v>
      </c>
      <c r="H1287" s="29" t="str">
        <f>VLOOKUP(G1287,'insumos terrapl'!$C$3:$K$47,2,0)</f>
        <v>2N  58  06  00  00  00  00</v>
      </c>
      <c r="I1287" s="29" t="str">
        <f>VLOOKUP(G1287,'insumos terrapl'!$C$3:$K$47,3,0)</f>
        <v>2N</v>
      </c>
      <c r="J1287" s="29">
        <f>VLOOKUP(G1287,'insumos terrapl'!$C$3:$K$47,4,0)</f>
        <v>58</v>
      </c>
      <c r="K1287" s="29" t="str">
        <f>VLOOKUP(G1287,'insumos terrapl'!$C$3:$K$47,5,0)</f>
        <v>06</v>
      </c>
      <c r="L1287" s="29" t="str">
        <f>VLOOKUP(G1287,'insumos terrapl'!$C$3:$K$47,6,0)</f>
        <v>00</v>
      </c>
      <c r="M1287" s="29" t="str">
        <f>VLOOKUP(G1287,'insumos terrapl'!$C$3:$K$47,7,0)</f>
        <v>00</v>
      </c>
      <c r="N1287" s="29" t="str">
        <f>VLOOKUP(G1287,'insumos terrapl'!$C$3:$K$47,8,0)</f>
        <v>00</v>
      </c>
      <c r="O1287" s="97" t="str">
        <f>VLOOKUP(G1287,'insumos terrapl'!$C$3:$K$47,9,0)</f>
        <v>00</v>
      </c>
    </row>
    <row r="1288" spans="1:15">
      <c r="A1288" s="134"/>
      <c r="B1288" s="137"/>
      <c r="C1288" s="125"/>
      <c r="D1288" s="115"/>
      <c r="E1288" s="115"/>
      <c r="F1288" s="11" t="s">
        <v>641</v>
      </c>
      <c r="G1288" s="20" t="s">
        <v>642</v>
      </c>
      <c r="H1288" s="29" t="str">
        <f>VLOOKUP(G1288,'insumos terrapl'!$C$3:$K$47,2,0)</f>
        <v>2N  58  06  00  00  00  00</v>
      </c>
      <c r="I1288" s="29" t="str">
        <f>VLOOKUP(G1288,'insumos terrapl'!$C$3:$K$47,3,0)</f>
        <v>2N</v>
      </c>
      <c r="J1288" s="29">
        <f>VLOOKUP(G1288,'insumos terrapl'!$C$3:$K$47,4,0)</f>
        <v>58</v>
      </c>
      <c r="K1288" s="29" t="str">
        <f>VLOOKUP(G1288,'insumos terrapl'!$C$3:$K$47,5,0)</f>
        <v>06</v>
      </c>
      <c r="L1288" s="29" t="str">
        <f>VLOOKUP(G1288,'insumos terrapl'!$C$3:$K$47,6,0)</f>
        <v>00</v>
      </c>
      <c r="M1288" s="29" t="str">
        <f>VLOOKUP(G1288,'insumos terrapl'!$C$3:$K$47,7,0)</f>
        <v>00</v>
      </c>
      <c r="N1288" s="29" t="str">
        <f>VLOOKUP(G1288,'insumos terrapl'!$C$3:$K$47,8,0)</f>
        <v>00</v>
      </c>
      <c r="O1288" s="97" t="str">
        <f>VLOOKUP(G1288,'insumos terrapl'!$C$3:$K$47,9,0)</f>
        <v>00</v>
      </c>
    </row>
    <row r="1289" spans="1:15">
      <c r="A1289" s="134"/>
      <c r="B1289" s="137"/>
      <c r="C1289" s="125"/>
      <c r="D1289" s="115"/>
      <c r="E1289" s="115"/>
      <c r="F1289" s="11" t="s">
        <v>619</v>
      </c>
      <c r="G1289" s="20" t="s">
        <v>620</v>
      </c>
      <c r="H1289" s="29"/>
      <c r="I1289" s="29"/>
      <c r="J1289" s="29"/>
      <c r="K1289" s="29"/>
      <c r="L1289" s="29"/>
      <c r="M1289" s="29"/>
      <c r="N1289" s="29"/>
      <c r="O1289" s="97"/>
    </row>
    <row r="1290" spans="1:15">
      <c r="A1290" s="134"/>
      <c r="B1290" s="137"/>
      <c r="C1290" s="125"/>
      <c r="D1290" s="115"/>
      <c r="E1290" s="115"/>
      <c r="F1290" s="11" t="s">
        <v>643</v>
      </c>
      <c r="G1290" s="20" t="s">
        <v>644</v>
      </c>
      <c r="H1290" s="29" t="str">
        <f>VLOOKUP(G1290,'insumos terrapl'!$C$3:$K$47,2,0)</f>
        <v>2N  58  06  00  00  00  00</v>
      </c>
      <c r="I1290" s="29" t="str">
        <f>VLOOKUP(G1290,'insumos terrapl'!$C$3:$K$47,3,0)</f>
        <v>2N</v>
      </c>
      <c r="J1290" s="29">
        <f>VLOOKUP(G1290,'insumos terrapl'!$C$3:$K$47,4,0)</f>
        <v>58</v>
      </c>
      <c r="K1290" s="29" t="str">
        <f>VLOOKUP(G1290,'insumos terrapl'!$C$3:$K$47,5,0)</f>
        <v>06</v>
      </c>
      <c r="L1290" s="29" t="str">
        <f>VLOOKUP(G1290,'insumos terrapl'!$C$3:$K$47,6,0)</f>
        <v>00</v>
      </c>
      <c r="M1290" s="29" t="str">
        <f>VLOOKUP(G1290,'insumos terrapl'!$C$3:$K$47,7,0)</f>
        <v>00</v>
      </c>
      <c r="N1290" s="29" t="str">
        <f>VLOOKUP(G1290,'insumos terrapl'!$C$3:$K$47,8,0)</f>
        <v>00</v>
      </c>
      <c r="O1290" s="97" t="str">
        <f>VLOOKUP(G1290,'insumos terrapl'!$C$3:$K$47,9,0)</f>
        <v>00</v>
      </c>
    </row>
    <row r="1291" spans="1:15">
      <c r="A1291" s="134"/>
      <c r="B1291" s="137"/>
      <c r="C1291" s="125"/>
      <c r="D1291" s="115"/>
      <c r="E1291" s="115"/>
      <c r="F1291" s="11" t="s">
        <v>645</v>
      </c>
      <c r="G1291" s="20" t="s">
        <v>646</v>
      </c>
      <c r="H1291" s="29" t="str">
        <f>VLOOKUP(G1291,'insumos terrapl'!$C$3:$K$47,2,0)</f>
        <v>2N  58  06  00  00  00  00</v>
      </c>
      <c r="I1291" s="29" t="str">
        <f>VLOOKUP(G1291,'insumos terrapl'!$C$3:$K$47,3,0)</f>
        <v>2N</v>
      </c>
      <c r="J1291" s="29">
        <f>VLOOKUP(G1291,'insumos terrapl'!$C$3:$K$47,4,0)</f>
        <v>58</v>
      </c>
      <c r="K1291" s="29" t="str">
        <f>VLOOKUP(G1291,'insumos terrapl'!$C$3:$K$47,5,0)</f>
        <v>06</v>
      </c>
      <c r="L1291" s="29" t="str">
        <f>VLOOKUP(G1291,'insumos terrapl'!$C$3:$K$47,6,0)</f>
        <v>00</v>
      </c>
      <c r="M1291" s="29" t="str">
        <f>VLOOKUP(G1291,'insumos terrapl'!$C$3:$K$47,7,0)</f>
        <v>00</v>
      </c>
      <c r="N1291" s="29" t="str">
        <f>VLOOKUP(G1291,'insumos terrapl'!$C$3:$K$47,8,0)</f>
        <v>00</v>
      </c>
      <c r="O1291" s="97" t="str">
        <f>VLOOKUP(G1291,'insumos terrapl'!$C$3:$K$47,9,0)</f>
        <v>00</v>
      </c>
    </row>
    <row r="1292" spans="1:15" ht="30">
      <c r="A1292" s="134"/>
      <c r="B1292" s="137"/>
      <c r="C1292" s="125"/>
      <c r="D1292" s="115"/>
      <c r="E1292" s="115"/>
      <c r="F1292" s="11" t="s">
        <v>647</v>
      </c>
      <c r="G1292" s="20" t="s">
        <v>648</v>
      </c>
      <c r="H1292" s="29" t="str">
        <f>VLOOKUP(G1292,'insumos terrapl'!$C$3:$K$47,2,0)</f>
        <v>2N  58  06  00  00  00  00</v>
      </c>
      <c r="I1292" s="29" t="str">
        <f>VLOOKUP(G1292,'insumos terrapl'!$C$3:$K$47,3,0)</f>
        <v>2N</v>
      </c>
      <c r="J1292" s="29">
        <f>VLOOKUP(G1292,'insumos terrapl'!$C$3:$K$47,4,0)</f>
        <v>58</v>
      </c>
      <c r="K1292" s="29" t="str">
        <f>VLOOKUP(G1292,'insumos terrapl'!$C$3:$K$47,5,0)</f>
        <v>06</v>
      </c>
      <c r="L1292" s="29" t="str">
        <f>VLOOKUP(G1292,'insumos terrapl'!$C$3:$K$47,6,0)</f>
        <v>00</v>
      </c>
      <c r="M1292" s="29" t="str">
        <f>VLOOKUP(G1292,'insumos terrapl'!$C$3:$K$47,7,0)</f>
        <v>00</v>
      </c>
      <c r="N1292" s="29" t="str">
        <f>VLOOKUP(G1292,'insumos terrapl'!$C$3:$K$47,8,0)</f>
        <v>00</v>
      </c>
      <c r="O1292" s="97" t="str">
        <f>VLOOKUP(G1292,'insumos terrapl'!$C$3:$K$47,9,0)</f>
        <v>00</v>
      </c>
    </row>
    <row r="1293" spans="1:15">
      <c r="A1293" s="134"/>
      <c r="B1293" s="137"/>
      <c r="C1293" s="125"/>
      <c r="D1293" s="115"/>
      <c r="E1293" s="115"/>
      <c r="F1293" s="11" t="s">
        <v>621</v>
      </c>
      <c r="G1293" s="20" t="s">
        <v>622</v>
      </c>
      <c r="H1293" s="29" t="str">
        <f>VLOOKUP(G1293,'insumos terrapl'!$C$3:$K$47,2,0)</f>
        <v>2N  58  06  00  00  00  00</v>
      </c>
      <c r="I1293" s="29" t="str">
        <f>VLOOKUP(G1293,'insumos terrapl'!$C$3:$K$47,3,0)</f>
        <v>2N</v>
      </c>
      <c r="J1293" s="29">
        <f>VLOOKUP(G1293,'insumos terrapl'!$C$3:$K$47,4,0)</f>
        <v>58</v>
      </c>
      <c r="K1293" s="29" t="str">
        <f>VLOOKUP(G1293,'insumos terrapl'!$C$3:$K$47,5,0)</f>
        <v>06</v>
      </c>
      <c r="L1293" s="29" t="str">
        <f>VLOOKUP(G1293,'insumos terrapl'!$C$3:$K$47,6,0)</f>
        <v>00</v>
      </c>
      <c r="M1293" s="29" t="str">
        <f>VLOOKUP(G1293,'insumos terrapl'!$C$3:$K$47,7,0)</f>
        <v>00</v>
      </c>
      <c r="N1293" s="29" t="str">
        <f>VLOOKUP(G1293,'insumos terrapl'!$C$3:$K$47,8,0)</f>
        <v>00</v>
      </c>
      <c r="O1293" s="97" t="str">
        <f>VLOOKUP(G1293,'insumos terrapl'!$C$3:$K$47,9,0)</f>
        <v>00</v>
      </c>
    </row>
    <row r="1294" spans="1:15">
      <c r="A1294" s="134"/>
      <c r="B1294" s="137"/>
      <c r="C1294" s="132"/>
      <c r="D1294" s="116"/>
      <c r="E1294" s="115"/>
      <c r="F1294" s="10"/>
      <c r="G1294" s="20"/>
      <c r="H1294" s="29"/>
      <c r="I1294" s="29"/>
      <c r="J1294" s="29"/>
      <c r="K1294" s="29"/>
      <c r="L1294" s="29"/>
      <c r="M1294" s="29"/>
      <c r="N1294" s="29"/>
      <c r="O1294" s="97"/>
    </row>
    <row r="1295" spans="1:15">
      <c r="A1295" s="134"/>
      <c r="B1295" s="137"/>
      <c r="C1295" s="124" t="s">
        <v>244</v>
      </c>
      <c r="D1295" s="114" t="str">
        <f>$A$1095</f>
        <v>2.6.8</v>
      </c>
      <c r="E1295" s="114" t="s">
        <v>502</v>
      </c>
      <c r="F1295" s="12" t="s">
        <v>244</v>
      </c>
      <c r="G1295" s="19"/>
      <c r="H1295" s="28"/>
      <c r="I1295" s="28"/>
      <c r="J1295" s="28"/>
      <c r="K1295" s="28"/>
      <c r="L1295" s="28"/>
      <c r="M1295" s="28"/>
      <c r="N1295" s="28"/>
      <c r="O1295" s="99"/>
    </row>
    <row r="1296" spans="1:15" ht="30">
      <c r="A1296" s="134"/>
      <c r="B1296" s="137"/>
      <c r="C1296" s="125"/>
      <c r="D1296" s="115"/>
      <c r="E1296" s="115"/>
      <c r="F1296" s="11" t="s">
        <v>659</v>
      </c>
      <c r="G1296" s="20" t="s">
        <v>660</v>
      </c>
      <c r="H1296" s="29" t="str">
        <f>VLOOKUP(G1296,'insumos terrapl'!$C$3:$K$47,2,0)</f>
        <v>2Q  66  10  02  00  00  00</v>
      </c>
      <c r="I1296" s="29" t="str">
        <f>VLOOKUP(G1296,'insumos terrapl'!$C$3:$K$47,3,0)</f>
        <v>2Q</v>
      </c>
      <c r="J1296" s="29">
        <f>VLOOKUP(G1296,'insumos terrapl'!$C$3:$K$47,4,0)</f>
        <v>66</v>
      </c>
      <c r="K1296" s="29" t="str">
        <f>VLOOKUP(G1296,'insumos terrapl'!$C$3:$K$47,5,0)</f>
        <v>10</v>
      </c>
      <c r="L1296" s="29" t="str">
        <f>VLOOKUP(G1296,'insumos terrapl'!$C$3:$K$47,6,0)</f>
        <v>02</v>
      </c>
      <c r="M1296" s="29" t="str">
        <f>VLOOKUP(G1296,'insumos terrapl'!$C$3:$K$47,7,0)</f>
        <v>00</v>
      </c>
      <c r="N1296" s="29" t="str">
        <f>VLOOKUP(G1296,'insumos terrapl'!$C$3:$K$47,8,0)</f>
        <v>00</v>
      </c>
      <c r="O1296" s="97" t="str">
        <f>VLOOKUP(G1296,'insumos terrapl'!$C$3:$K$47,9,0)</f>
        <v>00</v>
      </c>
    </row>
    <row r="1297" spans="1:15" ht="30">
      <c r="A1297" s="134"/>
      <c r="B1297" s="137"/>
      <c r="C1297" s="125"/>
      <c r="D1297" s="115"/>
      <c r="E1297" s="115"/>
      <c r="F1297" s="11" t="s">
        <v>661</v>
      </c>
      <c r="G1297" s="20" t="s">
        <v>662</v>
      </c>
      <c r="H1297" s="29" t="str">
        <f>VLOOKUP(G1297,'insumos terrapl'!$C$3:$K$47,2,0)</f>
        <v>2Q  62  10  06  00  00  00</v>
      </c>
      <c r="I1297" s="29" t="str">
        <f>VLOOKUP(G1297,'insumos terrapl'!$C$3:$K$47,3,0)</f>
        <v>2Q</v>
      </c>
      <c r="J1297" s="29">
        <f>VLOOKUP(G1297,'insumos terrapl'!$C$3:$K$47,4,0)</f>
        <v>62</v>
      </c>
      <c r="K1297" s="29" t="str">
        <f>VLOOKUP(G1297,'insumos terrapl'!$C$3:$K$47,5,0)</f>
        <v>10</v>
      </c>
      <c r="L1297" s="29" t="str">
        <f>VLOOKUP(G1297,'insumos terrapl'!$C$3:$K$47,6,0)</f>
        <v>06</v>
      </c>
      <c r="M1297" s="29" t="str">
        <f>VLOOKUP(G1297,'insumos terrapl'!$C$3:$K$47,7,0)</f>
        <v>00</v>
      </c>
      <c r="N1297" s="29" t="str">
        <f>VLOOKUP(G1297,'insumos terrapl'!$C$3:$K$47,8,0)</f>
        <v>00</v>
      </c>
      <c r="O1297" s="97" t="str">
        <f>VLOOKUP(G1297,'insumos terrapl'!$C$3:$K$47,9,0)</f>
        <v>00</v>
      </c>
    </row>
    <row r="1298" spans="1:15" ht="30">
      <c r="A1298" s="134"/>
      <c r="B1298" s="137"/>
      <c r="C1298" s="125"/>
      <c r="D1298" s="115"/>
      <c r="E1298" s="115"/>
      <c r="F1298" s="11" t="s">
        <v>607</v>
      </c>
      <c r="G1298" s="20" t="s">
        <v>608</v>
      </c>
      <c r="H1298" s="29" t="str">
        <f>VLOOKUP(G1298,'insumos terrapl'!$C$3:$K$47,2,0)</f>
        <v>2Q  42  06  18  02  02  00</v>
      </c>
      <c r="I1298" s="29" t="str">
        <f>VLOOKUP(G1298,'insumos terrapl'!$C$3:$K$47,3,0)</f>
        <v>2Q</v>
      </c>
      <c r="J1298" s="29">
        <f>VLOOKUP(G1298,'insumos terrapl'!$C$3:$K$47,4,0)</f>
        <v>42</v>
      </c>
      <c r="K1298" s="29" t="str">
        <f>VLOOKUP(G1298,'insumos terrapl'!$C$3:$K$47,5,0)</f>
        <v>06</v>
      </c>
      <c r="L1298" s="29">
        <f>VLOOKUP(G1298,'insumos terrapl'!$C$3:$K$47,6,0)</f>
        <v>18</v>
      </c>
      <c r="M1298" s="29" t="str">
        <f>VLOOKUP(G1298,'insumos terrapl'!$C$3:$K$47,7,0)</f>
        <v>02</v>
      </c>
      <c r="N1298" s="29" t="str">
        <f>VLOOKUP(G1298,'insumos terrapl'!$C$3:$K$47,8,0)</f>
        <v>02</v>
      </c>
      <c r="O1298" s="97" t="str">
        <f>VLOOKUP(G1298,'insumos terrapl'!$C$3:$K$47,9,0)</f>
        <v>00</v>
      </c>
    </row>
    <row r="1299" spans="1:15" ht="45">
      <c r="A1299" s="134"/>
      <c r="B1299" s="137"/>
      <c r="C1299" s="125"/>
      <c r="D1299" s="115"/>
      <c r="E1299" s="115"/>
      <c r="F1299" s="11" t="s">
        <v>609</v>
      </c>
      <c r="G1299" s="20" t="s">
        <v>610</v>
      </c>
      <c r="H1299" s="29" t="str">
        <f>VLOOKUP(G1299,'insumos terrapl'!$C$3:$K$47,2,0)</f>
        <v>2Q  42  06  02  14  02  00</v>
      </c>
      <c r="I1299" s="29" t="str">
        <f>VLOOKUP(G1299,'insumos terrapl'!$C$3:$K$47,3,0)</f>
        <v>2Q</v>
      </c>
      <c r="J1299" s="29">
        <f>VLOOKUP(G1299,'insumos terrapl'!$C$3:$K$47,4,0)</f>
        <v>42</v>
      </c>
      <c r="K1299" s="29" t="str">
        <f>VLOOKUP(G1299,'insumos terrapl'!$C$3:$K$47,5,0)</f>
        <v>06</v>
      </c>
      <c r="L1299" s="29" t="str">
        <f>VLOOKUP(G1299,'insumos terrapl'!$C$3:$K$47,6,0)</f>
        <v>02</v>
      </c>
      <c r="M1299" s="29" t="str">
        <f>VLOOKUP(G1299,'insumos terrapl'!$C$3:$K$47,7,0)</f>
        <v>14</v>
      </c>
      <c r="N1299" s="29" t="str">
        <f>VLOOKUP(G1299,'insumos terrapl'!$C$3:$K$47,8,0)</f>
        <v>02</v>
      </c>
      <c r="O1299" s="97" t="str">
        <f>VLOOKUP(G1299,'insumos terrapl'!$C$3:$K$47,9,0)</f>
        <v>00</v>
      </c>
    </row>
    <row r="1300" spans="1:15">
      <c r="A1300" s="134"/>
      <c r="B1300" s="137"/>
      <c r="C1300" s="125"/>
      <c r="D1300" s="115"/>
      <c r="E1300" s="115"/>
      <c r="F1300" s="11" t="s">
        <v>633</v>
      </c>
      <c r="G1300" s="20" t="s">
        <v>634</v>
      </c>
      <c r="H1300" s="29" t="str">
        <f>VLOOKUP(G1300,'insumos terrapl'!$C$3:$K$47,2,0)</f>
        <v>2Q  58  10  10  02  06  00</v>
      </c>
      <c r="I1300" s="29" t="str">
        <f>VLOOKUP(G1300,'insumos terrapl'!$C$3:$K$47,3,0)</f>
        <v>2Q</v>
      </c>
      <c r="J1300" s="29">
        <f>VLOOKUP(G1300,'insumos terrapl'!$C$3:$K$47,4,0)</f>
        <v>58</v>
      </c>
      <c r="K1300" s="29" t="str">
        <f>VLOOKUP(G1300,'insumos terrapl'!$C$3:$K$47,5,0)</f>
        <v>10</v>
      </c>
      <c r="L1300" s="29" t="str">
        <f>VLOOKUP(G1300,'insumos terrapl'!$C$3:$K$47,6,0)</f>
        <v>10</v>
      </c>
      <c r="M1300" s="29" t="str">
        <f>VLOOKUP(G1300,'insumos terrapl'!$C$3:$K$47,7,0)</f>
        <v>02</v>
      </c>
      <c r="N1300" s="29" t="str">
        <f>VLOOKUP(G1300,'insumos terrapl'!$C$3:$K$47,8,0)</f>
        <v>06</v>
      </c>
      <c r="O1300" s="97" t="str">
        <f>VLOOKUP(G1300,'insumos terrapl'!$C$3:$K$47,9,0)</f>
        <v>00</v>
      </c>
    </row>
    <row r="1301" spans="1:15">
      <c r="A1301" s="134"/>
      <c r="B1301" s="137"/>
      <c r="C1301" s="125"/>
      <c r="D1301" s="115"/>
      <c r="E1301" s="115"/>
      <c r="F1301" s="11" t="s">
        <v>586</v>
      </c>
      <c r="G1301" s="20" t="s">
        <v>587</v>
      </c>
      <c r="H1301" s="29" t="str">
        <f>VLOOKUP(G1301,'insumos terrapl'!$C$3:$K$47,2,0)</f>
        <v>2Q  62  30  02  14  00  00</v>
      </c>
      <c r="I1301" s="29" t="str">
        <f>VLOOKUP(G1301,'insumos terrapl'!$C$3:$K$47,3,0)</f>
        <v>2Q</v>
      </c>
      <c r="J1301" s="29">
        <f>VLOOKUP(G1301,'insumos terrapl'!$C$3:$K$47,4,0)</f>
        <v>62</v>
      </c>
      <c r="K1301" s="29">
        <f>VLOOKUP(G1301,'insumos terrapl'!$C$3:$K$47,5,0)</f>
        <v>30</v>
      </c>
      <c r="L1301" s="29" t="str">
        <f>VLOOKUP(G1301,'insumos terrapl'!$C$3:$K$47,6,0)</f>
        <v>02</v>
      </c>
      <c r="M1301" s="29" t="str">
        <f>VLOOKUP(G1301,'insumos terrapl'!$C$3:$K$47,7,0)</f>
        <v>14</v>
      </c>
      <c r="N1301" s="29" t="str">
        <f>VLOOKUP(G1301,'insumos terrapl'!$C$3:$K$47,8,0)</f>
        <v>00</v>
      </c>
      <c r="O1301" s="97" t="str">
        <f>VLOOKUP(G1301,'insumos terrapl'!$C$3:$K$47,9,0)</f>
        <v>00</v>
      </c>
    </row>
    <row r="1302" spans="1:15">
      <c r="A1302" s="134"/>
      <c r="B1302" s="137"/>
      <c r="C1302" s="125"/>
      <c r="D1302" s="115"/>
      <c r="E1302" s="115"/>
      <c r="F1302" s="11" t="s">
        <v>613</v>
      </c>
      <c r="G1302" s="20" t="s">
        <v>614</v>
      </c>
      <c r="H1302" s="29" t="str">
        <f>VLOOKUP(G1302,'insumos terrapl'!$C$3:$K$47,2,0)</f>
        <v>2N  20  14  02  00  00  00</v>
      </c>
      <c r="I1302" s="29" t="str">
        <f>VLOOKUP(G1302,'insumos terrapl'!$C$3:$K$47,3,0)</f>
        <v>2N</v>
      </c>
      <c r="J1302" s="29">
        <f>VLOOKUP(G1302,'insumos terrapl'!$C$3:$K$47,4,0)</f>
        <v>20</v>
      </c>
      <c r="K1302" s="29" t="str">
        <f>VLOOKUP(G1302,'insumos terrapl'!$C$3:$K$47,5,0)</f>
        <v>14</v>
      </c>
      <c r="L1302" s="29" t="str">
        <f>VLOOKUP(G1302,'insumos terrapl'!$C$3:$K$47,6,0)</f>
        <v>02</v>
      </c>
      <c r="M1302" s="29" t="str">
        <f>VLOOKUP(G1302,'insumos terrapl'!$C$3:$K$47,7,0)</f>
        <v>00</v>
      </c>
      <c r="N1302" s="29" t="str">
        <f>VLOOKUP(G1302,'insumos terrapl'!$C$3:$K$47,8,0)</f>
        <v>00</v>
      </c>
      <c r="O1302" s="97" t="str">
        <f>VLOOKUP(G1302,'insumos terrapl'!$C$3:$K$47,9,0)</f>
        <v>00</v>
      </c>
    </row>
    <row r="1303" spans="1:15">
      <c r="A1303" s="134"/>
      <c r="B1303" s="137"/>
      <c r="C1303" s="125"/>
      <c r="D1303" s="115"/>
      <c r="E1303" s="115"/>
      <c r="F1303" s="11" t="s">
        <v>615</v>
      </c>
      <c r="G1303" s="20" t="s">
        <v>616</v>
      </c>
      <c r="H1303" s="29" t="str">
        <f>VLOOKUP(G1303,'insumos terrapl'!$C$3:$K$47,2,0)</f>
        <v>2N  20  14  02  00  00  00</v>
      </c>
      <c r="I1303" s="29" t="str">
        <f>VLOOKUP(G1303,'insumos terrapl'!$C$3:$K$47,3,0)</f>
        <v>2N</v>
      </c>
      <c r="J1303" s="29">
        <f>VLOOKUP(G1303,'insumos terrapl'!$C$3:$K$47,4,0)</f>
        <v>20</v>
      </c>
      <c r="K1303" s="29" t="str">
        <f>VLOOKUP(G1303,'insumos terrapl'!$C$3:$K$47,5,0)</f>
        <v>14</v>
      </c>
      <c r="L1303" s="29" t="str">
        <f>VLOOKUP(G1303,'insumos terrapl'!$C$3:$K$47,6,0)</f>
        <v>02</v>
      </c>
      <c r="M1303" s="29" t="str">
        <f>VLOOKUP(G1303,'insumos terrapl'!$C$3:$K$47,7,0)</f>
        <v>00</v>
      </c>
      <c r="N1303" s="29" t="str">
        <f>VLOOKUP(G1303,'insumos terrapl'!$C$3:$K$47,8,0)</f>
        <v>00</v>
      </c>
      <c r="O1303" s="97" t="str">
        <f>VLOOKUP(G1303,'insumos terrapl'!$C$3:$K$47,9,0)</f>
        <v>00</v>
      </c>
    </row>
    <row r="1304" spans="1:15" ht="30">
      <c r="A1304" s="134"/>
      <c r="B1304" s="137"/>
      <c r="C1304" s="125"/>
      <c r="D1304" s="115"/>
      <c r="E1304" s="115"/>
      <c r="F1304" s="11" t="s">
        <v>635</v>
      </c>
      <c r="G1304" s="20" t="s">
        <v>636</v>
      </c>
      <c r="H1304" s="29" t="str">
        <f>VLOOKUP(G1304,'insumos terrapl'!$C$3:$K$47,2,0)</f>
        <v>2N  58  06  00  00  00  00</v>
      </c>
      <c r="I1304" s="29" t="str">
        <f>VLOOKUP(G1304,'insumos terrapl'!$C$3:$K$47,3,0)</f>
        <v>2N</v>
      </c>
      <c r="J1304" s="29">
        <f>VLOOKUP(G1304,'insumos terrapl'!$C$3:$K$47,4,0)</f>
        <v>58</v>
      </c>
      <c r="K1304" s="29" t="str">
        <f>VLOOKUP(G1304,'insumos terrapl'!$C$3:$K$47,5,0)</f>
        <v>06</v>
      </c>
      <c r="L1304" s="29" t="str">
        <f>VLOOKUP(G1304,'insumos terrapl'!$C$3:$K$47,6,0)</f>
        <v>00</v>
      </c>
      <c r="M1304" s="29" t="str">
        <f>VLOOKUP(G1304,'insumos terrapl'!$C$3:$K$47,7,0)</f>
        <v>00</v>
      </c>
      <c r="N1304" s="29" t="str">
        <f>VLOOKUP(G1304,'insumos terrapl'!$C$3:$K$47,8,0)</f>
        <v>00</v>
      </c>
      <c r="O1304" s="97" t="str">
        <f>VLOOKUP(G1304,'insumos terrapl'!$C$3:$K$47,9,0)</f>
        <v>00</v>
      </c>
    </row>
    <row r="1305" spans="1:15">
      <c r="A1305" s="134"/>
      <c r="B1305" s="137"/>
      <c r="C1305" s="125"/>
      <c r="D1305" s="115"/>
      <c r="E1305" s="115"/>
      <c r="F1305" s="11" t="s">
        <v>617</v>
      </c>
      <c r="G1305" s="20" t="s">
        <v>618</v>
      </c>
      <c r="H1305" s="29" t="str">
        <f>VLOOKUP(G1305,'insumos terrapl'!$C$3:$K$47,2,0)</f>
        <v>2Q  58  06  02  28  00  00</v>
      </c>
      <c r="I1305" s="29" t="str">
        <f>VLOOKUP(G1305,'insumos terrapl'!$C$3:$K$47,3,0)</f>
        <v>2Q</v>
      </c>
      <c r="J1305" s="29">
        <f>VLOOKUP(G1305,'insumos terrapl'!$C$3:$K$47,4,0)</f>
        <v>58</v>
      </c>
      <c r="K1305" s="29" t="str">
        <f>VLOOKUP(G1305,'insumos terrapl'!$C$3:$K$47,5,0)</f>
        <v>06</v>
      </c>
      <c r="L1305" s="29" t="str">
        <f>VLOOKUP(G1305,'insumos terrapl'!$C$3:$K$47,6,0)</f>
        <v>02</v>
      </c>
      <c r="M1305" s="29" t="str">
        <f>VLOOKUP(G1305,'insumos terrapl'!$C$3:$K$47,7,0)</f>
        <v>28</v>
      </c>
      <c r="N1305" s="29" t="str">
        <f>VLOOKUP(G1305,'insumos terrapl'!$C$3:$K$47,8,0)</f>
        <v>00</v>
      </c>
      <c r="O1305" s="97" t="str">
        <f>VLOOKUP(G1305,'insumos terrapl'!$C$3:$K$47,9,0)</f>
        <v>00</v>
      </c>
    </row>
    <row r="1306" spans="1:15" ht="30">
      <c r="A1306" s="134"/>
      <c r="B1306" s="137"/>
      <c r="C1306" s="125"/>
      <c r="D1306" s="115"/>
      <c r="E1306" s="115"/>
      <c r="F1306" s="11" t="s">
        <v>637</v>
      </c>
      <c r="G1306" s="20" t="s">
        <v>638</v>
      </c>
      <c r="H1306" s="29" t="str">
        <f>VLOOKUP(G1306,'insumos terrapl'!$C$3:$K$47,2,0)</f>
        <v>2N  58  06  00  00  00  00</v>
      </c>
      <c r="I1306" s="29" t="str">
        <f>VLOOKUP(G1306,'insumos terrapl'!$C$3:$K$47,3,0)</f>
        <v>2N</v>
      </c>
      <c r="J1306" s="29">
        <f>VLOOKUP(G1306,'insumos terrapl'!$C$3:$K$47,4,0)</f>
        <v>58</v>
      </c>
      <c r="K1306" s="29" t="str">
        <f>VLOOKUP(G1306,'insumos terrapl'!$C$3:$K$47,5,0)</f>
        <v>06</v>
      </c>
      <c r="L1306" s="29" t="str">
        <f>VLOOKUP(G1306,'insumos terrapl'!$C$3:$K$47,6,0)</f>
        <v>00</v>
      </c>
      <c r="M1306" s="29" t="str">
        <f>VLOOKUP(G1306,'insumos terrapl'!$C$3:$K$47,7,0)</f>
        <v>00</v>
      </c>
      <c r="N1306" s="29" t="str">
        <f>VLOOKUP(G1306,'insumos terrapl'!$C$3:$K$47,8,0)</f>
        <v>00</v>
      </c>
      <c r="O1306" s="97" t="str">
        <f>VLOOKUP(G1306,'insumos terrapl'!$C$3:$K$47,9,0)</f>
        <v>00</v>
      </c>
    </row>
    <row r="1307" spans="1:15" ht="30">
      <c r="A1307" s="134"/>
      <c r="B1307" s="137"/>
      <c r="C1307" s="125"/>
      <c r="D1307" s="115"/>
      <c r="E1307" s="115"/>
      <c r="F1307" s="11" t="s">
        <v>639</v>
      </c>
      <c r="G1307" s="20" t="s">
        <v>640</v>
      </c>
      <c r="H1307" s="29" t="str">
        <f>VLOOKUP(G1307,'insumos terrapl'!$C$3:$K$47,2,0)</f>
        <v>2N  58  06  00  00  00  00</v>
      </c>
      <c r="I1307" s="29" t="str">
        <f>VLOOKUP(G1307,'insumos terrapl'!$C$3:$K$47,3,0)</f>
        <v>2N</v>
      </c>
      <c r="J1307" s="29">
        <f>VLOOKUP(G1307,'insumos terrapl'!$C$3:$K$47,4,0)</f>
        <v>58</v>
      </c>
      <c r="K1307" s="29" t="str">
        <f>VLOOKUP(G1307,'insumos terrapl'!$C$3:$K$47,5,0)</f>
        <v>06</v>
      </c>
      <c r="L1307" s="29" t="str">
        <f>VLOOKUP(G1307,'insumos terrapl'!$C$3:$K$47,6,0)</f>
        <v>00</v>
      </c>
      <c r="M1307" s="29" t="str">
        <f>VLOOKUP(G1307,'insumos terrapl'!$C$3:$K$47,7,0)</f>
        <v>00</v>
      </c>
      <c r="N1307" s="29" t="str">
        <f>VLOOKUP(G1307,'insumos terrapl'!$C$3:$K$47,8,0)</f>
        <v>00</v>
      </c>
      <c r="O1307" s="97" t="str">
        <f>VLOOKUP(G1307,'insumos terrapl'!$C$3:$K$47,9,0)</f>
        <v>00</v>
      </c>
    </row>
    <row r="1308" spans="1:15">
      <c r="A1308" s="134"/>
      <c r="B1308" s="137"/>
      <c r="C1308" s="125"/>
      <c r="D1308" s="115"/>
      <c r="E1308" s="115"/>
      <c r="F1308" s="11" t="s">
        <v>641</v>
      </c>
      <c r="G1308" s="20" t="s">
        <v>642</v>
      </c>
      <c r="H1308" s="29" t="str">
        <f>VLOOKUP(G1308,'insumos terrapl'!$C$3:$K$47,2,0)</f>
        <v>2N  58  06  00  00  00  00</v>
      </c>
      <c r="I1308" s="29" t="str">
        <f>VLOOKUP(G1308,'insumos terrapl'!$C$3:$K$47,3,0)</f>
        <v>2N</v>
      </c>
      <c r="J1308" s="29">
        <f>VLOOKUP(G1308,'insumos terrapl'!$C$3:$K$47,4,0)</f>
        <v>58</v>
      </c>
      <c r="K1308" s="29" t="str">
        <f>VLOOKUP(G1308,'insumos terrapl'!$C$3:$K$47,5,0)</f>
        <v>06</v>
      </c>
      <c r="L1308" s="29" t="str">
        <f>VLOOKUP(G1308,'insumos terrapl'!$C$3:$K$47,6,0)</f>
        <v>00</v>
      </c>
      <c r="M1308" s="29" t="str">
        <f>VLOOKUP(G1308,'insumos terrapl'!$C$3:$K$47,7,0)</f>
        <v>00</v>
      </c>
      <c r="N1308" s="29" t="str">
        <f>VLOOKUP(G1308,'insumos terrapl'!$C$3:$K$47,8,0)</f>
        <v>00</v>
      </c>
      <c r="O1308" s="97" t="str">
        <f>VLOOKUP(G1308,'insumos terrapl'!$C$3:$K$47,9,0)</f>
        <v>00</v>
      </c>
    </row>
    <row r="1309" spans="1:15">
      <c r="A1309" s="134"/>
      <c r="B1309" s="137"/>
      <c r="C1309" s="125"/>
      <c r="D1309" s="115"/>
      <c r="E1309" s="115"/>
      <c r="F1309" s="11" t="s">
        <v>619</v>
      </c>
      <c r="G1309" s="20" t="s">
        <v>620</v>
      </c>
      <c r="H1309" s="29"/>
      <c r="I1309" s="29"/>
      <c r="J1309" s="29"/>
      <c r="K1309" s="29"/>
      <c r="L1309" s="29"/>
      <c r="M1309" s="29"/>
      <c r="N1309" s="29"/>
      <c r="O1309" s="97"/>
    </row>
    <row r="1310" spans="1:15">
      <c r="A1310" s="134"/>
      <c r="B1310" s="137"/>
      <c r="C1310" s="125"/>
      <c r="D1310" s="115"/>
      <c r="E1310" s="115"/>
      <c r="F1310" s="11" t="s">
        <v>643</v>
      </c>
      <c r="G1310" s="20" t="s">
        <v>644</v>
      </c>
      <c r="H1310" s="29" t="str">
        <f>VLOOKUP(G1310,'insumos terrapl'!$C$3:$K$47,2,0)</f>
        <v>2N  58  06  00  00  00  00</v>
      </c>
      <c r="I1310" s="29" t="str">
        <f>VLOOKUP(G1310,'insumos terrapl'!$C$3:$K$47,3,0)</f>
        <v>2N</v>
      </c>
      <c r="J1310" s="29">
        <f>VLOOKUP(G1310,'insumos terrapl'!$C$3:$K$47,4,0)</f>
        <v>58</v>
      </c>
      <c r="K1310" s="29" t="str">
        <f>VLOOKUP(G1310,'insumos terrapl'!$C$3:$K$47,5,0)</f>
        <v>06</v>
      </c>
      <c r="L1310" s="29" t="str">
        <f>VLOOKUP(G1310,'insumos terrapl'!$C$3:$K$47,6,0)</f>
        <v>00</v>
      </c>
      <c r="M1310" s="29" t="str">
        <f>VLOOKUP(G1310,'insumos terrapl'!$C$3:$K$47,7,0)</f>
        <v>00</v>
      </c>
      <c r="N1310" s="29" t="str">
        <f>VLOOKUP(G1310,'insumos terrapl'!$C$3:$K$47,8,0)</f>
        <v>00</v>
      </c>
      <c r="O1310" s="97" t="str">
        <f>VLOOKUP(G1310,'insumos terrapl'!$C$3:$K$47,9,0)</f>
        <v>00</v>
      </c>
    </row>
    <row r="1311" spans="1:15">
      <c r="A1311" s="134"/>
      <c r="B1311" s="137"/>
      <c r="C1311" s="125"/>
      <c r="D1311" s="115"/>
      <c r="E1311" s="115"/>
      <c r="F1311" s="11" t="s">
        <v>645</v>
      </c>
      <c r="G1311" s="20" t="s">
        <v>646</v>
      </c>
      <c r="H1311" s="29" t="str">
        <f>VLOOKUP(G1311,'insumos terrapl'!$C$3:$K$47,2,0)</f>
        <v>2N  58  06  00  00  00  00</v>
      </c>
      <c r="I1311" s="29" t="str">
        <f>VLOOKUP(G1311,'insumos terrapl'!$C$3:$K$47,3,0)</f>
        <v>2N</v>
      </c>
      <c r="J1311" s="29">
        <f>VLOOKUP(G1311,'insumos terrapl'!$C$3:$K$47,4,0)</f>
        <v>58</v>
      </c>
      <c r="K1311" s="29" t="str">
        <f>VLOOKUP(G1311,'insumos terrapl'!$C$3:$K$47,5,0)</f>
        <v>06</v>
      </c>
      <c r="L1311" s="29" t="str">
        <f>VLOOKUP(G1311,'insumos terrapl'!$C$3:$K$47,6,0)</f>
        <v>00</v>
      </c>
      <c r="M1311" s="29" t="str">
        <f>VLOOKUP(G1311,'insumos terrapl'!$C$3:$K$47,7,0)</f>
        <v>00</v>
      </c>
      <c r="N1311" s="29" t="str">
        <f>VLOOKUP(G1311,'insumos terrapl'!$C$3:$K$47,8,0)</f>
        <v>00</v>
      </c>
      <c r="O1311" s="97" t="str">
        <f>VLOOKUP(G1311,'insumos terrapl'!$C$3:$K$47,9,0)</f>
        <v>00</v>
      </c>
    </row>
    <row r="1312" spans="1:15" ht="30">
      <c r="A1312" s="134"/>
      <c r="B1312" s="137"/>
      <c r="C1312" s="125"/>
      <c r="D1312" s="115"/>
      <c r="E1312" s="115"/>
      <c r="F1312" s="11" t="s">
        <v>647</v>
      </c>
      <c r="G1312" s="20" t="s">
        <v>648</v>
      </c>
      <c r="H1312" s="29" t="str">
        <f>VLOOKUP(G1312,'insumos terrapl'!$C$3:$K$47,2,0)</f>
        <v>2N  58  06  00  00  00  00</v>
      </c>
      <c r="I1312" s="29" t="str">
        <f>VLOOKUP(G1312,'insumos terrapl'!$C$3:$K$47,3,0)</f>
        <v>2N</v>
      </c>
      <c r="J1312" s="29">
        <f>VLOOKUP(G1312,'insumos terrapl'!$C$3:$K$47,4,0)</f>
        <v>58</v>
      </c>
      <c r="K1312" s="29" t="str">
        <f>VLOOKUP(G1312,'insumos terrapl'!$C$3:$K$47,5,0)</f>
        <v>06</v>
      </c>
      <c r="L1312" s="29" t="str">
        <f>VLOOKUP(G1312,'insumos terrapl'!$C$3:$K$47,6,0)</f>
        <v>00</v>
      </c>
      <c r="M1312" s="29" t="str">
        <f>VLOOKUP(G1312,'insumos terrapl'!$C$3:$K$47,7,0)</f>
        <v>00</v>
      </c>
      <c r="N1312" s="29" t="str">
        <f>VLOOKUP(G1312,'insumos terrapl'!$C$3:$K$47,8,0)</f>
        <v>00</v>
      </c>
      <c r="O1312" s="97" t="str">
        <f>VLOOKUP(G1312,'insumos terrapl'!$C$3:$K$47,9,0)</f>
        <v>00</v>
      </c>
    </row>
    <row r="1313" spans="1:15">
      <c r="A1313" s="134"/>
      <c r="B1313" s="137"/>
      <c r="C1313" s="125"/>
      <c r="D1313" s="115"/>
      <c r="E1313" s="115"/>
      <c r="F1313" s="11" t="s">
        <v>621</v>
      </c>
      <c r="G1313" s="20" t="s">
        <v>622</v>
      </c>
      <c r="H1313" s="29" t="str">
        <f>VLOOKUP(G1313,'insumos terrapl'!$C$3:$K$47,2,0)</f>
        <v>2N  58  06  00  00  00  00</v>
      </c>
      <c r="I1313" s="29" t="str">
        <f>VLOOKUP(G1313,'insumos terrapl'!$C$3:$K$47,3,0)</f>
        <v>2N</v>
      </c>
      <c r="J1313" s="29">
        <f>VLOOKUP(G1313,'insumos terrapl'!$C$3:$K$47,4,0)</f>
        <v>58</v>
      </c>
      <c r="K1313" s="29" t="str">
        <f>VLOOKUP(G1313,'insumos terrapl'!$C$3:$K$47,5,0)</f>
        <v>06</v>
      </c>
      <c r="L1313" s="29" t="str">
        <f>VLOOKUP(G1313,'insumos terrapl'!$C$3:$K$47,6,0)</f>
        <v>00</v>
      </c>
      <c r="M1313" s="29" t="str">
        <f>VLOOKUP(G1313,'insumos terrapl'!$C$3:$K$47,7,0)</f>
        <v>00</v>
      </c>
      <c r="N1313" s="29" t="str">
        <f>VLOOKUP(G1313,'insumos terrapl'!$C$3:$K$47,8,0)</f>
        <v>00</v>
      </c>
      <c r="O1313" s="97" t="str">
        <f>VLOOKUP(G1313,'insumos terrapl'!$C$3:$K$47,9,0)</f>
        <v>00</v>
      </c>
    </row>
    <row r="1314" spans="1:15">
      <c r="A1314" s="134"/>
      <c r="B1314" s="137"/>
      <c r="C1314" s="132"/>
      <c r="D1314" s="116"/>
      <c r="E1314" s="116"/>
      <c r="F1314" s="13"/>
      <c r="G1314" s="21"/>
      <c r="H1314" s="31"/>
      <c r="I1314" s="31"/>
      <c r="J1314" s="31"/>
      <c r="K1314" s="31"/>
      <c r="L1314" s="31"/>
      <c r="M1314" s="31"/>
      <c r="N1314" s="31"/>
      <c r="O1314" s="98"/>
    </row>
    <row r="1315" spans="1:15">
      <c r="A1315" s="134"/>
      <c r="B1315" s="137"/>
      <c r="C1315" s="124" t="s">
        <v>245</v>
      </c>
      <c r="D1315" s="114" t="str">
        <f>$A$1095</f>
        <v>2.6.8</v>
      </c>
      <c r="E1315" s="114" t="s">
        <v>503</v>
      </c>
      <c r="F1315" s="12" t="s">
        <v>245</v>
      </c>
      <c r="G1315" s="19"/>
      <c r="H1315" s="28"/>
      <c r="I1315" s="28"/>
      <c r="J1315" s="28"/>
      <c r="K1315" s="28"/>
      <c r="L1315" s="28"/>
      <c r="M1315" s="28"/>
      <c r="N1315" s="28"/>
      <c r="O1315" s="99"/>
    </row>
    <row r="1316" spans="1:15" ht="30">
      <c r="A1316" s="134"/>
      <c r="B1316" s="137"/>
      <c r="C1316" s="125"/>
      <c r="D1316" s="115"/>
      <c r="E1316" s="115"/>
      <c r="F1316" s="11" t="s">
        <v>659</v>
      </c>
      <c r="G1316" s="20" t="s">
        <v>660</v>
      </c>
      <c r="H1316" s="29" t="str">
        <f>VLOOKUP(G1316,'insumos terrapl'!$C$3:$K$47,2,0)</f>
        <v>2Q  66  10  02  00  00  00</v>
      </c>
      <c r="I1316" s="29" t="str">
        <f>VLOOKUP(G1316,'insumos terrapl'!$C$3:$K$47,3,0)</f>
        <v>2Q</v>
      </c>
      <c r="J1316" s="29">
        <f>VLOOKUP(G1316,'insumos terrapl'!$C$3:$K$47,4,0)</f>
        <v>66</v>
      </c>
      <c r="K1316" s="29" t="str">
        <f>VLOOKUP(G1316,'insumos terrapl'!$C$3:$K$47,5,0)</f>
        <v>10</v>
      </c>
      <c r="L1316" s="29" t="str">
        <f>VLOOKUP(G1316,'insumos terrapl'!$C$3:$K$47,6,0)</f>
        <v>02</v>
      </c>
      <c r="M1316" s="29" t="str">
        <f>VLOOKUP(G1316,'insumos terrapl'!$C$3:$K$47,7,0)</f>
        <v>00</v>
      </c>
      <c r="N1316" s="29" t="str">
        <f>VLOOKUP(G1316,'insumos terrapl'!$C$3:$K$47,8,0)</f>
        <v>00</v>
      </c>
      <c r="O1316" s="97" t="str">
        <f>VLOOKUP(G1316,'insumos terrapl'!$C$3:$K$47,9,0)</f>
        <v>00</v>
      </c>
    </row>
    <row r="1317" spans="1:15" ht="30">
      <c r="A1317" s="134"/>
      <c r="B1317" s="137"/>
      <c r="C1317" s="125"/>
      <c r="D1317" s="115"/>
      <c r="E1317" s="115"/>
      <c r="F1317" s="11" t="s">
        <v>661</v>
      </c>
      <c r="G1317" s="20" t="s">
        <v>662</v>
      </c>
      <c r="H1317" s="29" t="str">
        <f>VLOOKUP(G1317,'insumos terrapl'!$C$3:$K$47,2,0)</f>
        <v>2Q  62  10  06  00  00  00</v>
      </c>
      <c r="I1317" s="29" t="str">
        <f>VLOOKUP(G1317,'insumos terrapl'!$C$3:$K$47,3,0)</f>
        <v>2Q</v>
      </c>
      <c r="J1317" s="29">
        <f>VLOOKUP(G1317,'insumos terrapl'!$C$3:$K$47,4,0)</f>
        <v>62</v>
      </c>
      <c r="K1317" s="29" t="str">
        <f>VLOOKUP(G1317,'insumos terrapl'!$C$3:$K$47,5,0)</f>
        <v>10</v>
      </c>
      <c r="L1317" s="29" t="str">
        <f>VLOOKUP(G1317,'insumos terrapl'!$C$3:$K$47,6,0)</f>
        <v>06</v>
      </c>
      <c r="M1317" s="29" t="str">
        <f>VLOOKUP(G1317,'insumos terrapl'!$C$3:$K$47,7,0)</f>
        <v>00</v>
      </c>
      <c r="N1317" s="29" t="str">
        <f>VLOOKUP(G1317,'insumos terrapl'!$C$3:$K$47,8,0)</f>
        <v>00</v>
      </c>
      <c r="O1317" s="97" t="str">
        <f>VLOOKUP(G1317,'insumos terrapl'!$C$3:$K$47,9,0)</f>
        <v>00</v>
      </c>
    </row>
    <row r="1318" spans="1:15" ht="30">
      <c r="A1318" s="134"/>
      <c r="B1318" s="137"/>
      <c r="C1318" s="125"/>
      <c r="D1318" s="115"/>
      <c r="E1318" s="115"/>
      <c r="F1318" s="11" t="s">
        <v>607</v>
      </c>
      <c r="G1318" s="20" t="s">
        <v>608</v>
      </c>
      <c r="H1318" s="29" t="str">
        <f>VLOOKUP(G1318,'insumos terrapl'!$C$3:$K$47,2,0)</f>
        <v>2Q  42  06  18  02  02  00</v>
      </c>
      <c r="I1318" s="29" t="str">
        <f>VLOOKUP(G1318,'insumos terrapl'!$C$3:$K$47,3,0)</f>
        <v>2Q</v>
      </c>
      <c r="J1318" s="29">
        <f>VLOOKUP(G1318,'insumos terrapl'!$C$3:$K$47,4,0)</f>
        <v>42</v>
      </c>
      <c r="K1318" s="29" t="str">
        <f>VLOOKUP(G1318,'insumos terrapl'!$C$3:$K$47,5,0)</f>
        <v>06</v>
      </c>
      <c r="L1318" s="29">
        <f>VLOOKUP(G1318,'insumos terrapl'!$C$3:$K$47,6,0)</f>
        <v>18</v>
      </c>
      <c r="M1318" s="29" t="str">
        <f>VLOOKUP(G1318,'insumos terrapl'!$C$3:$K$47,7,0)</f>
        <v>02</v>
      </c>
      <c r="N1318" s="29" t="str">
        <f>VLOOKUP(G1318,'insumos terrapl'!$C$3:$K$47,8,0)</f>
        <v>02</v>
      </c>
      <c r="O1318" s="97" t="str">
        <f>VLOOKUP(G1318,'insumos terrapl'!$C$3:$K$47,9,0)</f>
        <v>00</v>
      </c>
    </row>
    <row r="1319" spans="1:15" ht="45">
      <c r="A1319" s="134"/>
      <c r="B1319" s="137"/>
      <c r="C1319" s="125"/>
      <c r="D1319" s="115"/>
      <c r="E1319" s="115"/>
      <c r="F1319" s="11" t="s">
        <v>609</v>
      </c>
      <c r="G1319" s="20" t="s">
        <v>610</v>
      </c>
      <c r="H1319" s="29" t="str">
        <f>VLOOKUP(G1319,'insumos terrapl'!$C$3:$K$47,2,0)</f>
        <v>2Q  42  06  02  14  02  00</v>
      </c>
      <c r="I1319" s="29" t="str">
        <f>VLOOKUP(G1319,'insumos terrapl'!$C$3:$K$47,3,0)</f>
        <v>2Q</v>
      </c>
      <c r="J1319" s="29">
        <f>VLOOKUP(G1319,'insumos terrapl'!$C$3:$K$47,4,0)</f>
        <v>42</v>
      </c>
      <c r="K1319" s="29" t="str">
        <f>VLOOKUP(G1319,'insumos terrapl'!$C$3:$K$47,5,0)</f>
        <v>06</v>
      </c>
      <c r="L1319" s="29" t="str">
        <f>VLOOKUP(G1319,'insumos terrapl'!$C$3:$K$47,6,0)</f>
        <v>02</v>
      </c>
      <c r="M1319" s="29" t="str">
        <f>VLOOKUP(G1319,'insumos terrapl'!$C$3:$K$47,7,0)</f>
        <v>14</v>
      </c>
      <c r="N1319" s="29" t="str">
        <f>VLOOKUP(G1319,'insumos terrapl'!$C$3:$K$47,8,0)</f>
        <v>02</v>
      </c>
      <c r="O1319" s="97" t="str">
        <f>VLOOKUP(G1319,'insumos terrapl'!$C$3:$K$47,9,0)</f>
        <v>00</v>
      </c>
    </row>
    <row r="1320" spans="1:15">
      <c r="A1320" s="134"/>
      <c r="B1320" s="137"/>
      <c r="C1320" s="125"/>
      <c r="D1320" s="115"/>
      <c r="E1320" s="115"/>
      <c r="F1320" s="11" t="s">
        <v>633</v>
      </c>
      <c r="G1320" s="20" t="s">
        <v>634</v>
      </c>
      <c r="H1320" s="29" t="str">
        <f>VLOOKUP(G1320,'insumos terrapl'!$C$3:$K$47,2,0)</f>
        <v>2Q  58  10  10  02  06  00</v>
      </c>
      <c r="I1320" s="29" t="str">
        <f>VLOOKUP(G1320,'insumos terrapl'!$C$3:$K$47,3,0)</f>
        <v>2Q</v>
      </c>
      <c r="J1320" s="29">
        <f>VLOOKUP(G1320,'insumos terrapl'!$C$3:$K$47,4,0)</f>
        <v>58</v>
      </c>
      <c r="K1320" s="29" t="str">
        <f>VLOOKUP(G1320,'insumos terrapl'!$C$3:$K$47,5,0)</f>
        <v>10</v>
      </c>
      <c r="L1320" s="29" t="str">
        <f>VLOOKUP(G1320,'insumos terrapl'!$C$3:$K$47,6,0)</f>
        <v>10</v>
      </c>
      <c r="M1320" s="29" t="str">
        <f>VLOOKUP(G1320,'insumos terrapl'!$C$3:$K$47,7,0)</f>
        <v>02</v>
      </c>
      <c r="N1320" s="29" t="str">
        <f>VLOOKUP(G1320,'insumos terrapl'!$C$3:$K$47,8,0)</f>
        <v>06</v>
      </c>
      <c r="O1320" s="97" t="str">
        <f>VLOOKUP(G1320,'insumos terrapl'!$C$3:$K$47,9,0)</f>
        <v>00</v>
      </c>
    </row>
    <row r="1321" spans="1:15">
      <c r="A1321" s="134"/>
      <c r="B1321" s="137"/>
      <c r="C1321" s="125"/>
      <c r="D1321" s="115"/>
      <c r="E1321" s="115"/>
      <c r="F1321" s="11" t="s">
        <v>586</v>
      </c>
      <c r="G1321" s="20" t="s">
        <v>587</v>
      </c>
      <c r="H1321" s="29" t="str">
        <f>VLOOKUP(G1321,'insumos terrapl'!$C$3:$K$47,2,0)</f>
        <v>2Q  62  30  02  14  00  00</v>
      </c>
      <c r="I1321" s="29" t="str">
        <f>VLOOKUP(G1321,'insumos terrapl'!$C$3:$K$47,3,0)</f>
        <v>2Q</v>
      </c>
      <c r="J1321" s="29">
        <f>VLOOKUP(G1321,'insumos terrapl'!$C$3:$K$47,4,0)</f>
        <v>62</v>
      </c>
      <c r="K1321" s="29">
        <f>VLOOKUP(G1321,'insumos terrapl'!$C$3:$K$47,5,0)</f>
        <v>30</v>
      </c>
      <c r="L1321" s="29" t="str">
        <f>VLOOKUP(G1321,'insumos terrapl'!$C$3:$K$47,6,0)</f>
        <v>02</v>
      </c>
      <c r="M1321" s="29" t="str">
        <f>VLOOKUP(G1321,'insumos terrapl'!$C$3:$K$47,7,0)</f>
        <v>14</v>
      </c>
      <c r="N1321" s="29" t="str">
        <f>VLOOKUP(G1321,'insumos terrapl'!$C$3:$K$47,8,0)</f>
        <v>00</v>
      </c>
      <c r="O1321" s="97" t="str">
        <f>VLOOKUP(G1321,'insumos terrapl'!$C$3:$K$47,9,0)</f>
        <v>00</v>
      </c>
    </row>
    <row r="1322" spans="1:15">
      <c r="A1322" s="134"/>
      <c r="B1322" s="137"/>
      <c r="C1322" s="125"/>
      <c r="D1322" s="115"/>
      <c r="E1322" s="115"/>
      <c r="F1322" s="11" t="s">
        <v>613</v>
      </c>
      <c r="G1322" s="20" t="s">
        <v>614</v>
      </c>
      <c r="H1322" s="29" t="str">
        <f>VLOOKUP(G1322,'insumos terrapl'!$C$3:$K$47,2,0)</f>
        <v>2N  20  14  02  00  00  00</v>
      </c>
      <c r="I1322" s="29" t="str">
        <f>VLOOKUP(G1322,'insumos terrapl'!$C$3:$K$47,3,0)</f>
        <v>2N</v>
      </c>
      <c r="J1322" s="29">
        <f>VLOOKUP(G1322,'insumos terrapl'!$C$3:$K$47,4,0)</f>
        <v>20</v>
      </c>
      <c r="K1322" s="29" t="str">
        <f>VLOOKUP(G1322,'insumos terrapl'!$C$3:$K$47,5,0)</f>
        <v>14</v>
      </c>
      <c r="L1322" s="29" t="str">
        <f>VLOOKUP(G1322,'insumos terrapl'!$C$3:$K$47,6,0)</f>
        <v>02</v>
      </c>
      <c r="M1322" s="29" t="str">
        <f>VLOOKUP(G1322,'insumos terrapl'!$C$3:$K$47,7,0)</f>
        <v>00</v>
      </c>
      <c r="N1322" s="29" t="str">
        <f>VLOOKUP(G1322,'insumos terrapl'!$C$3:$K$47,8,0)</f>
        <v>00</v>
      </c>
      <c r="O1322" s="97" t="str">
        <f>VLOOKUP(G1322,'insumos terrapl'!$C$3:$K$47,9,0)</f>
        <v>00</v>
      </c>
    </row>
    <row r="1323" spans="1:15">
      <c r="A1323" s="134"/>
      <c r="B1323" s="137"/>
      <c r="C1323" s="125"/>
      <c r="D1323" s="115"/>
      <c r="E1323" s="115"/>
      <c r="F1323" s="11" t="s">
        <v>615</v>
      </c>
      <c r="G1323" s="20" t="s">
        <v>616</v>
      </c>
      <c r="H1323" s="29" t="str">
        <f>VLOOKUP(G1323,'insumos terrapl'!$C$3:$K$47,2,0)</f>
        <v>2N  20  14  02  00  00  00</v>
      </c>
      <c r="I1323" s="29" t="str">
        <f>VLOOKUP(G1323,'insumos terrapl'!$C$3:$K$47,3,0)</f>
        <v>2N</v>
      </c>
      <c r="J1323" s="29">
        <f>VLOOKUP(G1323,'insumos terrapl'!$C$3:$K$47,4,0)</f>
        <v>20</v>
      </c>
      <c r="K1323" s="29" t="str">
        <f>VLOOKUP(G1323,'insumos terrapl'!$C$3:$K$47,5,0)</f>
        <v>14</v>
      </c>
      <c r="L1323" s="29" t="str">
        <f>VLOOKUP(G1323,'insumos terrapl'!$C$3:$K$47,6,0)</f>
        <v>02</v>
      </c>
      <c r="M1323" s="29" t="str">
        <f>VLOOKUP(G1323,'insumos terrapl'!$C$3:$K$47,7,0)</f>
        <v>00</v>
      </c>
      <c r="N1323" s="29" t="str">
        <f>VLOOKUP(G1323,'insumos terrapl'!$C$3:$K$47,8,0)</f>
        <v>00</v>
      </c>
      <c r="O1323" s="97" t="str">
        <f>VLOOKUP(G1323,'insumos terrapl'!$C$3:$K$47,9,0)</f>
        <v>00</v>
      </c>
    </row>
    <row r="1324" spans="1:15" ht="30">
      <c r="A1324" s="134"/>
      <c r="B1324" s="137"/>
      <c r="C1324" s="125"/>
      <c r="D1324" s="115"/>
      <c r="E1324" s="115"/>
      <c r="F1324" s="11" t="s">
        <v>635</v>
      </c>
      <c r="G1324" s="20" t="s">
        <v>636</v>
      </c>
      <c r="H1324" s="29" t="str">
        <f>VLOOKUP(G1324,'insumos terrapl'!$C$3:$K$47,2,0)</f>
        <v>2N  58  06  00  00  00  00</v>
      </c>
      <c r="I1324" s="29" t="str">
        <f>VLOOKUP(G1324,'insumos terrapl'!$C$3:$K$47,3,0)</f>
        <v>2N</v>
      </c>
      <c r="J1324" s="29">
        <f>VLOOKUP(G1324,'insumos terrapl'!$C$3:$K$47,4,0)</f>
        <v>58</v>
      </c>
      <c r="K1324" s="29" t="str">
        <f>VLOOKUP(G1324,'insumos terrapl'!$C$3:$K$47,5,0)</f>
        <v>06</v>
      </c>
      <c r="L1324" s="29" t="str">
        <f>VLOOKUP(G1324,'insumos terrapl'!$C$3:$K$47,6,0)</f>
        <v>00</v>
      </c>
      <c r="M1324" s="29" t="str">
        <f>VLOOKUP(G1324,'insumos terrapl'!$C$3:$K$47,7,0)</f>
        <v>00</v>
      </c>
      <c r="N1324" s="29" t="str">
        <f>VLOOKUP(G1324,'insumos terrapl'!$C$3:$K$47,8,0)</f>
        <v>00</v>
      </c>
      <c r="O1324" s="97" t="str">
        <f>VLOOKUP(G1324,'insumos terrapl'!$C$3:$K$47,9,0)</f>
        <v>00</v>
      </c>
    </row>
    <row r="1325" spans="1:15">
      <c r="A1325" s="134"/>
      <c r="B1325" s="137"/>
      <c r="C1325" s="125"/>
      <c r="D1325" s="115"/>
      <c r="E1325" s="115"/>
      <c r="F1325" s="11" t="s">
        <v>617</v>
      </c>
      <c r="G1325" s="20" t="s">
        <v>618</v>
      </c>
      <c r="H1325" s="29" t="str">
        <f>VLOOKUP(G1325,'insumos terrapl'!$C$3:$K$47,2,0)</f>
        <v>2Q  58  06  02  28  00  00</v>
      </c>
      <c r="I1325" s="29" t="str">
        <f>VLOOKUP(G1325,'insumos terrapl'!$C$3:$K$47,3,0)</f>
        <v>2Q</v>
      </c>
      <c r="J1325" s="29">
        <f>VLOOKUP(G1325,'insumos terrapl'!$C$3:$K$47,4,0)</f>
        <v>58</v>
      </c>
      <c r="K1325" s="29" t="str">
        <f>VLOOKUP(G1325,'insumos terrapl'!$C$3:$K$47,5,0)</f>
        <v>06</v>
      </c>
      <c r="L1325" s="29" t="str">
        <f>VLOOKUP(G1325,'insumos terrapl'!$C$3:$K$47,6,0)</f>
        <v>02</v>
      </c>
      <c r="M1325" s="29" t="str">
        <f>VLOOKUP(G1325,'insumos terrapl'!$C$3:$K$47,7,0)</f>
        <v>28</v>
      </c>
      <c r="N1325" s="29" t="str">
        <f>VLOOKUP(G1325,'insumos terrapl'!$C$3:$K$47,8,0)</f>
        <v>00</v>
      </c>
      <c r="O1325" s="97" t="str">
        <f>VLOOKUP(G1325,'insumos terrapl'!$C$3:$K$47,9,0)</f>
        <v>00</v>
      </c>
    </row>
    <row r="1326" spans="1:15" ht="30">
      <c r="A1326" s="134"/>
      <c r="B1326" s="137"/>
      <c r="C1326" s="125"/>
      <c r="D1326" s="115"/>
      <c r="E1326" s="115"/>
      <c r="F1326" s="11" t="s">
        <v>637</v>
      </c>
      <c r="G1326" s="20" t="s">
        <v>638</v>
      </c>
      <c r="H1326" s="29" t="str">
        <f>VLOOKUP(G1326,'insumos terrapl'!$C$3:$K$47,2,0)</f>
        <v>2N  58  06  00  00  00  00</v>
      </c>
      <c r="I1326" s="29" t="str">
        <f>VLOOKUP(G1326,'insumos terrapl'!$C$3:$K$47,3,0)</f>
        <v>2N</v>
      </c>
      <c r="J1326" s="29">
        <f>VLOOKUP(G1326,'insumos terrapl'!$C$3:$K$47,4,0)</f>
        <v>58</v>
      </c>
      <c r="K1326" s="29" t="str">
        <f>VLOOKUP(G1326,'insumos terrapl'!$C$3:$K$47,5,0)</f>
        <v>06</v>
      </c>
      <c r="L1326" s="29" t="str">
        <f>VLOOKUP(G1326,'insumos terrapl'!$C$3:$K$47,6,0)</f>
        <v>00</v>
      </c>
      <c r="M1326" s="29" t="str">
        <f>VLOOKUP(G1326,'insumos terrapl'!$C$3:$K$47,7,0)</f>
        <v>00</v>
      </c>
      <c r="N1326" s="29" t="str">
        <f>VLOOKUP(G1326,'insumos terrapl'!$C$3:$K$47,8,0)</f>
        <v>00</v>
      </c>
      <c r="O1326" s="97" t="str">
        <f>VLOOKUP(G1326,'insumos terrapl'!$C$3:$K$47,9,0)</f>
        <v>00</v>
      </c>
    </row>
    <row r="1327" spans="1:15" ht="30">
      <c r="A1327" s="134"/>
      <c r="B1327" s="137"/>
      <c r="C1327" s="125"/>
      <c r="D1327" s="115"/>
      <c r="E1327" s="115"/>
      <c r="F1327" s="11" t="s">
        <v>639</v>
      </c>
      <c r="G1327" s="20" t="s">
        <v>640</v>
      </c>
      <c r="H1327" s="29" t="str">
        <f>VLOOKUP(G1327,'insumos terrapl'!$C$3:$K$47,2,0)</f>
        <v>2N  58  06  00  00  00  00</v>
      </c>
      <c r="I1327" s="29" t="str">
        <f>VLOOKUP(G1327,'insumos terrapl'!$C$3:$K$47,3,0)</f>
        <v>2N</v>
      </c>
      <c r="J1327" s="29">
        <f>VLOOKUP(G1327,'insumos terrapl'!$C$3:$K$47,4,0)</f>
        <v>58</v>
      </c>
      <c r="K1327" s="29" t="str">
        <f>VLOOKUP(G1327,'insumos terrapl'!$C$3:$K$47,5,0)</f>
        <v>06</v>
      </c>
      <c r="L1327" s="29" t="str">
        <f>VLOOKUP(G1327,'insumos terrapl'!$C$3:$K$47,6,0)</f>
        <v>00</v>
      </c>
      <c r="M1327" s="29" t="str">
        <f>VLOOKUP(G1327,'insumos terrapl'!$C$3:$K$47,7,0)</f>
        <v>00</v>
      </c>
      <c r="N1327" s="29" t="str">
        <f>VLOOKUP(G1327,'insumos terrapl'!$C$3:$K$47,8,0)</f>
        <v>00</v>
      </c>
      <c r="O1327" s="97" t="str">
        <f>VLOOKUP(G1327,'insumos terrapl'!$C$3:$K$47,9,0)</f>
        <v>00</v>
      </c>
    </row>
    <row r="1328" spans="1:15">
      <c r="A1328" s="134"/>
      <c r="B1328" s="137"/>
      <c r="C1328" s="125"/>
      <c r="D1328" s="115"/>
      <c r="E1328" s="115"/>
      <c r="F1328" s="11" t="s">
        <v>641</v>
      </c>
      <c r="G1328" s="20" t="s">
        <v>642</v>
      </c>
      <c r="H1328" s="29" t="str">
        <f>VLOOKUP(G1328,'insumos terrapl'!$C$3:$K$47,2,0)</f>
        <v>2N  58  06  00  00  00  00</v>
      </c>
      <c r="I1328" s="29" t="str">
        <f>VLOOKUP(G1328,'insumos terrapl'!$C$3:$K$47,3,0)</f>
        <v>2N</v>
      </c>
      <c r="J1328" s="29">
        <f>VLOOKUP(G1328,'insumos terrapl'!$C$3:$K$47,4,0)</f>
        <v>58</v>
      </c>
      <c r="K1328" s="29" t="str">
        <f>VLOOKUP(G1328,'insumos terrapl'!$C$3:$K$47,5,0)</f>
        <v>06</v>
      </c>
      <c r="L1328" s="29" t="str">
        <f>VLOOKUP(G1328,'insumos terrapl'!$C$3:$K$47,6,0)</f>
        <v>00</v>
      </c>
      <c r="M1328" s="29" t="str">
        <f>VLOOKUP(G1328,'insumos terrapl'!$C$3:$K$47,7,0)</f>
        <v>00</v>
      </c>
      <c r="N1328" s="29" t="str">
        <f>VLOOKUP(G1328,'insumos terrapl'!$C$3:$K$47,8,0)</f>
        <v>00</v>
      </c>
      <c r="O1328" s="97" t="str">
        <f>VLOOKUP(G1328,'insumos terrapl'!$C$3:$K$47,9,0)</f>
        <v>00</v>
      </c>
    </row>
    <row r="1329" spans="1:15">
      <c r="A1329" s="134"/>
      <c r="B1329" s="137"/>
      <c r="C1329" s="125"/>
      <c r="D1329" s="115"/>
      <c r="E1329" s="115"/>
      <c r="F1329" s="11" t="s">
        <v>619</v>
      </c>
      <c r="G1329" s="20" t="s">
        <v>620</v>
      </c>
      <c r="H1329" s="29"/>
      <c r="I1329" s="29"/>
      <c r="J1329" s="29"/>
      <c r="K1329" s="29"/>
      <c r="L1329" s="29"/>
      <c r="M1329" s="29"/>
      <c r="N1329" s="29"/>
      <c r="O1329" s="97"/>
    </row>
    <row r="1330" spans="1:15">
      <c r="A1330" s="134"/>
      <c r="B1330" s="137"/>
      <c r="C1330" s="125"/>
      <c r="D1330" s="115"/>
      <c r="E1330" s="115"/>
      <c r="F1330" s="11" t="s">
        <v>643</v>
      </c>
      <c r="G1330" s="20" t="s">
        <v>644</v>
      </c>
      <c r="H1330" s="29" t="str">
        <f>VLOOKUP(G1330,'insumos terrapl'!$C$3:$K$47,2,0)</f>
        <v>2N  58  06  00  00  00  00</v>
      </c>
      <c r="I1330" s="29" t="str">
        <f>VLOOKUP(G1330,'insumos terrapl'!$C$3:$K$47,3,0)</f>
        <v>2N</v>
      </c>
      <c r="J1330" s="29">
        <f>VLOOKUP(G1330,'insumos terrapl'!$C$3:$K$47,4,0)</f>
        <v>58</v>
      </c>
      <c r="K1330" s="29" t="str">
        <f>VLOOKUP(G1330,'insumos terrapl'!$C$3:$K$47,5,0)</f>
        <v>06</v>
      </c>
      <c r="L1330" s="29" t="str">
        <f>VLOOKUP(G1330,'insumos terrapl'!$C$3:$K$47,6,0)</f>
        <v>00</v>
      </c>
      <c r="M1330" s="29" t="str">
        <f>VLOOKUP(G1330,'insumos terrapl'!$C$3:$K$47,7,0)</f>
        <v>00</v>
      </c>
      <c r="N1330" s="29" t="str">
        <f>VLOOKUP(G1330,'insumos terrapl'!$C$3:$K$47,8,0)</f>
        <v>00</v>
      </c>
      <c r="O1330" s="97" t="str">
        <f>VLOOKUP(G1330,'insumos terrapl'!$C$3:$K$47,9,0)</f>
        <v>00</v>
      </c>
    </row>
    <row r="1331" spans="1:15">
      <c r="A1331" s="134"/>
      <c r="B1331" s="137"/>
      <c r="C1331" s="125"/>
      <c r="D1331" s="115"/>
      <c r="E1331" s="115"/>
      <c r="F1331" s="11" t="s">
        <v>645</v>
      </c>
      <c r="G1331" s="20" t="s">
        <v>646</v>
      </c>
      <c r="H1331" s="29" t="str">
        <f>VLOOKUP(G1331,'insumos terrapl'!$C$3:$K$47,2,0)</f>
        <v>2N  58  06  00  00  00  00</v>
      </c>
      <c r="I1331" s="29" t="str">
        <f>VLOOKUP(G1331,'insumos terrapl'!$C$3:$K$47,3,0)</f>
        <v>2N</v>
      </c>
      <c r="J1331" s="29">
        <f>VLOOKUP(G1331,'insumos terrapl'!$C$3:$K$47,4,0)</f>
        <v>58</v>
      </c>
      <c r="K1331" s="29" t="str">
        <f>VLOOKUP(G1331,'insumos terrapl'!$C$3:$K$47,5,0)</f>
        <v>06</v>
      </c>
      <c r="L1331" s="29" t="str">
        <f>VLOOKUP(G1331,'insumos terrapl'!$C$3:$K$47,6,0)</f>
        <v>00</v>
      </c>
      <c r="M1331" s="29" t="str">
        <f>VLOOKUP(G1331,'insumos terrapl'!$C$3:$K$47,7,0)</f>
        <v>00</v>
      </c>
      <c r="N1331" s="29" t="str">
        <f>VLOOKUP(G1331,'insumos terrapl'!$C$3:$K$47,8,0)</f>
        <v>00</v>
      </c>
      <c r="O1331" s="97" t="str">
        <f>VLOOKUP(G1331,'insumos terrapl'!$C$3:$K$47,9,0)</f>
        <v>00</v>
      </c>
    </row>
    <row r="1332" spans="1:15" ht="30">
      <c r="A1332" s="134"/>
      <c r="B1332" s="137"/>
      <c r="C1332" s="125"/>
      <c r="D1332" s="115"/>
      <c r="E1332" s="115"/>
      <c r="F1332" s="11" t="s">
        <v>647</v>
      </c>
      <c r="G1332" s="20" t="s">
        <v>648</v>
      </c>
      <c r="H1332" s="29" t="str">
        <f>VLOOKUP(G1332,'insumos terrapl'!$C$3:$K$47,2,0)</f>
        <v>2N  58  06  00  00  00  00</v>
      </c>
      <c r="I1332" s="29" t="str">
        <f>VLOOKUP(G1332,'insumos terrapl'!$C$3:$K$47,3,0)</f>
        <v>2N</v>
      </c>
      <c r="J1332" s="29">
        <f>VLOOKUP(G1332,'insumos terrapl'!$C$3:$K$47,4,0)</f>
        <v>58</v>
      </c>
      <c r="K1332" s="29" t="str">
        <f>VLOOKUP(G1332,'insumos terrapl'!$C$3:$K$47,5,0)</f>
        <v>06</v>
      </c>
      <c r="L1332" s="29" t="str">
        <f>VLOOKUP(G1332,'insumos terrapl'!$C$3:$K$47,6,0)</f>
        <v>00</v>
      </c>
      <c r="M1332" s="29" t="str">
        <f>VLOOKUP(G1332,'insumos terrapl'!$C$3:$K$47,7,0)</f>
        <v>00</v>
      </c>
      <c r="N1332" s="29" t="str">
        <f>VLOOKUP(G1332,'insumos terrapl'!$C$3:$K$47,8,0)</f>
        <v>00</v>
      </c>
      <c r="O1332" s="97" t="str">
        <f>VLOOKUP(G1332,'insumos terrapl'!$C$3:$K$47,9,0)</f>
        <v>00</v>
      </c>
    </row>
    <row r="1333" spans="1:15">
      <c r="A1333" s="134"/>
      <c r="B1333" s="137"/>
      <c r="C1333" s="125"/>
      <c r="D1333" s="115"/>
      <c r="E1333" s="115"/>
      <c r="F1333" s="11" t="s">
        <v>621</v>
      </c>
      <c r="G1333" s="20" t="s">
        <v>622</v>
      </c>
      <c r="H1333" s="29" t="str">
        <f>VLOOKUP(G1333,'insumos terrapl'!$C$3:$K$47,2,0)</f>
        <v>2N  58  06  00  00  00  00</v>
      </c>
      <c r="I1333" s="29" t="str">
        <f>VLOOKUP(G1333,'insumos terrapl'!$C$3:$K$47,3,0)</f>
        <v>2N</v>
      </c>
      <c r="J1333" s="29">
        <f>VLOOKUP(G1333,'insumos terrapl'!$C$3:$K$47,4,0)</f>
        <v>58</v>
      </c>
      <c r="K1333" s="29" t="str">
        <f>VLOOKUP(G1333,'insumos terrapl'!$C$3:$K$47,5,0)</f>
        <v>06</v>
      </c>
      <c r="L1333" s="29" t="str">
        <f>VLOOKUP(G1333,'insumos terrapl'!$C$3:$K$47,6,0)</f>
        <v>00</v>
      </c>
      <c r="M1333" s="29" t="str">
        <f>VLOOKUP(G1333,'insumos terrapl'!$C$3:$K$47,7,0)</f>
        <v>00</v>
      </c>
      <c r="N1333" s="29" t="str">
        <f>VLOOKUP(G1333,'insumos terrapl'!$C$3:$K$47,8,0)</f>
        <v>00</v>
      </c>
      <c r="O1333" s="97" t="str">
        <f>VLOOKUP(G1333,'insumos terrapl'!$C$3:$K$47,9,0)</f>
        <v>00</v>
      </c>
    </row>
    <row r="1334" spans="1:15">
      <c r="A1334" s="134"/>
      <c r="B1334" s="137"/>
      <c r="C1334" s="132"/>
      <c r="D1334" s="116"/>
      <c r="E1334" s="116"/>
      <c r="F1334" s="13"/>
      <c r="G1334" s="21"/>
      <c r="H1334" s="31"/>
      <c r="I1334" s="31"/>
      <c r="J1334" s="31"/>
      <c r="K1334" s="31"/>
      <c r="L1334" s="31"/>
      <c r="M1334" s="31"/>
      <c r="N1334" s="31"/>
      <c r="O1334" s="98"/>
    </row>
    <row r="1335" spans="1:15">
      <c r="A1335" s="134"/>
      <c r="B1335" s="137"/>
      <c r="C1335" s="124" t="s">
        <v>246</v>
      </c>
      <c r="D1335" s="114" t="str">
        <f>$A$1095</f>
        <v>2.6.8</v>
      </c>
      <c r="E1335" s="114" t="s">
        <v>504</v>
      </c>
      <c r="F1335" s="12" t="s">
        <v>246</v>
      </c>
      <c r="G1335" s="19"/>
      <c r="H1335" s="28"/>
      <c r="I1335" s="28"/>
      <c r="J1335" s="28"/>
      <c r="K1335" s="28"/>
      <c r="L1335" s="28"/>
      <c r="M1335" s="28"/>
      <c r="N1335" s="28"/>
      <c r="O1335" s="99"/>
    </row>
    <row r="1336" spans="1:15" ht="30">
      <c r="A1336" s="134"/>
      <c r="B1336" s="137"/>
      <c r="C1336" s="125"/>
      <c r="D1336" s="115"/>
      <c r="E1336" s="115"/>
      <c r="F1336" s="11" t="s">
        <v>659</v>
      </c>
      <c r="G1336" s="20" t="s">
        <v>660</v>
      </c>
      <c r="H1336" s="29" t="str">
        <f>VLOOKUP(G1336,'insumos terrapl'!$C$3:$K$47,2,0)</f>
        <v>2Q  66  10  02  00  00  00</v>
      </c>
      <c r="I1336" s="29" t="str">
        <f>VLOOKUP(G1336,'insumos terrapl'!$C$3:$K$47,3,0)</f>
        <v>2Q</v>
      </c>
      <c r="J1336" s="29">
        <f>VLOOKUP(G1336,'insumos terrapl'!$C$3:$K$47,4,0)</f>
        <v>66</v>
      </c>
      <c r="K1336" s="29" t="str">
        <f>VLOOKUP(G1336,'insumos terrapl'!$C$3:$K$47,5,0)</f>
        <v>10</v>
      </c>
      <c r="L1336" s="29" t="str">
        <f>VLOOKUP(G1336,'insumos terrapl'!$C$3:$K$47,6,0)</f>
        <v>02</v>
      </c>
      <c r="M1336" s="29" t="str">
        <f>VLOOKUP(G1336,'insumos terrapl'!$C$3:$K$47,7,0)</f>
        <v>00</v>
      </c>
      <c r="N1336" s="29" t="str">
        <f>VLOOKUP(G1336,'insumos terrapl'!$C$3:$K$47,8,0)</f>
        <v>00</v>
      </c>
      <c r="O1336" s="97" t="str">
        <f>VLOOKUP(G1336,'insumos terrapl'!$C$3:$K$47,9,0)</f>
        <v>00</v>
      </c>
    </row>
    <row r="1337" spans="1:15" ht="30">
      <c r="A1337" s="134"/>
      <c r="B1337" s="137"/>
      <c r="C1337" s="125"/>
      <c r="D1337" s="115"/>
      <c r="E1337" s="115"/>
      <c r="F1337" s="11" t="s">
        <v>661</v>
      </c>
      <c r="G1337" s="20" t="s">
        <v>662</v>
      </c>
      <c r="H1337" s="29" t="str">
        <f>VLOOKUP(G1337,'insumos terrapl'!$C$3:$K$47,2,0)</f>
        <v>2Q  62  10  06  00  00  00</v>
      </c>
      <c r="I1337" s="29" t="str">
        <f>VLOOKUP(G1337,'insumos terrapl'!$C$3:$K$47,3,0)</f>
        <v>2Q</v>
      </c>
      <c r="J1337" s="29">
        <f>VLOOKUP(G1337,'insumos terrapl'!$C$3:$K$47,4,0)</f>
        <v>62</v>
      </c>
      <c r="K1337" s="29" t="str">
        <f>VLOOKUP(G1337,'insumos terrapl'!$C$3:$K$47,5,0)</f>
        <v>10</v>
      </c>
      <c r="L1337" s="29" t="str">
        <f>VLOOKUP(G1337,'insumos terrapl'!$C$3:$K$47,6,0)</f>
        <v>06</v>
      </c>
      <c r="M1337" s="29" t="str">
        <f>VLOOKUP(G1337,'insumos terrapl'!$C$3:$K$47,7,0)</f>
        <v>00</v>
      </c>
      <c r="N1337" s="29" t="str">
        <f>VLOOKUP(G1337,'insumos terrapl'!$C$3:$K$47,8,0)</f>
        <v>00</v>
      </c>
      <c r="O1337" s="97" t="str">
        <f>VLOOKUP(G1337,'insumos terrapl'!$C$3:$K$47,9,0)</f>
        <v>00</v>
      </c>
    </row>
    <row r="1338" spans="1:15" ht="30">
      <c r="A1338" s="134"/>
      <c r="B1338" s="137"/>
      <c r="C1338" s="125"/>
      <c r="D1338" s="115"/>
      <c r="E1338" s="115"/>
      <c r="F1338" s="11" t="s">
        <v>607</v>
      </c>
      <c r="G1338" s="20" t="s">
        <v>608</v>
      </c>
      <c r="H1338" s="29" t="str">
        <f>VLOOKUP(G1338,'insumos terrapl'!$C$3:$K$47,2,0)</f>
        <v>2Q  42  06  18  02  02  00</v>
      </c>
      <c r="I1338" s="29" t="str">
        <f>VLOOKUP(G1338,'insumos terrapl'!$C$3:$K$47,3,0)</f>
        <v>2Q</v>
      </c>
      <c r="J1338" s="29">
        <f>VLOOKUP(G1338,'insumos terrapl'!$C$3:$K$47,4,0)</f>
        <v>42</v>
      </c>
      <c r="K1338" s="29" t="str">
        <f>VLOOKUP(G1338,'insumos terrapl'!$C$3:$K$47,5,0)</f>
        <v>06</v>
      </c>
      <c r="L1338" s="29">
        <f>VLOOKUP(G1338,'insumos terrapl'!$C$3:$K$47,6,0)</f>
        <v>18</v>
      </c>
      <c r="M1338" s="29" t="str">
        <f>VLOOKUP(G1338,'insumos terrapl'!$C$3:$K$47,7,0)</f>
        <v>02</v>
      </c>
      <c r="N1338" s="29" t="str">
        <f>VLOOKUP(G1338,'insumos terrapl'!$C$3:$K$47,8,0)</f>
        <v>02</v>
      </c>
      <c r="O1338" s="97" t="str">
        <f>VLOOKUP(G1338,'insumos terrapl'!$C$3:$K$47,9,0)</f>
        <v>00</v>
      </c>
    </row>
    <row r="1339" spans="1:15" ht="45">
      <c r="A1339" s="134"/>
      <c r="B1339" s="137"/>
      <c r="C1339" s="125"/>
      <c r="D1339" s="115"/>
      <c r="E1339" s="115"/>
      <c r="F1339" s="11" t="s">
        <v>609</v>
      </c>
      <c r="G1339" s="20" t="s">
        <v>610</v>
      </c>
      <c r="H1339" s="29" t="str">
        <f>VLOOKUP(G1339,'insumos terrapl'!$C$3:$K$47,2,0)</f>
        <v>2Q  42  06  02  14  02  00</v>
      </c>
      <c r="I1339" s="29" t="str">
        <f>VLOOKUP(G1339,'insumos terrapl'!$C$3:$K$47,3,0)</f>
        <v>2Q</v>
      </c>
      <c r="J1339" s="29">
        <f>VLOOKUP(G1339,'insumos terrapl'!$C$3:$K$47,4,0)</f>
        <v>42</v>
      </c>
      <c r="K1339" s="29" t="str">
        <f>VLOOKUP(G1339,'insumos terrapl'!$C$3:$K$47,5,0)</f>
        <v>06</v>
      </c>
      <c r="L1339" s="29" t="str">
        <f>VLOOKUP(G1339,'insumos terrapl'!$C$3:$K$47,6,0)</f>
        <v>02</v>
      </c>
      <c r="M1339" s="29" t="str">
        <f>VLOOKUP(G1339,'insumos terrapl'!$C$3:$K$47,7,0)</f>
        <v>14</v>
      </c>
      <c r="N1339" s="29" t="str">
        <f>VLOOKUP(G1339,'insumos terrapl'!$C$3:$K$47,8,0)</f>
        <v>02</v>
      </c>
      <c r="O1339" s="97" t="str">
        <f>VLOOKUP(G1339,'insumos terrapl'!$C$3:$K$47,9,0)</f>
        <v>00</v>
      </c>
    </row>
    <row r="1340" spans="1:15">
      <c r="A1340" s="134"/>
      <c r="B1340" s="137"/>
      <c r="C1340" s="125"/>
      <c r="D1340" s="115"/>
      <c r="E1340" s="115"/>
      <c r="F1340" s="11" t="s">
        <v>633</v>
      </c>
      <c r="G1340" s="20" t="s">
        <v>634</v>
      </c>
      <c r="H1340" s="29" t="str">
        <f>VLOOKUP(G1340,'insumos terrapl'!$C$3:$K$47,2,0)</f>
        <v>2Q  58  10  10  02  06  00</v>
      </c>
      <c r="I1340" s="29" t="str">
        <f>VLOOKUP(G1340,'insumos terrapl'!$C$3:$K$47,3,0)</f>
        <v>2Q</v>
      </c>
      <c r="J1340" s="29">
        <f>VLOOKUP(G1340,'insumos terrapl'!$C$3:$K$47,4,0)</f>
        <v>58</v>
      </c>
      <c r="K1340" s="29" t="str">
        <f>VLOOKUP(G1340,'insumos terrapl'!$C$3:$K$47,5,0)</f>
        <v>10</v>
      </c>
      <c r="L1340" s="29" t="str">
        <f>VLOOKUP(G1340,'insumos terrapl'!$C$3:$K$47,6,0)</f>
        <v>10</v>
      </c>
      <c r="M1340" s="29" t="str">
        <f>VLOOKUP(G1340,'insumos terrapl'!$C$3:$K$47,7,0)</f>
        <v>02</v>
      </c>
      <c r="N1340" s="29" t="str">
        <f>VLOOKUP(G1340,'insumos terrapl'!$C$3:$K$47,8,0)</f>
        <v>06</v>
      </c>
      <c r="O1340" s="97" t="str">
        <f>VLOOKUP(G1340,'insumos terrapl'!$C$3:$K$47,9,0)</f>
        <v>00</v>
      </c>
    </row>
    <row r="1341" spans="1:15">
      <c r="A1341" s="134"/>
      <c r="B1341" s="137"/>
      <c r="C1341" s="125"/>
      <c r="D1341" s="115"/>
      <c r="E1341" s="115"/>
      <c r="F1341" s="11" t="s">
        <v>586</v>
      </c>
      <c r="G1341" s="20" t="s">
        <v>587</v>
      </c>
      <c r="H1341" s="29" t="str">
        <f>VLOOKUP(G1341,'insumos terrapl'!$C$3:$K$47,2,0)</f>
        <v>2Q  62  30  02  14  00  00</v>
      </c>
      <c r="I1341" s="29" t="str">
        <f>VLOOKUP(G1341,'insumos terrapl'!$C$3:$K$47,3,0)</f>
        <v>2Q</v>
      </c>
      <c r="J1341" s="29">
        <f>VLOOKUP(G1341,'insumos terrapl'!$C$3:$K$47,4,0)</f>
        <v>62</v>
      </c>
      <c r="K1341" s="29">
        <f>VLOOKUP(G1341,'insumos terrapl'!$C$3:$K$47,5,0)</f>
        <v>30</v>
      </c>
      <c r="L1341" s="29" t="str">
        <f>VLOOKUP(G1341,'insumos terrapl'!$C$3:$K$47,6,0)</f>
        <v>02</v>
      </c>
      <c r="M1341" s="29" t="str">
        <f>VLOOKUP(G1341,'insumos terrapl'!$C$3:$K$47,7,0)</f>
        <v>14</v>
      </c>
      <c r="N1341" s="29" t="str">
        <f>VLOOKUP(G1341,'insumos terrapl'!$C$3:$K$47,8,0)</f>
        <v>00</v>
      </c>
      <c r="O1341" s="97" t="str">
        <f>VLOOKUP(G1341,'insumos terrapl'!$C$3:$K$47,9,0)</f>
        <v>00</v>
      </c>
    </row>
    <row r="1342" spans="1:15">
      <c r="A1342" s="134"/>
      <c r="B1342" s="137"/>
      <c r="C1342" s="125"/>
      <c r="D1342" s="115"/>
      <c r="E1342" s="115"/>
      <c r="F1342" s="11" t="s">
        <v>613</v>
      </c>
      <c r="G1342" s="20" t="s">
        <v>614</v>
      </c>
      <c r="H1342" s="29" t="str">
        <f>VLOOKUP(G1342,'insumos terrapl'!$C$3:$K$47,2,0)</f>
        <v>2N  20  14  02  00  00  00</v>
      </c>
      <c r="I1342" s="29" t="str">
        <f>VLOOKUP(G1342,'insumos terrapl'!$C$3:$K$47,3,0)</f>
        <v>2N</v>
      </c>
      <c r="J1342" s="29">
        <f>VLOOKUP(G1342,'insumos terrapl'!$C$3:$K$47,4,0)</f>
        <v>20</v>
      </c>
      <c r="K1342" s="29" t="str">
        <f>VLOOKUP(G1342,'insumos terrapl'!$C$3:$K$47,5,0)</f>
        <v>14</v>
      </c>
      <c r="L1342" s="29" t="str">
        <f>VLOOKUP(G1342,'insumos terrapl'!$C$3:$K$47,6,0)</f>
        <v>02</v>
      </c>
      <c r="M1342" s="29" t="str">
        <f>VLOOKUP(G1342,'insumos terrapl'!$C$3:$K$47,7,0)</f>
        <v>00</v>
      </c>
      <c r="N1342" s="29" t="str">
        <f>VLOOKUP(G1342,'insumos terrapl'!$C$3:$K$47,8,0)</f>
        <v>00</v>
      </c>
      <c r="O1342" s="97" t="str">
        <f>VLOOKUP(G1342,'insumos terrapl'!$C$3:$K$47,9,0)</f>
        <v>00</v>
      </c>
    </row>
    <row r="1343" spans="1:15">
      <c r="A1343" s="134"/>
      <c r="B1343" s="137"/>
      <c r="C1343" s="125"/>
      <c r="D1343" s="115"/>
      <c r="E1343" s="115"/>
      <c r="F1343" s="11" t="s">
        <v>615</v>
      </c>
      <c r="G1343" s="20" t="s">
        <v>616</v>
      </c>
      <c r="H1343" s="29" t="str">
        <f>VLOOKUP(G1343,'insumos terrapl'!$C$3:$K$47,2,0)</f>
        <v>2N  20  14  02  00  00  00</v>
      </c>
      <c r="I1343" s="29" t="str">
        <f>VLOOKUP(G1343,'insumos terrapl'!$C$3:$K$47,3,0)</f>
        <v>2N</v>
      </c>
      <c r="J1343" s="29">
        <f>VLOOKUP(G1343,'insumos terrapl'!$C$3:$K$47,4,0)</f>
        <v>20</v>
      </c>
      <c r="K1343" s="29" t="str">
        <f>VLOOKUP(G1343,'insumos terrapl'!$C$3:$K$47,5,0)</f>
        <v>14</v>
      </c>
      <c r="L1343" s="29" t="str">
        <f>VLOOKUP(G1343,'insumos terrapl'!$C$3:$K$47,6,0)</f>
        <v>02</v>
      </c>
      <c r="M1343" s="29" t="str">
        <f>VLOOKUP(G1343,'insumos terrapl'!$C$3:$K$47,7,0)</f>
        <v>00</v>
      </c>
      <c r="N1343" s="29" t="str">
        <f>VLOOKUP(G1343,'insumos terrapl'!$C$3:$K$47,8,0)</f>
        <v>00</v>
      </c>
      <c r="O1343" s="97" t="str">
        <f>VLOOKUP(G1343,'insumos terrapl'!$C$3:$K$47,9,0)</f>
        <v>00</v>
      </c>
    </row>
    <row r="1344" spans="1:15" ht="30">
      <c r="A1344" s="134"/>
      <c r="B1344" s="137"/>
      <c r="C1344" s="125"/>
      <c r="D1344" s="115"/>
      <c r="E1344" s="115"/>
      <c r="F1344" s="11" t="s">
        <v>635</v>
      </c>
      <c r="G1344" s="20" t="s">
        <v>636</v>
      </c>
      <c r="H1344" s="29" t="str">
        <f>VLOOKUP(G1344,'insumos terrapl'!$C$3:$K$47,2,0)</f>
        <v>2N  58  06  00  00  00  00</v>
      </c>
      <c r="I1344" s="29" t="str">
        <f>VLOOKUP(G1344,'insumos terrapl'!$C$3:$K$47,3,0)</f>
        <v>2N</v>
      </c>
      <c r="J1344" s="29">
        <f>VLOOKUP(G1344,'insumos terrapl'!$C$3:$K$47,4,0)</f>
        <v>58</v>
      </c>
      <c r="K1344" s="29" t="str">
        <f>VLOOKUP(G1344,'insumos terrapl'!$C$3:$K$47,5,0)</f>
        <v>06</v>
      </c>
      <c r="L1344" s="29" t="str">
        <f>VLOOKUP(G1344,'insumos terrapl'!$C$3:$K$47,6,0)</f>
        <v>00</v>
      </c>
      <c r="M1344" s="29" t="str">
        <f>VLOOKUP(G1344,'insumos terrapl'!$C$3:$K$47,7,0)</f>
        <v>00</v>
      </c>
      <c r="N1344" s="29" t="str">
        <f>VLOOKUP(G1344,'insumos terrapl'!$C$3:$K$47,8,0)</f>
        <v>00</v>
      </c>
      <c r="O1344" s="97" t="str">
        <f>VLOOKUP(G1344,'insumos terrapl'!$C$3:$K$47,9,0)</f>
        <v>00</v>
      </c>
    </row>
    <row r="1345" spans="1:15">
      <c r="A1345" s="134"/>
      <c r="B1345" s="137"/>
      <c r="C1345" s="125"/>
      <c r="D1345" s="115"/>
      <c r="E1345" s="115"/>
      <c r="F1345" s="11" t="s">
        <v>617</v>
      </c>
      <c r="G1345" s="20" t="s">
        <v>618</v>
      </c>
      <c r="H1345" s="29" t="str">
        <f>VLOOKUP(G1345,'insumos terrapl'!$C$3:$K$47,2,0)</f>
        <v>2Q  58  06  02  28  00  00</v>
      </c>
      <c r="I1345" s="29" t="str">
        <f>VLOOKUP(G1345,'insumos terrapl'!$C$3:$K$47,3,0)</f>
        <v>2Q</v>
      </c>
      <c r="J1345" s="29">
        <f>VLOOKUP(G1345,'insumos terrapl'!$C$3:$K$47,4,0)</f>
        <v>58</v>
      </c>
      <c r="K1345" s="29" t="str">
        <f>VLOOKUP(G1345,'insumos terrapl'!$C$3:$K$47,5,0)</f>
        <v>06</v>
      </c>
      <c r="L1345" s="29" t="str">
        <f>VLOOKUP(G1345,'insumos terrapl'!$C$3:$K$47,6,0)</f>
        <v>02</v>
      </c>
      <c r="M1345" s="29" t="str">
        <f>VLOOKUP(G1345,'insumos terrapl'!$C$3:$K$47,7,0)</f>
        <v>28</v>
      </c>
      <c r="N1345" s="29" t="str">
        <f>VLOOKUP(G1345,'insumos terrapl'!$C$3:$K$47,8,0)</f>
        <v>00</v>
      </c>
      <c r="O1345" s="97" t="str">
        <f>VLOOKUP(G1345,'insumos terrapl'!$C$3:$K$47,9,0)</f>
        <v>00</v>
      </c>
    </row>
    <row r="1346" spans="1:15" ht="30">
      <c r="A1346" s="134"/>
      <c r="B1346" s="137"/>
      <c r="C1346" s="125"/>
      <c r="D1346" s="115"/>
      <c r="E1346" s="115"/>
      <c r="F1346" s="11" t="s">
        <v>637</v>
      </c>
      <c r="G1346" s="20" t="s">
        <v>638</v>
      </c>
      <c r="H1346" s="29" t="str">
        <f>VLOOKUP(G1346,'insumos terrapl'!$C$3:$K$47,2,0)</f>
        <v>2N  58  06  00  00  00  00</v>
      </c>
      <c r="I1346" s="29" t="str">
        <f>VLOOKUP(G1346,'insumos terrapl'!$C$3:$K$47,3,0)</f>
        <v>2N</v>
      </c>
      <c r="J1346" s="29">
        <f>VLOOKUP(G1346,'insumos terrapl'!$C$3:$K$47,4,0)</f>
        <v>58</v>
      </c>
      <c r="K1346" s="29" t="str">
        <f>VLOOKUP(G1346,'insumos terrapl'!$C$3:$K$47,5,0)</f>
        <v>06</v>
      </c>
      <c r="L1346" s="29" t="str">
        <f>VLOOKUP(G1346,'insumos terrapl'!$C$3:$K$47,6,0)</f>
        <v>00</v>
      </c>
      <c r="M1346" s="29" t="str">
        <f>VLOOKUP(G1346,'insumos terrapl'!$C$3:$K$47,7,0)</f>
        <v>00</v>
      </c>
      <c r="N1346" s="29" t="str">
        <f>VLOOKUP(G1346,'insumos terrapl'!$C$3:$K$47,8,0)</f>
        <v>00</v>
      </c>
      <c r="O1346" s="97" t="str">
        <f>VLOOKUP(G1346,'insumos terrapl'!$C$3:$K$47,9,0)</f>
        <v>00</v>
      </c>
    </row>
    <row r="1347" spans="1:15" ht="30">
      <c r="A1347" s="134"/>
      <c r="B1347" s="137"/>
      <c r="C1347" s="125"/>
      <c r="D1347" s="115"/>
      <c r="E1347" s="115"/>
      <c r="F1347" s="11" t="s">
        <v>639</v>
      </c>
      <c r="G1347" s="20" t="s">
        <v>640</v>
      </c>
      <c r="H1347" s="29" t="str">
        <f>VLOOKUP(G1347,'insumos terrapl'!$C$3:$K$47,2,0)</f>
        <v>2N  58  06  00  00  00  00</v>
      </c>
      <c r="I1347" s="29" t="str">
        <f>VLOOKUP(G1347,'insumos terrapl'!$C$3:$K$47,3,0)</f>
        <v>2N</v>
      </c>
      <c r="J1347" s="29">
        <f>VLOOKUP(G1347,'insumos terrapl'!$C$3:$K$47,4,0)</f>
        <v>58</v>
      </c>
      <c r="K1347" s="29" t="str">
        <f>VLOOKUP(G1347,'insumos terrapl'!$C$3:$K$47,5,0)</f>
        <v>06</v>
      </c>
      <c r="L1347" s="29" t="str">
        <f>VLOOKUP(G1347,'insumos terrapl'!$C$3:$K$47,6,0)</f>
        <v>00</v>
      </c>
      <c r="M1347" s="29" t="str">
        <f>VLOOKUP(G1347,'insumos terrapl'!$C$3:$K$47,7,0)</f>
        <v>00</v>
      </c>
      <c r="N1347" s="29" t="str">
        <f>VLOOKUP(G1347,'insumos terrapl'!$C$3:$K$47,8,0)</f>
        <v>00</v>
      </c>
      <c r="O1347" s="97" t="str">
        <f>VLOOKUP(G1347,'insumos terrapl'!$C$3:$K$47,9,0)</f>
        <v>00</v>
      </c>
    </row>
    <row r="1348" spans="1:15">
      <c r="A1348" s="134"/>
      <c r="B1348" s="137"/>
      <c r="C1348" s="125"/>
      <c r="D1348" s="115"/>
      <c r="E1348" s="115"/>
      <c r="F1348" s="11" t="s">
        <v>641</v>
      </c>
      <c r="G1348" s="20" t="s">
        <v>642</v>
      </c>
      <c r="H1348" s="29" t="str">
        <f>VLOOKUP(G1348,'insumos terrapl'!$C$3:$K$47,2,0)</f>
        <v>2N  58  06  00  00  00  00</v>
      </c>
      <c r="I1348" s="29" t="str">
        <f>VLOOKUP(G1348,'insumos terrapl'!$C$3:$K$47,3,0)</f>
        <v>2N</v>
      </c>
      <c r="J1348" s="29">
        <f>VLOOKUP(G1348,'insumos terrapl'!$C$3:$K$47,4,0)</f>
        <v>58</v>
      </c>
      <c r="K1348" s="29" t="str">
        <f>VLOOKUP(G1348,'insumos terrapl'!$C$3:$K$47,5,0)</f>
        <v>06</v>
      </c>
      <c r="L1348" s="29" t="str">
        <f>VLOOKUP(G1348,'insumos terrapl'!$C$3:$K$47,6,0)</f>
        <v>00</v>
      </c>
      <c r="M1348" s="29" t="str">
        <f>VLOOKUP(G1348,'insumos terrapl'!$C$3:$K$47,7,0)</f>
        <v>00</v>
      </c>
      <c r="N1348" s="29" t="str">
        <f>VLOOKUP(G1348,'insumos terrapl'!$C$3:$K$47,8,0)</f>
        <v>00</v>
      </c>
      <c r="O1348" s="97" t="str">
        <f>VLOOKUP(G1348,'insumos terrapl'!$C$3:$K$47,9,0)</f>
        <v>00</v>
      </c>
    </row>
    <row r="1349" spans="1:15">
      <c r="A1349" s="134"/>
      <c r="B1349" s="137"/>
      <c r="C1349" s="125"/>
      <c r="D1349" s="115"/>
      <c r="E1349" s="115"/>
      <c r="F1349" s="11" t="s">
        <v>619</v>
      </c>
      <c r="G1349" s="20" t="s">
        <v>620</v>
      </c>
      <c r="H1349" s="29"/>
      <c r="I1349" s="29"/>
      <c r="J1349" s="29"/>
      <c r="K1349" s="29"/>
      <c r="L1349" s="29"/>
      <c r="M1349" s="29"/>
      <c r="N1349" s="29"/>
      <c r="O1349" s="97"/>
    </row>
    <row r="1350" spans="1:15">
      <c r="A1350" s="134"/>
      <c r="B1350" s="137"/>
      <c r="C1350" s="125"/>
      <c r="D1350" s="115"/>
      <c r="E1350" s="115"/>
      <c r="F1350" s="11" t="s">
        <v>643</v>
      </c>
      <c r="G1350" s="20" t="s">
        <v>644</v>
      </c>
      <c r="H1350" s="29" t="str">
        <f>VLOOKUP(G1350,'insumos terrapl'!$C$3:$K$47,2,0)</f>
        <v>2N  58  06  00  00  00  00</v>
      </c>
      <c r="I1350" s="29" t="str">
        <f>VLOOKUP(G1350,'insumos terrapl'!$C$3:$K$47,3,0)</f>
        <v>2N</v>
      </c>
      <c r="J1350" s="29">
        <f>VLOOKUP(G1350,'insumos terrapl'!$C$3:$K$47,4,0)</f>
        <v>58</v>
      </c>
      <c r="K1350" s="29" t="str">
        <f>VLOOKUP(G1350,'insumos terrapl'!$C$3:$K$47,5,0)</f>
        <v>06</v>
      </c>
      <c r="L1350" s="29" t="str">
        <f>VLOOKUP(G1350,'insumos terrapl'!$C$3:$K$47,6,0)</f>
        <v>00</v>
      </c>
      <c r="M1350" s="29" t="str">
        <f>VLOOKUP(G1350,'insumos terrapl'!$C$3:$K$47,7,0)</f>
        <v>00</v>
      </c>
      <c r="N1350" s="29" t="str">
        <f>VLOOKUP(G1350,'insumos terrapl'!$C$3:$K$47,8,0)</f>
        <v>00</v>
      </c>
      <c r="O1350" s="97" t="str">
        <f>VLOOKUP(G1350,'insumos terrapl'!$C$3:$K$47,9,0)</f>
        <v>00</v>
      </c>
    </row>
    <row r="1351" spans="1:15">
      <c r="A1351" s="134"/>
      <c r="B1351" s="137"/>
      <c r="C1351" s="125"/>
      <c r="D1351" s="115"/>
      <c r="E1351" s="115"/>
      <c r="F1351" s="11" t="s">
        <v>645</v>
      </c>
      <c r="G1351" s="20" t="s">
        <v>646</v>
      </c>
      <c r="H1351" s="29" t="str">
        <f>VLOOKUP(G1351,'insumos terrapl'!$C$3:$K$47,2,0)</f>
        <v>2N  58  06  00  00  00  00</v>
      </c>
      <c r="I1351" s="29" t="str">
        <f>VLOOKUP(G1351,'insumos terrapl'!$C$3:$K$47,3,0)</f>
        <v>2N</v>
      </c>
      <c r="J1351" s="29">
        <f>VLOOKUP(G1351,'insumos terrapl'!$C$3:$K$47,4,0)</f>
        <v>58</v>
      </c>
      <c r="K1351" s="29" t="str">
        <f>VLOOKUP(G1351,'insumos terrapl'!$C$3:$K$47,5,0)</f>
        <v>06</v>
      </c>
      <c r="L1351" s="29" t="str">
        <f>VLOOKUP(G1351,'insumos terrapl'!$C$3:$K$47,6,0)</f>
        <v>00</v>
      </c>
      <c r="M1351" s="29" t="str">
        <f>VLOOKUP(G1351,'insumos terrapl'!$C$3:$K$47,7,0)</f>
        <v>00</v>
      </c>
      <c r="N1351" s="29" t="str">
        <f>VLOOKUP(G1351,'insumos terrapl'!$C$3:$K$47,8,0)</f>
        <v>00</v>
      </c>
      <c r="O1351" s="97" t="str">
        <f>VLOOKUP(G1351,'insumos terrapl'!$C$3:$K$47,9,0)</f>
        <v>00</v>
      </c>
    </row>
    <row r="1352" spans="1:15" ht="30">
      <c r="A1352" s="134"/>
      <c r="B1352" s="137"/>
      <c r="C1352" s="125"/>
      <c r="D1352" s="115"/>
      <c r="E1352" s="115"/>
      <c r="F1352" s="11" t="s">
        <v>647</v>
      </c>
      <c r="G1352" s="20" t="s">
        <v>648</v>
      </c>
      <c r="H1352" s="29" t="str">
        <f>VLOOKUP(G1352,'insumos terrapl'!$C$3:$K$47,2,0)</f>
        <v>2N  58  06  00  00  00  00</v>
      </c>
      <c r="I1352" s="29" t="str">
        <f>VLOOKUP(G1352,'insumos terrapl'!$C$3:$K$47,3,0)</f>
        <v>2N</v>
      </c>
      <c r="J1352" s="29">
        <f>VLOOKUP(G1352,'insumos terrapl'!$C$3:$K$47,4,0)</f>
        <v>58</v>
      </c>
      <c r="K1352" s="29" t="str">
        <f>VLOOKUP(G1352,'insumos terrapl'!$C$3:$K$47,5,0)</f>
        <v>06</v>
      </c>
      <c r="L1352" s="29" t="str">
        <f>VLOOKUP(G1352,'insumos terrapl'!$C$3:$K$47,6,0)</f>
        <v>00</v>
      </c>
      <c r="M1352" s="29" t="str">
        <f>VLOOKUP(G1352,'insumos terrapl'!$C$3:$K$47,7,0)</f>
        <v>00</v>
      </c>
      <c r="N1352" s="29" t="str">
        <f>VLOOKUP(G1352,'insumos terrapl'!$C$3:$K$47,8,0)</f>
        <v>00</v>
      </c>
      <c r="O1352" s="97" t="str">
        <f>VLOOKUP(G1352,'insumos terrapl'!$C$3:$K$47,9,0)</f>
        <v>00</v>
      </c>
    </row>
    <row r="1353" spans="1:15">
      <c r="A1353" s="134"/>
      <c r="B1353" s="137"/>
      <c r="C1353" s="125"/>
      <c r="D1353" s="115"/>
      <c r="E1353" s="115"/>
      <c r="F1353" s="11" t="s">
        <v>621</v>
      </c>
      <c r="G1353" s="20" t="s">
        <v>622</v>
      </c>
      <c r="H1353" s="29" t="str">
        <f>VLOOKUP(G1353,'insumos terrapl'!$C$3:$K$47,2,0)</f>
        <v>2N  58  06  00  00  00  00</v>
      </c>
      <c r="I1353" s="29" t="str">
        <f>VLOOKUP(G1353,'insumos terrapl'!$C$3:$K$47,3,0)</f>
        <v>2N</v>
      </c>
      <c r="J1353" s="29">
        <f>VLOOKUP(G1353,'insumos terrapl'!$C$3:$K$47,4,0)</f>
        <v>58</v>
      </c>
      <c r="K1353" s="29" t="str">
        <f>VLOOKUP(G1353,'insumos terrapl'!$C$3:$K$47,5,0)</f>
        <v>06</v>
      </c>
      <c r="L1353" s="29" t="str">
        <f>VLOOKUP(G1353,'insumos terrapl'!$C$3:$K$47,6,0)</f>
        <v>00</v>
      </c>
      <c r="M1353" s="29" t="str">
        <f>VLOOKUP(G1353,'insumos terrapl'!$C$3:$K$47,7,0)</f>
        <v>00</v>
      </c>
      <c r="N1353" s="29" t="str">
        <f>VLOOKUP(G1353,'insumos terrapl'!$C$3:$K$47,8,0)</f>
        <v>00</v>
      </c>
      <c r="O1353" s="97" t="str">
        <f>VLOOKUP(G1353,'insumos terrapl'!$C$3:$K$47,9,0)</f>
        <v>00</v>
      </c>
    </row>
    <row r="1354" spans="1:15">
      <c r="A1354" s="134"/>
      <c r="B1354" s="137"/>
      <c r="C1354" s="132"/>
      <c r="D1354" s="116"/>
      <c r="E1354" s="116"/>
      <c r="F1354" s="13"/>
      <c r="G1354" s="21"/>
      <c r="H1354" s="31"/>
      <c r="I1354" s="31"/>
      <c r="J1354" s="31"/>
      <c r="K1354" s="31"/>
      <c r="L1354" s="31"/>
      <c r="M1354" s="31"/>
      <c r="N1354" s="31"/>
      <c r="O1354" s="98"/>
    </row>
    <row r="1355" spans="1:15">
      <c r="A1355" s="134"/>
      <c r="B1355" s="137"/>
      <c r="C1355" s="124" t="s">
        <v>247</v>
      </c>
      <c r="D1355" s="114" t="str">
        <f>$A$1095</f>
        <v>2.6.8</v>
      </c>
      <c r="E1355" s="115" t="s">
        <v>505</v>
      </c>
      <c r="F1355" s="11" t="s">
        <v>247</v>
      </c>
      <c r="G1355" s="20"/>
      <c r="H1355" s="29"/>
      <c r="I1355" s="29"/>
      <c r="J1355" s="29"/>
      <c r="K1355" s="29"/>
      <c r="L1355" s="29"/>
      <c r="M1355" s="29"/>
      <c r="N1355" s="29"/>
      <c r="O1355" s="97"/>
    </row>
    <row r="1356" spans="1:15" ht="30">
      <c r="A1356" s="134"/>
      <c r="B1356" s="137"/>
      <c r="C1356" s="125"/>
      <c r="D1356" s="115"/>
      <c r="E1356" s="115"/>
      <c r="F1356" s="11" t="s">
        <v>659</v>
      </c>
      <c r="G1356" s="20" t="s">
        <v>660</v>
      </c>
      <c r="H1356" s="29" t="str">
        <f>VLOOKUP(G1356,'insumos terrapl'!$C$3:$K$47,2,0)</f>
        <v>2Q  66  10  02  00  00  00</v>
      </c>
      <c r="I1356" s="29" t="str">
        <f>VLOOKUP(G1356,'insumos terrapl'!$C$3:$K$47,3,0)</f>
        <v>2Q</v>
      </c>
      <c r="J1356" s="29">
        <f>VLOOKUP(G1356,'insumos terrapl'!$C$3:$K$47,4,0)</f>
        <v>66</v>
      </c>
      <c r="K1356" s="29" t="str">
        <f>VLOOKUP(G1356,'insumos terrapl'!$C$3:$K$47,5,0)</f>
        <v>10</v>
      </c>
      <c r="L1356" s="29" t="str">
        <f>VLOOKUP(G1356,'insumos terrapl'!$C$3:$K$47,6,0)</f>
        <v>02</v>
      </c>
      <c r="M1356" s="29" t="str">
        <f>VLOOKUP(G1356,'insumos terrapl'!$C$3:$K$47,7,0)</f>
        <v>00</v>
      </c>
      <c r="N1356" s="29" t="str">
        <f>VLOOKUP(G1356,'insumos terrapl'!$C$3:$K$47,8,0)</f>
        <v>00</v>
      </c>
      <c r="O1356" s="97" t="str">
        <f>VLOOKUP(G1356,'insumos terrapl'!$C$3:$K$47,9,0)</f>
        <v>00</v>
      </c>
    </row>
    <row r="1357" spans="1:15" ht="30">
      <c r="A1357" s="134"/>
      <c r="B1357" s="137"/>
      <c r="C1357" s="125"/>
      <c r="D1357" s="115"/>
      <c r="E1357" s="115"/>
      <c r="F1357" s="11" t="s">
        <v>661</v>
      </c>
      <c r="G1357" s="20" t="s">
        <v>662</v>
      </c>
      <c r="H1357" s="29" t="str">
        <f>VLOOKUP(G1357,'insumos terrapl'!$C$3:$K$47,2,0)</f>
        <v>2Q  62  10  06  00  00  00</v>
      </c>
      <c r="I1357" s="29" t="str">
        <f>VLOOKUP(G1357,'insumos terrapl'!$C$3:$K$47,3,0)</f>
        <v>2Q</v>
      </c>
      <c r="J1357" s="29">
        <f>VLOOKUP(G1357,'insumos terrapl'!$C$3:$K$47,4,0)</f>
        <v>62</v>
      </c>
      <c r="K1357" s="29" t="str">
        <f>VLOOKUP(G1357,'insumos terrapl'!$C$3:$K$47,5,0)</f>
        <v>10</v>
      </c>
      <c r="L1357" s="29" t="str">
        <f>VLOOKUP(G1357,'insumos terrapl'!$C$3:$K$47,6,0)</f>
        <v>06</v>
      </c>
      <c r="M1357" s="29" t="str">
        <f>VLOOKUP(G1357,'insumos terrapl'!$C$3:$K$47,7,0)</f>
        <v>00</v>
      </c>
      <c r="N1357" s="29" t="str">
        <f>VLOOKUP(G1357,'insumos terrapl'!$C$3:$K$47,8,0)</f>
        <v>00</v>
      </c>
      <c r="O1357" s="97" t="str">
        <f>VLOOKUP(G1357,'insumos terrapl'!$C$3:$K$47,9,0)</f>
        <v>00</v>
      </c>
    </row>
    <row r="1358" spans="1:15" ht="30">
      <c r="A1358" s="134"/>
      <c r="B1358" s="137"/>
      <c r="C1358" s="125"/>
      <c r="D1358" s="115"/>
      <c r="E1358" s="115"/>
      <c r="F1358" s="11" t="s">
        <v>607</v>
      </c>
      <c r="G1358" s="20" t="s">
        <v>608</v>
      </c>
      <c r="H1358" s="29" t="str">
        <f>VLOOKUP(G1358,'insumos terrapl'!$C$3:$K$47,2,0)</f>
        <v>2Q  42  06  18  02  02  00</v>
      </c>
      <c r="I1358" s="29" t="str">
        <f>VLOOKUP(G1358,'insumos terrapl'!$C$3:$K$47,3,0)</f>
        <v>2Q</v>
      </c>
      <c r="J1358" s="29">
        <f>VLOOKUP(G1358,'insumos terrapl'!$C$3:$K$47,4,0)</f>
        <v>42</v>
      </c>
      <c r="K1358" s="29" t="str">
        <f>VLOOKUP(G1358,'insumos terrapl'!$C$3:$K$47,5,0)</f>
        <v>06</v>
      </c>
      <c r="L1358" s="29">
        <f>VLOOKUP(G1358,'insumos terrapl'!$C$3:$K$47,6,0)</f>
        <v>18</v>
      </c>
      <c r="M1358" s="29" t="str">
        <f>VLOOKUP(G1358,'insumos terrapl'!$C$3:$K$47,7,0)</f>
        <v>02</v>
      </c>
      <c r="N1358" s="29" t="str">
        <f>VLOOKUP(G1358,'insumos terrapl'!$C$3:$K$47,8,0)</f>
        <v>02</v>
      </c>
      <c r="O1358" s="97" t="str">
        <f>VLOOKUP(G1358,'insumos terrapl'!$C$3:$K$47,9,0)</f>
        <v>00</v>
      </c>
    </row>
    <row r="1359" spans="1:15" ht="45">
      <c r="A1359" s="134"/>
      <c r="B1359" s="137"/>
      <c r="C1359" s="125"/>
      <c r="D1359" s="115"/>
      <c r="E1359" s="115"/>
      <c r="F1359" s="11" t="s">
        <v>609</v>
      </c>
      <c r="G1359" s="20" t="s">
        <v>610</v>
      </c>
      <c r="H1359" s="29" t="str">
        <f>VLOOKUP(G1359,'insumos terrapl'!$C$3:$K$47,2,0)</f>
        <v>2Q  42  06  02  14  02  00</v>
      </c>
      <c r="I1359" s="29" t="str">
        <f>VLOOKUP(G1359,'insumos terrapl'!$C$3:$K$47,3,0)</f>
        <v>2Q</v>
      </c>
      <c r="J1359" s="29">
        <f>VLOOKUP(G1359,'insumos terrapl'!$C$3:$K$47,4,0)</f>
        <v>42</v>
      </c>
      <c r="K1359" s="29" t="str">
        <f>VLOOKUP(G1359,'insumos terrapl'!$C$3:$K$47,5,0)</f>
        <v>06</v>
      </c>
      <c r="L1359" s="29" t="str">
        <f>VLOOKUP(G1359,'insumos terrapl'!$C$3:$K$47,6,0)</f>
        <v>02</v>
      </c>
      <c r="M1359" s="29" t="str">
        <f>VLOOKUP(G1359,'insumos terrapl'!$C$3:$K$47,7,0)</f>
        <v>14</v>
      </c>
      <c r="N1359" s="29" t="str">
        <f>VLOOKUP(G1359,'insumos terrapl'!$C$3:$K$47,8,0)</f>
        <v>02</v>
      </c>
      <c r="O1359" s="97" t="str">
        <f>VLOOKUP(G1359,'insumos terrapl'!$C$3:$K$47,9,0)</f>
        <v>00</v>
      </c>
    </row>
    <row r="1360" spans="1:15">
      <c r="A1360" s="134"/>
      <c r="B1360" s="137"/>
      <c r="C1360" s="125"/>
      <c r="D1360" s="115"/>
      <c r="E1360" s="115"/>
      <c r="F1360" s="11" t="s">
        <v>633</v>
      </c>
      <c r="G1360" s="20" t="s">
        <v>634</v>
      </c>
      <c r="H1360" s="29" t="str">
        <f>VLOOKUP(G1360,'insumos terrapl'!$C$3:$K$47,2,0)</f>
        <v>2Q  58  10  10  02  06  00</v>
      </c>
      <c r="I1360" s="29" t="str">
        <f>VLOOKUP(G1360,'insumos terrapl'!$C$3:$K$47,3,0)</f>
        <v>2Q</v>
      </c>
      <c r="J1360" s="29">
        <f>VLOOKUP(G1360,'insumos terrapl'!$C$3:$K$47,4,0)</f>
        <v>58</v>
      </c>
      <c r="K1360" s="29" t="str">
        <f>VLOOKUP(G1360,'insumos terrapl'!$C$3:$K$47,5,0)</f>
        <v>10</v>
      </c>
      <c r="L1360" s="29" t="str">
        <f>VLOOKUP(G1360,'insumos terrapl'!$C$3:$K$47,6,0)</f>
        <v>10</v>
      </c>
      <c r="M1360" s="29" t="str">
        <f>VLOOKUP(G1360,'insumos terrapl'!$C$3:$K$47,7,0)</f>
        <v>02</v>
      </c>
      <c r="N1360" s="29" t="str">
        <f>VLOOKUP(G1360,'insumos terrapl'!$C$3:$K$47,8,0)</f>
        <v>06</v>
      </c>
      <c r="O1360" s="97" t="str">
        <f>VLOOKUP(G1360,'insumos terrapl'!$C$3:$K$47,9,0)</f>
        <v>00</v>
      </c>
    </row>
    <row r="1361" spans="1:15">
      <c r="A1361" s="134"/>
      <c r="B1361" s="137"/>
      <c r="C1361" s="125"/>
      <c r="D1361" s="115"/>
      <c r="E1361" s="115"/>
      <c r="F1361" s="11" t="s">
        <v>586</v>
      </c>
      <c r="G1361" s="20" t="s">
        <v>587</v>
      </c>
      <c r="H1361" s="29" t="str">
        <f>VLOOKUP(G1361,'insumos terrapl'!$C$3:$K$47,2,0)</f>
        <v>2Q  62  30  02  14  00  00</v>
      </c>
      <c r="I1361" s="29" t="str">
        <f>VLOOKUP(G1361,'insumos terrapl'!$C$3:$K$47,3,0)</f>
        <v>2Q</v>
      </c>
      <c r="J1361" s="29">
        <f>VLOOKUP(G1361,'insumos terrapl'!$C$3:$K$47,4,0)</f>
        <v>62</v>
      </c>
      <c r="K1361" s="29">
        <f>VLOOKUP(G1361,'insumos terrapl'!$C$3:$K$47,5,0)</f>
        <v>30</v>
      </c>
      <c r="L1361" s="29" t="str">
        <f>VLOOKUP(G1361,'insumos terrapl'!$C$3:$K$47,6,0)</f>
        <v>02</v>
      </c>
      <c r="M1361" s="29" t="str">
        <f>VLOOKUP(G1361,'insumos terrapl'!$C$3:$K$47,7,0)</f>
        <v>14</v>
      </c>
      <c r="N1361" s="29" t="str">
        <f>VLOOKUP(G1361,'insumos terrapl'!$C$3:$K$47,8,0)</f>
        <v>00</v>
      </c>
      <c r="O1361" s="97" t="str">
        <f>VLOOKUP(G1361,'insumos terrapl'!$C$3:$K$47,9,0)</f>
        <v>00</v>
      </c>
    </row>
    <row r="1362" spans="1:15">
      <c r="A1362" s="134"/>
      <c r="B1362" s="137"/>
      <c r="C1362" s="125"/>
      <c r="D1362" s="115"/>
      <c r="E1362" s="115"/>
      <c r="F1362" s="11" t="s">
        <v>613</v>
      </c>
      <c r="G1362" s="20" t="s">
        <v>614</v>
      </c>
      <c r="H1362" s="29" t="str">
        <f>VLOOKUP(G1362,'insumos terrapl'!$C$3:$K$47,2,0)</f>
        <v>2N  20  14  02  00  00  00</v>
      </c>
      <c r="I1362" s="29" t="str">
        <f>VLOOKUP(G1362,'insumos terrapl'!$C$3:$K$47,3,0)</f>
        <v>2N</v>
      </c>
      <c r="J1362" s="29">
        <f>VLOOKUP(G1362,'insumos terrapl'!$C$3:$K$47,4,0)</f>
        <v>20</v>
      </c>
      <c r="K1362" s="29" t="str">
        <f>VLOOKUP(G1362,'insumos terrapl'!$C$3:$K$47,5,0)</f>
        <v>14</v>
      </c>
      <c r="L1362" s="29" t="str">
        <f>VLOOKUP(G1362,'insumos terrapl'!$C$3:$K$47,6,0)</f>
        <v>02</v>
      </c>
      <c r="M1362" s="29" t="str">
        <f>VLOOKUP(G1362,'insumos terrapl'!$C$3:$K$47,7,0)</f>
        <v>00</v>
      </c>
      <c r="N1362" s="29" t="str">
        <f>VLOOKUP(G1362,'insumos terrapl'!$C$3:$K$47,8,0)</f>
        <v>00</v>
      </c>
      <c r="O1362" s="97" t="str">
        <f>VLOOKUP(G1362,'insumos terrapl'!$C$3:$K$47,9,0)</f>
        <v>00</v>
      </c>
    </row>
    <row r="1363" spans="1:15">
      <c r="A1363" s="134"/>
      <c r="B1363" s="137"/>
      <c r="C1363" s="125"/>
      <c r="D1363" s="115"/>
      <c r="E1363" s="115"/>
      <c r="F1363" s="11" t="s">
        <v>615</v>
      </c>
      <c r="G1363" s="20" t="s">
        <v>616</v>
      </c>
      <c r="H1363" s="29" t="str">
        <f>VLOOKUP(G1363,'insumos terrapl'!$C$3:$K$47,2,0)</f>
        <v>2N  20  14  02  00  00  00</v>
      </c>
      <c r="I1363" s="29" t="str">
        <f>VLOOKUP(G1363,'insumos terrapl'!$C$3:$K$47,3,0)</f>
        <v>2N</v>
      </c>
      <c r="J1363" s="29">
        <f>VLOOKUP(G1363,'insumos terrapl'!$C$3:$K$47,4,0)</f>
        <v>20</v>
      </c>
      <c r="K1363" s="29" t="str">
        <f>VLOOKUP(G1363,'insumos terrapl'!$C$3:$K$47,5,0)</f>
        <v>14</v>
      </c>
      <c r="L1363" s="29" t="str">
        <f>VLOOKUP(G1363,'insumos terrapl'!$C$3:$K$47,6,0)</f>
        <v>02</v>
      </c>
      <c r="M1363" s="29" t="str">
        <f>VLOOKUP(G1363,'insumos terrapl'!$C$3:$K$47,7,0)</f>
        <v>00</v>
      </c>
      <c r="N1363" s="29" t="str">
        <f>VLOOKUP(G1363,'insumos terrapl'!$C$3:$K$47,8,0)</f>
        <v>00</v>
      </c>
      <c r="O1363" s="97" t="str">
        <f>VLOOKUP(G1363,'insumos terrapl'!$C$3:$K$47,9,0)</f>
        <v>00</v>
      </c>
    </row>
    <row r="1364" spans="1:15" ht="30">
      <c r="A1364" s="134"/>
      <c r="B1364" s="137"/>
      <c r="C1364" s="125"/>
      <c r="D1364" s="115"/>
      <c r="E1364" s="115"/>
      <c r="F1364" s="11" t="s">
        <v>635</v>
      </c>
      <c r="G1364" s="20" t="s">
        <v>636</v>
      </c>
      <c r="H1364" s="29" t="str">
        <f>VLOOKUP(G1364,'insumos terrapl'!$C$3:$K$47,2,0)</f>
        <v>2N  58  06  00  00  00  00</v>
      </c>
      <c r="I1364" s="29" t="str">
        <f>VLOOKUP(G1364,'insumos terrapl'!$C$3:$K$47,3,0)</f>
        <v>2N</v>
      </c>
      <c r="J1364" s="29">
        <f>VLOOKUP(G1364,'insumos terrapl'!$C$3:$K$47,4,0)</f>
        <v>58</v>
      </c>
      <c r="K1364" s="29" t="str">
        <f>VLOOKUP(G1364,'insumos terrapl'!$C$3:$K$47,5,0)</f>
        <v>06</v>
      </c>
      <c r="L1364" s="29" t="str">
        <f>VLOOKUP(G1364,'insumos terrapl'!$C$3:$K$47,6,0)</f>
        <v>00</v>
      </c>
      <c r="M1364" s="29" t="str">
        <f>VLOOKUP(G1364,'insumos terrapl'!$C$3:$K$47,7,0)</f>
        <v>00</v>
      </c>
      <c r="N1364" s="29" t="str">
        <f>VLOOKUP(G1364,'insumos terrapl'!$C$3:$K$47,8,0)</f>
        <v>00</v>
      </c>
      <c r="O1364" s="97" t="str">
        <f>VLOOKUP(G1364,'insumos terrapl'!$C$3:$K$47,9,0)</f>
        <v>00</v>
      </c>
    </row>
    <row r="1365" spans="1:15">
      <c r="A1365" s="134"/>
      <c r="B1365" s="137"/>
      <c r="C1365" s="125"/>
      <c r="D1365" s="115"/>
      <c r="E1365" s="115"/>
      <c r="F1365" s="11" t="s">
        <v>617</v>
      </c>
      <c r="G1365" s="20" t="s">
        <v>618</v>
      </c>
      <c r="H1365" s="29" t="str">
        <f>VLOOKUP(G1365,'insumos terrapl'!$C$3:$K$47,2,0)</f>
        <v>2Q  58  06  02  28  00  00</v>
      </c>
      <c r="I1365" s="29" t="str">
        <f>VLOOKUP(G1365,'insumos terrapl'!$C$3:$K$47,3,0)</f>
        <v>2Q</v>
      </c>
      <c r="J1365" s="29">
        <f>VLOOKUP(G1365,'insumos terrapl'!$C$3:$K$47,4,0)</f>
        <v>58</v>
      </c>
      <c r="K1365" s="29" t="str">
        <f>VLOOKUP(G1365,'insumos terrapl'!$C$3:$K$47,5,0)</f>
        <v>06</v>
      </c>
      <c r="L1365" s="29" t="str">
        <f>VLOOKUP(G1365,'insumos terrapl'!$C$3:$K$47,6,0)</f>
        <v>02</v>
      </c>
      <c r="M1365" s="29" t="str">
        <f>VLOOKUP(G1365,'insumos terrapl'!$C$3:$K$47,7,0)</f>
        <v>28</v>
      </c>
      <c r="N1365" s="29" t="str">
        <f>VLOOKUP(G1365,'insumos terrapl'!$C$3:$K$47,8,0)</f>
        <v>00</v>
      </c>
      <c r="O1365" s="97" t="str">
        <f>VLOOKUP(G1365,'insumos terrapl'!$C$3:$K$47,9,0)</f>
        <v>00</v>
      </c>
    </row>
    <row r="1366" spans="1:15" ht="30">
      <c r="A1366" s="134"/>
      <c r="B1366" s="137"/>
      <c r="C1366" s="125"/>
      <c r="D1366" s="115"/>
      <c r="E1366" s="115"/>
      <c r="F1366" s="11" t="s">
        <v>637</v>
      </c>
      <c r="G1366" s="20" t="s">
        <v>638</v>
      </c>
      <c r="H1366" s="29" t="str">
        <f>VLOOKUP(G1366,'insumos terrapl'!$C$3:$K$47,2,0)</f>
        <v>2N  58  06  00  00  00  00</v>
      </c>
      <c r="I1366" s="29" t="str">
        <f>VLOOKUP(G1366,'insumos terrapl'!$C$3:$K$47,3,0)</f>
        <v>2N</v>
      </c>
      <c r="J1366" s="29">
        <f>VLOOKUP(G1366,'insumos terrapl'!$C$3:$K$47,4,0)</f>
        <v>58</v>
      </c>
      <c r="K1366" s="29" t="str">
        <f>VLOOKUP(G1366,'insumos terrapl'!$C$3:$K$47,5,0)</f>
        <v>06</v>
      </c>
      <c r="L1366" s="29" t="str">
        <f>VLOOKUP(G1366,'insumos terrapl'!$C$3:$K$47,6,0)</f>
        <v>00</v>
      </c>
      <c r="M1366" s="29" t="str">
        <f>VLOOKUP(G1366,'insumos terrapl'!$C$3:$K$47,7,0)</f>
        <v>00</v>
      </c>
      <c r="N1366" s="29" t="str">
        <f>VLOOKUP(G1366,'insumos terrapl'!$C$3:$K$47,8,0)</f>
        <v>00</v>
      </c>
      <c r="O1366" s="97" t="str">
        <f>VLOOKUP(G1366,'insumos terrapl'!$C$3:$K$47,9,0)</f>
        <v>00</v>
      </c>
    </row>
    <row r="1367" spans="1:15" ht="30">
      <c r="A1367" s="134"/>
      <c r="B1367" s="137"/>
      <c r="C1367" s="125"/>
      <c r="D1367" s="115"/>
      <c r="E1367" s="115"/>
      <c r="F1367" s="11" t="s">
        <v>639</v>
      </c>
      <c r="G1367" s="20" t="s">
        <v>640</v>
      </c>
      <c r="H1367" s="29" t="str">
        <f>VLOOKUP(G1367,'insumos terrapl'!$C$3:$K$47,2,0)</f>
        <v>2N  58  06  00  00  00  00</v>
      </c>
      <c r="I1367" s="29" t="str">
        <f>VLOOKUP(G1367,'insumos terrapl'!$C$3:$K$47,3,0)</f>
        <v>2N</v>
      </c>
      <c r="J1367" s="29">
        <f>VLOOKUP(G1367,'insumos terrapl'!$C$3:$K$47,4,0)</f>
        <v>58</v>
      </c>
      <c r="K1367" s="29" t="str">
        <f>VLOOKUP(G1367,'insumos terrapl'!$C$3:$K$47,5,0)</f>
        <v>06</v>
      </c>
      <c r="L1367" s="29" t="str">
        <f>VLOOKUP(G1367,'insumos terrapl'!$C$3:$K$47,6,0)</f>
        <v>00</v>
      </c>
      <c r="M1367" s="29" t="str">
        <f>VLOOKUP(G1367,'insumos terrapl'!$C$3:$K$47,7,0)</f>
        <v>00</v>
      </c>
      <c r="N1367" s="29" t="str">
        <f>VLOOKUP(G1367,'insumos terrapl'!$C$3:$K$47,8,0)</f>
        <v>00</v>
      </c>
      <c r="O1367" s="97" t="str">
        <f>VLOOKUP(G1367,'insumos terrapl'!$C$3:$K$47,9,0)</f>
        <v>00</v>
      </c>
    </row>
    <row r="1368" spans="1:15">
      <c r="A1368" s="134"/>
      <c r="B1368" s="137"/>
      <c r="C1368" s="125"/>
      <c r="D1368" s="115"/>
      <c r="E1368" s="115"/>
      <c r="F1368" s="11" t="s">
        <v>641</v>
      </c>
      <c r="G1368" s="20" t="s">
        <v>642</v>
      </c>
      <c r="H1368" s="29" t="str">
        <f>VLOOKUP(G1368,'insumos terrapl'!$C$3:$K$47,2,0)</f>
        <v>2N  58  06  00  00  00  00</v>
      </c>
      <c r="I1368" s="29" t="str">
        <f>VLOOKUP(G1368,'insumos terrapl'!$C$3:$K$47,3,0)</f>
        <v>2N</v>
      </c>
      <c r="J1368" s="29">
        <f>VLOOKUP(G1368,'insumos terrapl'!$C$3:$K$47,4,0)</f>
        <v>58</v>
      </c>
      <c r="K1368" s="29" t="str">
        <f>VLOOKUP(G1368,'insumos terrapl'!$C$3:$K$47,5,0)</f>
        <v>06</v>
      </c>
      <c r="L1368" s="29" t="str">
        <f>VLOOKUP(G1368,'insumos terrapl'!$C$3:$K$47,6,0)</f>
        <v>00</v>
      </c>
      <c r="M1368" s="29" t="str">
        <f>VLOOKUP(G1368,'insumos terrapl'!$C$3:$K$47,7,0)</f>
        <v>00</v>
      </c>
      <c r="N1368" s="29" t="str">
        <f>VLOOKUP(G1368,'insumos terrapl'!$C$3:$K$47,8,0)</f>
        <v>00</v>
      </c>
      <c r="O1368" s="97" t="str">
        <f>VLOOKUP(G1368,'insumos terrapl'!$C$3:$K$47,9,0)</f>
        <v>00</v>
      </c>
    </row>
    <row r="1369" spans="1:15">
      <c r="A1369" s="134"/>
      <c r="B1369" s="137"/>
      <c r="C1369" s="125"/>
      <c r="D1369" s="115"/>
      <c r="E1369" s="115"/>
      <c r="F1369" s="11" t="s">
        <v>619</v>
      </c>
      <c r="G1369" s="20" t="s">
        <v>620</v>
      </c>
      <c r="H1369" s="29"/>
      <c r="I1369" s="29"/>
      <c r="J1369" s="29"/>
      <c r="K1369" s="29"/>
      <c r="L1369" s="29"/>
      <c r="M1369" s="29"/>
      <c r="N1369" s="29"/>
      <c r="O1369" s="97"/>
    </row>
    <row r="1370" spans="1:15">
      <c r="A1370" s="134"/>
      <c r="B1370" s="137"/>
      <c r="C1370" s="125"/>
      <c r="D1370" s="115"/>
      <c r="E1370" s="115"/>
      <c r="F1370" s="11" t="s">
        <v>643</v>
      </c>
      <c r="G1370" s="20" t="s">
        <v>644</v>
      </c>
      <c r="H1370" s="29" t="str">
        <f>VLOOKUP(G1370,'insumos terrapl'!$C$3:$K$47,2,0)</f>
        <v>2N  58  06  00  00  00  00</v>
      </c>
      <c r="I1370" s="29" t="str">
        <f>VLOOKUP(G1370,'insumos terrapl'!$C$3:$K$47,3,0)</f>
        <v>2N</v>
      </c>
      <c r="J1370" s="29">
        <f>VLOOKUP(G1370,'insumos terrapl'!$C$3:$K$47,4,0)</f>
        <v>58</v>
      </c>
      <c r="K1370" s="29" t="str">
        <f>VLOOKUP(G1370,'insumos terrapl'!$C$3:$K$47,5,0)</f>
        <v>06</v>
      </c>
      <c r="L1370" s="29" t="str">
        <f>VLOOKUP(G1370,'insumos terrapl'!$C$3:$K$47,6,0)</f>
        <v>00</v>
      </c>
      <c r="M1370" s="29" t="str">
        <f>VLOOKUP(G1370,'insumos terrapl'!$C$3:$K$47,7,0)</f>
        <v>00</v>
      </c>
      <c r="N1370" s="29" t="str">
        <f>VLOOKUP(G1370,'insumos terrapl'!$C$3:$K$47,8,0)</f>
        <v>00</v>
      </c>
      <c r="O1370" s="97" t="str">
        <f>VLOOKUP(G1370,'insumos terrapl'!$C$3:$K$47,9,0)</f>
        <v>00</v>
      </c>
    </row>
    <row r="1371" spans="1:15">
      <c r="A1371" s="134"/>
      <c r="B1371" s="137"/>
      <c r="C1371" s="125"/>
      <c r="D1371" s="115"/>
      <c r="E1371" s="115"/>
      <c r="F1371" s="11" t="s">
        <v>645</v>
      </c>
      <c r="G1371" s="20" t="s">
        <v>646</v>
      </c>
      <c r="H1371" s="29" t="str">
        <f>VLOOKUP(G1371,'insumos terrapl'!$C$3:$K$47,2,0)</f>
        <v>2N  58  06  00  00  00  00</v>
      </c>
      <c r="I1371" s="29" t="str">
        <f>VLOOKUP(G1371,'insumos terrapl'!$C$3:$K$47,3,0)</f>
        <v>2N</v>
      </c>
      <c r="J1371" s="29">
        <f>VLOOKUP(G1371,'insumos terrapl'!$C$3:$K$47,4,0)</f>
        <v>58</v>
      </c>
      <c r="K1371" s="29" t="str">
        <f>VLOOKUP(G1371,'insumos terrapl'!$C$3:$K$47,5,0)</f>
        <v>06</v>
      </c>
      <c r="L1371" s="29" t="str">
        <f>VLOOKUP(G1371,'insumos terrapl'!$C$3:$K$47,6,0)</f>
        <v>00</v>
      </c>
      <c r="M1371" s="29" t="str">
        <f>VLOOKUP(G1371,'insumos terrapl'!$C$3:$K$47,7,0)</f>
        <v>00</v>
      </c>
      <c r="N1371" s="29" t="str">
        <f>VLOOKUP(G1371,'insumos terrapl'!$C$3:$K$47,8,0)</f>
        <v>00</v>
      </c>
      <c r="O1371" s="97" t="str">
        <f>VLOOKUP(G1371,'insumos terrapl'!$C$3:$K$47,9,0)</f>
        <v>00</v>
      </c>
    </row>
    <row r="1372" spans="1:15" ht="30">
      <c r="A1372" s="134"/>
      <c r="B1372" s="137"/>
      <c r="C1372" s="125"/>
      <c r="D1372" s="115"/>
      <c r="E1372" s="115"/>
      <c r="F1372" s="11" t="s">
        <v>647</v>
      </c>
      <c r="G1372" s="20" t="s">
        <v>648</v>
      </c>
      <c r="H1372" s="29" t="str">
        <f>VLOOKUP(G1372,'insumos terrapl'!$C$3:$K$47,2,0)</f>
        <v>2N  58  06  00  00  00  00</v>
      </c>
      <c r="I1372" s="29" t="str">
        <f>VLOOKUP(G1372,'insumos terrapl'!$C$3:$K$47,3,0)</f>
        <v>2N</v>
      </c>
      <c r="J1372" s="29">
        <f>VLOOKUP(G1372,'insumos terrapl'!$C$3:$K$47,4,0)</f>
        <v>58</v>
      </c>
      <c r="K1372" s="29" t="str">
        <f>VLOOKUP(G1372,'insumos terrapl'!$C$3:$K$47,5,0)</f>
        <v>06</v>
      </c>
      <c r="L1372" s="29" t="str">
        <f>VLOOKUP(G1372,'insumos terrapl'!$C$3:$K$47,6,0)</f>
        <v>00</v>
      </c>
      <c r="M1372" s="29" t="str">
        <f>VLOOKUP(G1372,'insumos terrapl'!$C$3:$K$47,7,0)</f>
        <v>00</v>
      </c>
      <c r="N1372" s="29" t="str">
        <f>VLOOKUP(G1372,'insumos terrapl'!$C$3:$K$47,8,0)</f>
        <v>00</v>
      </c>
      <c r="O1372" s="97" t="str">
        <f>VLOOKUP(G1372,'insumos terrapl'!$C$3:$K$47,9,0)</f>
        <v>00</v>
      </c>
    </row>
    <row r="1373" spans="1:15">
      <c r="A1373" s="134"/>
      <c r="B1373" s="137"/>
      <c r="C1373" s="125"/>
      <c r="D1373" s="115"/>
      <c r="E1373" s="115"/>
      <c r="F1373" s="11" t="s">
        <v>621</v>
      </c>
      <c r="G1373" s="20" t="s">
        <v>622</v>
      </c>
      <c r="H1373" s="29" t="str">
        <f>VLOOKUP(G1373,'insumos terrapl'!$C$3:$K$47,2,0)</f>
        <v>2N  58  06  00  00  00  00</v>
      </c>
      <c r="I1373" s="29" t="str">
        <f>VLOOKUP(G1373,'insumos terrapl'!$C$3:$K$47,3,0)</f>
        <v>2N</v>
      </c>
      <c r="J1373" s="29">
        <f>VLOOKUP(G1373,'insumos terrapl'!$C$3:$K$47,4,0)</f>
        <v>58</v>
      </c>
      <c r="K1373" s="29" t="str">
        <f>VLOOKUP(G1373,'insumos terrapl'!$C$3:$K$47,5,0)</f>
        <v>06</v>
      </c>
      <c r="L1373" s="29" t="str">
        <f>VLOOKUP(G1373,'insumos terrapl'!$C$3:$K$47,6,0)</f>
        <v>00</v>
      </c>
      <c r="M1373" s="29" t="str">
        <f>VLOOKUP(G1373,'insumos terrapl'!$C$3:$K$47,7,0)</f>
        <v>00</v>
      </c>
      <c r="N1373" s="29" t="str">
        <f>VLOOKUP(G1373,'insumos terrapl'!$C$3:$K$47,8,0)</f>
        <v>00</v>
      </c>
      <c r="O1373" s="97" t="str">
        <f>VLOOKUP(G1373,'insumos terrapl'!$C$3:$K$47,9,0)</f>
        <v>00</v>
      </c>
    </row>
    <row r="1374" spans="1:15">
      <c r="A1374" s="134"/>
      <c r="B1374" s="137"/>
      <c r="C1374" s="132"/>
      <c r="D1374" s="116"/>
      <c r="E1374" s="116"/>
      <c r="F1374" s="10"/>
      <c r="G1374" s="20"/>
      <c r="H1374" s="29"/>
      <c r="I1374" s="29"/>
      <c r="J1374" s="29"/>
      <c r="K1374" s="29"/>
      <c r="L1374" s="29"/>
      <c r="M1374" s="29"/>
      <c r="N1374" s="29"/>
      <c r="O1374" s="97"/>
    </row>
    <row r="1375" spans="1:15">
      <c r="A1375" s="134"/>
      <c r="B1375" s="137"/>
      <c r="C1375" s="124" t="s">
        <v>248</v>
      </c>
      <c r="D1375" s="114" t="str">
        <f>$A$1095</f>
        <v>2.6.8</v>
      </c>
      <c r="E1375" s="114" t="s">
        <v>506</v>
      </c>
      <c r="F1375" s="11" t="s">
        <v>248</v>
      </c>
      <c r="G1375" s="20"/>
      <c r="H1375" s="29"/>
      <c r="I1375" s="29"/>
      <c r="J1375" s="29"/>
      <c r="K1375" s="29"/>
      <c r="L1375" s="29"/>
      <c r="M1375" s="29"/>
      <c r="N1375" s="29"/>
      <c r="O1375" s="97"/>
    </row>
    <row r="1376" spans="1:15" ht="30">
      <c r="A1376" s="134"/>
      <c r="B1376" s="137"/>
      <c r="C1376" s="125"/>
      <c r="D1376" s="115"/>
      <c r="E1376" s="115"/>
      <c r="F1376" s="11" t="s">
        <v>659</v>
      </c>
      <c r="G1376" s="20" t="s">
        <v>660</v>
      </c>
      <c r="H1376" s="29" t="str">
        <f>VLOOKUP(G1376,'insumos terrapl'!$C$3:$K$47,2,0)</f>
        <v>2Q  66  10  02  00  00  00</v>
      </c>
      <c r="I1376" s="29" t="str">
        <f>VLOOKUP(G1376,'insumos terrapl'!$C$3:$K$47,3,0)</f>
        <v>2Q</v>
      </c>
      <c r="J1376" s="29">
        <f>VLOOKUP(G1376,'insumos terrapl'!$C$3:$K$47,4,0)</f>
        <v>66</v>
      </c>
      <c r="K1376" s="29" t="str">
        <f>VLOOKUP(G1376,'insumos terrapl'!$C$3:$K$47,5,0)</f>
        <v>10</v>
      </c>
      <c r="L1376" s="29" t="str">
        <f>VLOOKUP(G1376,'insumos terrapl'!$C$3:$K$47,6,0)</f>
        <v>02</v>
      </c>
      <c r="M1376" s="29" t="str">
        <f>VLOOKUP(G1376,'insumos terrapl'!$C$3:$K$47,7,0)</f>
        <v>00</v>
      </c>
      <c r="N1376" s="29" t="str">
        <f>VLOOKUP(G1376,'insumos terrapl'!$C$3:$K$47,8,0)</f>
        <v>00</v>
      </c>
      <c r="O1376" s="97" t="str">
        <f>VLOOKUP(G1376,'insumos terrapl'!$C$3:$K$47,9,0)</f>
        <v>00</v>
      </c>
    </row>
    <row r="1377" spans="1:15" ht="30">
      <c r="A1377" s="134"/>
      <c r="B1377" s="137"/>
      <c r="C1377" s="125"/>
      <c r="D1377" s="115"/>
      <c r="E1377" s="115"/>
      <c r="F1377" s="11" t="s">
        <v>661</v>
      </c>
      <c r="G1377" s="20" t="s">
        <v>662</v>
      </c>
      <c r="H1377" s="29" t="str">
        <f>VLOOKUP(G1377,'insumos terrapl'!$C$3:$K$47,2,0)</f>
        <v>2Q  62  10  06  00  00  00</v>
      </c>
      <c r="I1377" s="29" t="str">
        <f>VLOOKUP(G1377,'insumos terrapl'!$C$3:$K$47,3,0)</f>
        <v>2Q</v>
      </c>
      <c r="J1377" s="29">
        <f>VLOOKUP(G1377,'insumos terrapl'!$C$3:$K$47,4,0)</f>
        <v>62</v>
      </c>
      <c r="K1377" s="29" t="str">
        <f>VLOOKUP(G1377,'insumos terrapl'!$C$3:$K$47,5,0)</f>
        <v>10</v>
      </c>
      <c r="L1377" s="29" t="str">
        <f>VLOOKUP(G1377,'insumos terrapl'!$C$3:$K$47,6,0)</f>
        <v>06</v>
      </c>
      <c r="M1377" s="29" t="str">
        <f>VLOOKUP(G1377,'insumos terrapl'!$C$3:$K$47,7,0)</f>
        <v>00</v>
      </c>
      <c r="N1377" s="29" t="str">
        <f>VLOOKUP(G1377,'insumos terrapl'!$C$3:$K$47,8,0)</f>
        <v>00</v>
      </c>
      <c r="O1377" s="97" t="str">
        <f>VLOOKUP(G1377,'insumos terrapl'!$C$3:$K$47,9,0)</f>
        <v>00</v>
      </c>
    </row>
    <row r="1378" spans="1:15" ht="30">
      <c r="A1378" s="134"/>
      <c r="B1378" s="137"/>
      <c r="C1378" s="125"/>
      <c r="D1378" s="115"/>
      <c r="E1378" s="115"/>
      <c r="F1378" s="11" t="s">
        <v>607</v>
      </c>
      <c r="G1378" s="20" t="s">
        <v>608</v>
      </c>
      <c r="H1378" s="29" t="str">
        <f>VLOOKUP(G1378,'insumos terrapl'!$C$3:$K$47,2,0)</f>
        <v>2Q  42  06  18  02  02  00</v>
      </c>
      <c r="I1378" s="29" t="str">
        <f>VLOOKUP(G1378,'insumos terrapl'!$C$3:$K$47,3,0)</f>
        <v>2Q</v>
      </c>
      <c r="J1378" s="29">
        <f>VLOOKUP(G1378,'insumos terrapl'!$C$3:$K$47,4,0)</f>
        <v>42</v>
      </c>
      <c r="K1378" s="29" t="str">
        <f>VLOOKUP(G1378,'insumos terrapl'!$C$3:$K$47,5,0)</f>
        <v>06</v>
      </c>
      <c r="L1378" s="29">
        <f>VLOOKUP(G1378,'insumos terrapl'!$C$3:$K$47,6,0)</f>
        <v>18</v>
      </c>
      <c r="M1378" s="29" t="str">
        <f>VLOOKUP(G1378,'insumos terrapl'!$C$3:$K$47,7,0)</f>
        <v>02</v>
      </c>
      <c r="N1378" s="29" t="str">
        <f>VLOOKUP(G1378,'insumos terrapl'!$C$3:$K$47,8,0)</f>
        <v>02</v>
      </c>
      <c r="O1378" s="97" t="str">
        <f>VLOOKUP(G1378,'insumos terrapl'!$C$3:$K$47,9,0)</f>
        <v>00</v>
      </c>
    </row>
    <row r="1379" spans="1:15" ht="45">
      <c r="A1379" s="134"/>
      <c r="B1379" s="137"/>
      <c r="C1379" s="125"/>
      <c r="D1379" s="115"/>
      <c r="E1379" s="115"/>
      <c r="F1379" s="11" t="s">
        <v>609</v>
      </c>
      <c r="G1379" s="20" t="s">
        <v>610</v>
      </c>
      <c r="H1379" s="29" t="str">
        <f>VLOOKUP(G1379,'insumos terrapl'!$C$3:$K$47,2,0)</f>
        <v>2Q  42  06  02  14  02  00</v>
      </c>
      <c r="I1379" s="29" t="str">
        <f>VLOOKUP(G1379,'insumos terrapl'!$C$3:$K$47,3,0)</f>
        <v>2Q</v>
      </c>
      <c r="J1379" s="29">
        <f>VLOOKUP(G1379,'insumos terrapl'!$C$3:$K$47,4,0)</f>
        <v>42</v>
      </c>
      <c r="K1379" s="29" t="str">
        <f>VLOOKUP(G1379,'insumos terrapl'!$C$3:$K$47,5,0)</f>
        <v>06</v>
      </c>
      <c r="L1379" s="29" t="str">
        <f>VLOOKUP(G1379,'insumos terrapl'!$C$3:$K$47,6,0)</f>
        <v>02</v>
      </c>
      <c r="M1379" s="29" t="str">
        <f>VLOOKUP(G1379,'insumos terrapl'!$C$3:$K$47,7,0)</f>
        <v>14</v>
      </c>
      <c r="N1379" s="29" t="str">
        <f>VLOOKUP(G1379,'insumos terrapl'!$C$3:$K$47,8,0)</f>
        <v>02</v>
      </c>
      <c r="O1379" s="97" t="str">
        <f>VLOOKUP(G1379,'insumos terrapl'!$C$3:$K$47,9,0)</f>
        <v>00</v>
      </c>
    </row>
    <row r="1380" spans="1:15">
      <c r="A1380" s="134"/>
      <c r="B1380" s="137"/>
      <c r="C1380" s="125"/>
      <c r="D1380" s="115"/>
      <c r="E1380" s="115"/>
      <c r="F1380" s="11" t="s">
        <v>633</v>
      </c>
      <c r="G1380" s="20" t="s">
        <v>634</v>
      </c>
      <c r="H1380" s="29" t="str">
        <f>VLOOKUP(G1380,'insumos terrapl'!$C$3:$K$47,2,0)</f>
        <v>2Q  58  10  10  02  06  00</v>
      </c>
      <c r="I1380" s="29" t="str">
        <f>VLOOKUP(G1380,'insumos terrapl'!$C$3:$K$47,3,0)</f>
        <v>2Q</v>
      </c>
      <c r="J1380" s="29">
        <f>VLOOKUP(G1380,'insumos terrapl'!$C$3:$K$47,4,0)</f>
        <v>58</v>
      </c>
      <c r="K1380" s="29" t="str">
        <f>VLOOKUP(G1380,'insumos terrapl'!$C$3:$K$47,5,0)</f>
        <v>10</v>
      </c>
      <c r="L1380" s="29" t="str">
        <f>VLOOKUP(G1380,'insumos terrapl'!$C$3:$K$47,6,0)</f>
        <v>10</v>
      </c>
      <c r="M1380" s="29" t="str">
        <f>VLOOKUP(G1380,'insumos terrapl'!$C$3:$K$47,7,0)</f>
        <v>02</v>
      </c>
      <c r="N1380" s="29" t="str">
        <f>VLOOKUP(G1380,'insumos terrapl'!$C$3:$K$47,8,0)</f>
        <v>06</v>
      </c>
      <c r="O1380" s="97" t="str">
        <f>VLOOKUP(G1380,'insumos terrapl'!$C$3:$K$47,9,0)</f>
        <v>00</v>
      </c>
    </row>
    <row r="1381" spans="1:15">
      <c r="A1381" s="134"/>
      <c r="B1381" s="137"/>
      <c r="C1381" s="125"/>
      <c r="D1381" s="115"/>
      <c r="E1381" s="115"/>
      <c r="F1381" s="11" t="s">
        <v>586</v>
      </c>
      <c r="G1381" s="20" t="s">
        <v>587</v>
      </c>
      <c r="H1381" s="29" t="str">
        <f>VLOOKUP(G1381,'insumos terrapl'!$C$3:$K$47,2,0)</f>
        <v>2Q  62  30  02  14  00  00</v>
      </c>
      <c r="I1381" s="29" t="str">
        <f>VLOOKUP(G1381,'insumos terrapl'!$C$3:$K$47,3,0)</f>
        <v>2Q</v>
      </c>
      <c r="J1381" s="29">
        <f>VLOOKUP(G1381,'insumos terrapl'!$C$3:$K$47,4,0)</f>
        <v>62</v>
      </c>
      <c r="K1381" s="29">
        <f>VLOOKUP(G1381,'insumos terrapl'!$C$3:$K$47,5,0)</f>
        <v>30</v>
      </c>
      <c r="L1381" s="29" t="str">
        <f>VLOOKUP(G1381,'insumos terrapl'!$C$3:$K$47,6,0)</f>
        <v>02</v>
      </c>
      <c r="M1381" s="29" t="str">
        <f>VLOOKUP(G1381,'insumos terrapl'!$C$3:$K$47,7,0)</f>
        <v>14</v>
      </c>
      <c r="N1381" s="29" t="str">
        <f>VLOOKUP(G1381,'insumos terrapl'!$C$3:$K$47,8,0)</f>
        <v>00</v>
      </c>
      <c r="O1381" s="97" t="str">
        <f>VLOOKUP(G1381,'insumos terrapl'!$C$3:$K$47,9,0)</f>
        <v>00</v>
      </c>
    </row>
    <row r="1382" spans="1:15">
      <c r="A1382" s="134"/>
      <c r="B1382" s="137"/>
      <c r="C1382" s="125"/>
      <c r="D1382" s="115"/>
      <c r="E1382" s="115"/>
      <c r="F1382" s="11" t="s">
        <v>613</v>
      </c>
      <c r="G1382" s="20" t="s">
        <v>614</v>
      </c>
      <c r="H1382" s="29" t="str">
        <f>VLOOKUP(G1382,'insumos terrapl'!$C$3:$K$47,2,0)</f>
        <v>2N  20  14  02  00  00  00</v>
      </c>
      <c r="I1382" s="29" t="str">
        <f>VLOOKUP(G1382,'insumos terrapl'!$C$3:$K$47,3,0)</f>
        <v>2N</v>
      </c>
      <c r="J1382" s="29">
        <f>VLOOKUP(G1382,'insumos terrapl'!$C$3:$K$47,4,0)</f>
        <v>20</v>
      </c>
      <c r="K1382" s="29" t="str">
        <f>VLOOKUP(G1382,'insumos terrapl'!$C$3:$K$47,5,0)</f>
        <v>14</v>
      </c>
      <c r="L1382" s="29" t="str">
        <f>VLOOKUP(G1382,'insumos terrapl'!$C$3:$K$47,6,0)</f>
        <v>02</v>
      </c>
      <c r="M1382" s="29" t="str">
        <f>VLOOKUP(G1382,'insumos terrapl'!$C$3:$K$47,7,0)</f>
        <v>00</v>
      </c>
      <c r="N1382" s="29" t="str">
        <f>VLOOKUP(G1382,'insumos terrapl'!$C$3:$K$47,8,0)</f>
        <v>00</v>
      </c>
      <c r="O1382" s="97" t="str">
        <f>VLOOKUP(G1382,'insumos terrapl'!$C$3:$K$47,9,0)</f>
        <v>00</v>
      </c>
    </row>
    <row r="1383" spans="1:15">
      <c r="A1383" s="134"/>
      <c r="B1383" s="137"/>
      <c r="C1383" s="125"/>
      <c r="D1383" s="115"/>
      <c r="E1383" s="115"/>
      <c r="F1383" s="11" t="s">
        <v>615</v>
      </c>
      <c r="G1383" s="20" t="s">
        <v>616</v>
      </c>
      <c r="H1383" s="29" t="str">
        <f>VLOOKUP(G1383,'insumos terrapl'!$C$3:$K$47,2,0)</f>
        <v>2N  20  14  02  00  00  00</v>
      </c>
      <c r="I1383" s="29" t="str">
        <f>VLOOKUP(G1383,'insumos terrapl'!$C$3:$K$47,3,0)</f>
        <v>2N</v>
      </c>
      <c r="J1383" s="29">
        <f>VLOOKUP(G1383,'insumos terrapl'!$C$3:$K$47,4,0)</f>
        <v>20</v>
      </c>
      <c r="K1383" s="29" t="str">
        <f>VLOOKUP(G1383,'insumos terrapl'!$C$3:$K$47,5,0)</f>
        <v>14</v>
      </c>
      <c r="L1383" s="29" t="str">
        <f>VLOOKUP(G1383,'insumos terrapl'!$C$3:$K$47,6,0)</f>
        <v>02</v>
      </c>
      <c r="M1383" s="29" t="str">
        <f>VLOOKUP(G1383,'insumos terrapl'!$C$3:$K$47,7,0)</f>
        <v>00</v>
      </c>
      <c r="N1383" s="29" t="str">
        <f>VLOOKUP(G1383,'insumos terrapl'!$C$3:$K$47,8,0)</f>
        <v>00</v>
      </c>
      <c r="O1383" s="97" t="str">
        <f>VLOOKUP(G1383,'insumos terrapl'!$C$3:$K$47,9,0)</f>
        <v>00</v>
      </c>
    </row>
    <row r="1384" spans="1:15" ht="30">
      <c r="A1384" s="134"/>
      <c r="B1384" s="137"/>
      <c r="C1384" s="125"/>
      <c r="D1384" s="115"/>
      <c r="E1384" s="115"/>
      <c r="F1384" s="11" t="s">
        <v>635</v>
      </c>
      <c r="G1384" s="20" t="s">
        <v>636</v>
      </c>
      <c r="H1384" s="29" t="str">
        <f>VLOOKUP(G1384,'insumos terrapl'!$C$3:$K$47,2,0)</f>
        <v>2N  58  06  00  00  00  00</v>
      </c>
      <c r="I1384" s="29" t="str">
        <f>VLOOKUP(G1384,'insumos terrapl'!$C$3:$K$47,3,0)</f>
        <v>2N</v>
      </c>
      <c r="J1384" s="29">
        <f>VLOOKUP(G1384,'insumos terrapl'!$C$3:$K$47,4,0)</f>
        <v>58</v>
      </c>
      <c r="K1384" s="29" t="str">
        <f>VLOOKUP(G1384,'insumos terrapl'!$C$3:$K$47,5,0)</f>
        <v>06</v>
      </c>
      <c r="L1384" s="29" t="str">
        <f>VLOOKUP(G1384,'insumos terrapl'!$C$3:$K$47,6,0)</f>
        <v>00</v>
      </c>
      <c r="M1384" s="29" t="str">
        <f>VLOOKUP(G1384,'insumos terrapl'!$C$3:$K$47,7,0)</f>
        <v>00</v>
      </c>
      <c r="N1384" s="29" t="str">
        <f>VLOOKUP(G1384,'insumos terrapl'!$C$3:$K$47,8,0)</f>
        <v>00</v>
      </c>
      <c r="O1384" s="97" t="str">
        <f>VLOOKUP(G1384,'insumos terrapl'!$C$3:$K$47,9,0)</f>
        <v>00</v>
      </c>
    </row>
    <row r="1385" spans="1:15">
      <c r="A1385" s="134"/>
      <c r="B1385" s="137"/>
      <c r="C1385" s="125"/>
      <c r="D1385" s="115"/>
      <c r="E1385" s="115"/>
      <c r="F1385" s="11" t="s">
        <v>617</v>
      </c>
      <c r="G1385" s="20" t="s">
        <v>618</v>
      </c>
      <c r="H1385" s="29" t="str">
        <f>VLOOKUP(G1385,'insumos terrapl'!$C$3:$K$47,2,0)</f>
        <v>2Q  58  06  02  28  00  00</v>
      </c>
      <c r="I1385" s="29" t="str">
        <f>VLOOKUP(G1385,'insumos terrapl'!$C$3:$K$47,3,0)</f>
        <v>2Q</v>
      </c>
      <c r="J1385" s="29">
        <f>VLOOKUP(G1385,'insumos terrapl'!$C$3:$K$47,4,0)</f>
        <v>58</v>
      </c>
      <c r="K1385" s="29" t="str">
        <f>VLOOKUP(G1385,'insumos terrapl'!$C$3:$K$47,5,0)</f>
        <v>06</v>
      </c>
      <c r="L1385" s="29" t="str">
        <f>VLOOKUP(G1385,'insumos terrapl'!$C$3:$K$47,6,0)</f>
        <v>02</v>
      </c>
      <c r="M1385" s="29" t="str">
        <f>VLOOKUP(G1385,'insumos terrapl'!$C$3:$K$47,7,0)</f>
        <v>28</v>
      </c>
      <c r="N1385" s="29" t="str">
        <f>VLOOKUP(G1385,'insumos terrapl'!$C$3:$K$47,8,0)</f>
        <v>00</v>
      </c>
      <c r="O1385" s="97" t="str">
        <f>VLOOKUP(G1385,'insumos terrapl'!$C$3:$K$47,9,0)</f>
        <v>00</v>
      </c>
    </row>
    <row r="1386" spans="1:15" ht="30">
      <c r="A1386" s="134"/>
      <c r="B1386" s="137"/>
      <c r="C1386" s="125"/>
      <c r="D1386" s="115"/>
      <c r="E1386" s="115"/>
      <c r="F1386" s="11" t="s">
        <v>637</v>
      </c>
      <c r="G1386" s="20" t="s">
        <v>638</v>
      </c>
      <c r="H1386" s="29" t="str">
        <f>VLOOKUP(G1386,'insumos terrapl'!$C$3:$K$47,2,0)</f>
        <v>2N  58  06  00  00  00  00</v>
      </c>
      <c r="I1386" s="29" t="str">
        <f>VLOOKUP(G1386,'insumos terrapl'!$C$3:$K$47,3,0)</f>
        <v>2N</v>
      </c>
      <c r="J1386" s="29">
        <f>VLOOKUP(G1386,'insumos terrapl'!$C$3:$K$47,4,0)</f>
        <v>58</v>
      </c>
      <c r="K1386" s="29" t="str">
        <f>VLOOKUP(G1386,'insumos terrapl'!$C$3:$K$47,5,0)</f>
        <v>06</v>
      </c>
      <c r="L1386" s="29" t="str">
        <f>VLOOKUP(G1386,'insumos terrapl'!$C$3:$K$47,6,0)</f>
        <v>00</v>
      </c>
      <c r="M1386" s="29" t="str">
        <f>VLOOKUP(G1386,'insumos terrapl'!$C$3:$K$47,7,0)</f>
        <v>00</v>
      </c>
      <c r="N1386" s="29" t="str">
        <f>VLOOKUP(G1386,'insumos terrapl'!$C$3:$K$47,8,0)</f>
        <v>00</v>
      </c>
      <c r="O1386" s="97" t="str">
        <f>VLOOKUP(G1386,'insumos terrapl'!$C$3:$K$47,9,0)</f>
        <v>00</v>
      </c>
    </row>
    <row r="1387" spans="1:15" ht="30">
      <c r="A1387" s="134"/>
      <c r="B1387" s="137"/>
      <c r="C1387" s="125"/>
      <c r="D1387" s="115"/>
      <c r="E1387" s="115"/>
      <c r="F1387" s="11" t="s">
        <v>639</v>
      </c>
      <c r="G1387" s="20" t="s">
        <v>640</v>
      </c>
      <c r="H1387" s="29" t="str">
        <f>VLOOKUP(G1387,'insumos terrapl'!$C$3:$K$47,2,0)</f>
        <v>2N  58  06  00  00  00  00</v>
      </c>
      <c r="I1387" s="29" t="str">
        <f>VLOOKUP(G1387,'insumos terrapl'!$C$3:$K$47,3,0)</f>
        <v>2N</v>
      </c>
      <c r="J1387" s="29">
        <f>VLOOKUP(G1387,'insumos terrapl'!$C$3:$K$47,4,0)</f>
        <v>58</v>
      </c>
      <c r="K1387" s="29" t="str">
        <f>VLOOKUP(G1387,'insumos terrapl'!$C$3:$K$47,5,0)</f>
        <v>06</v>
      </c>
      <c r="L1387" s="29" t="str">
        <f>VLOOKUP(G1387,'insumos terrapl'!$C$3:$K$47,6,0)</f>
        <v>00</v>
      </c>
      <c r="M1387" s="29" t="str">
        <f>VLOOKUP(G1387,'insumos terrapl'!$C$3:$K$47,7,0)</f>
        <v>00</v>
      </c>
      <c r="N1387" s="29" t="str">
        <f>VLOOKUP(G1387,'insumos terrapl'!$C$3:$K$47,8,0)</f>
        <v>00</v>
      </c>
      <c r="O1387" s="97" t="str">
        <f>VLOOKUP(G1387,'insumos terrapl'!$C$3:$K$47,9,0)</f>
        <v>00</v>
      </c>
    </row>
    <row r="1388" spans="1:15">
      <c r="A1388" s="134"/>
      <c r="B1388" s="137"/>
      <c r="C1388" s="125"/>
      <c r="D1388" s="115"/>
      <c r="E1388" s="115"/>
      <c r="F1388" s="11" t="s">
        <v>641</v>
      </c>
      <c r="G1388" s="20" t="s">
        <v>642</v>
      </c>
      <c r="H1388" s="29" t="str">
        <f>VLOOKUP(G1388,'insumos terrapl'!$C$3:$K$47,2,0)</f>
        <v>2N  58  06  00  00  00  00</v>
      </c>
      <c r="I1388" s="29" t="str">
        <f>VLOOKUP(G1388,'insumos terrapl'!$C$3:$K$47,3,0)</f>
        <v>2N</v>
      </c>
      <c r="J1388" s="29">
        <f>VLOOKUP(G1388,'insumos terrapl'!$C$3:$K$47,4,0)</f>
        <v>58</v>
      </c>
      <c r="K1388" s="29" t="str">
        <f>VLOOKUP(G1388,'insumos terrapl'!$C$3:$K$47,5,0)</f>
        <v>06</v>
      </c>
      <c r="L1388" s="29" t="str">
        <f>VLOOKUP(G1388,'insumos terrapl'!$C$3:$K$47,6,0)</f>
        <v>00</v>
      </c>
      <c r="M1388" s="29" t="str">
        <f>VLOOKUP(G1388,'insumos terrapl'!$C$3:$K$47,7,0)</f>
        <v>00</v>
      </c>
      <c r="N1388" s="29" t="str">
        <f>VLOOKUP(G1388,'insumos terrapl'!$C$3:$K$47,8,0)</f>
        <v>00</v>
      </c>
      <c r="O1388" s="97" t="str">
        <f>VLOOKUP(G1388,'insumos terrapl'!$C$3:$K$47,9,0)</f>
        <v>00</v>
      </c>
    </row>
    <row r="1389" spans="1:15">
      <c r="A1389" s="134"/>
      <c r="B1389" s="137"/>
      <c r="C1389" s="125"/>
      <c r="D1389" s="115"/>
      <c r="E1389" s="115"/>
      <c r="F1389" s="11" t="s">
        <v>619</v>
      </c>
      <c r="G1389" s="20" t="s">
        <v>620</v>
      </c>
      <c r="H1389" s="29"/>
      <c r="I1389" s="29"/>
      <c r="J1389" s="29"/>
      <c r="K1389" s="29"/>
      <c r="L1389" s="29"/>
      <c r="M1389" s="29"/>
      <c r="N1389" s="29"/>
      <c r="O1389" s="97"/>
    </row>
    <row r="1390" spans="1:15">
      <c r="A1390" s="134"/>
      <c r="B1390" s="137"/>
      <c r="C1390" s="125"/>
      <c r="D1390" s="115"/>
      <c r="E1390" s="115"/>
      <c r="F1390" s="11" t="s">
        <v>643</v>
      </c>
      <c r="G1390" s="20" t="s">
        <v>644</v>
      </c>
      <c r="H1390" s="29" t="str">
        <f>VLOOKUP(G1390,'insumos terrapl'!$C$3:$K$47,2,0)</f>
        <v>2N  58  06  00  00  00  00</v>
      </c>
      <c r="I1390" s="29" t="str">
        <f>VLOOKUP(G1390,'insumos terrapl'!$C$3:$K$47,3,0)</f>
        <v>2N</v>
      </c>
      <c r="J1390" s="29">
        <f>VLOOKUP(G1390,'insumos terrapl'!$C$3:$K$47,4,0)</f>
        <v>58</v>
      </c>
      <c r="K1390" s="29" t="str">
        <f>VLOOKUP(G1390,'insumos terrapl'!$C$3:$K$47,5,0)</f>
        <v>06</v>
      </c>
      <c r="L1390" s="29" t="str">
        <f>VLOOKUP(G1390,'insumos terrapl'!$C$3:$K$47,6,0)</f>
        <v>00</v>
      </c>
      <c r="M1390" s="29" t="str">
        <f>VLOOKUP(G1390,'insumos terrapl'!$C$3:$K$47,7,0)</f>
        <v>00</v>
      </c>
      <c r="N1390" s="29" t="str">
        <f>VLOOKUP(G1390,'insumos terrapl'!$C$3:$K$47,8,0)</f>
        <v>00</v>
      </c>
      <c r="O1390" s="97" t="str">
        <f>VLOOKUP(G1390,'insumos terrapl'!$C$3:$K$47,9,0)</f>
        <v>00</v>
      </c>
    </row>
    <row r="1391" spans="1:15">
      <c r="A1391" s="134"/>
      <c r="B1391" s="137"/>
      <c r="C1391" s="125"/>
      <c r="D1391" s="115"/>
      <c r="E1391" s="115"/>
      <c r="F1391" s="11" t="s">
        <v>645</v>
      </c>
      <c r="G1391" s="20" t="s">
        <v>646</v>
      </c>
      <c r="H1391" s="29" t="str">
        <f>VLOOKUP(G1391,'insumos terrapl'!$C$3:$K$47,2,0)</f>
        <v>2N  58  06  00  00  00  00</v>
      </c>
      <c r="I1391" s="29" t="str">
        <f>VLOOKUP(G1391,'insumos terrapl'!$C$3:$K$47,3,0)</f>
        <v>2N</v>
      </c>
      <c r="J1391" s="29">
        <f>VLOOKUP(G1391,'insumos terrapl'!$C$3:$K$47,4,0)</f>
        <v>58</v>
      </c>
      <c r="K1391" s="29" t="str">
        <f>VLOOKUP(G1391,'insumos terrapl'!$C$3:$K$47,5,0)</f>
        <v>06</v>
      </c>
      <c r="L1391" s="29" t="str">
        <f>VLOOKUP(G1391,'insumos terrapl'!$C$3:$K$47,6,0)</f>
        <v>00</v>
      </c>
      <c r="M1391" s="29" t="str">
        <f>VLOOKUP(G1391,'insumos terrapl'!$C$3:$K$47,7,0)</f>
        <v>00</v>
      </c>
      <c r="N1391" s="29" t="str">
        <f>VLOOKUP(G1391,'insumos terrapl'!$C$3:$K$47,8,0)</f>
        <v>00</v>
      </c>
      <c r="O1391" s="97" t="str">
        <f>VLOOKUP(G1391,'insumos terrapl'!$C$3:$K$47,9,0)</f>
        <v>00</v>
      </c>
    </row>
    <row r="1392" spans="1:15" ht="30">
      <c r="A1392" s="134"/>
      <c r="B1392" s="137"/>
      <c r="C1392" s="125"/>
      <c r="D1392" s="115"/>
      <c r="E1392" s="115"/>
      <c r="F1392" s="11" t="s">
        <v>647</v>
      </c>
      <c r="G1392" s="20" t="s">
        <v>648</v>
      </c>
      <c r="H1392" s="29" t="str">
        <f>VLOOKUP(G1392,'insumos terrapl'!$C$3:$K$47,2,0)</f>
        <v>2N  58  06  00  00  00  00</v>
      </c>
      <c r="I1392" s="29" t="str">
        <f>VLOOKUP(G1392,'insumos terrapl'!$C$3:$K$47,3,0)</f>
        <v>2N</v>
      </c>
      <c r="J1392" s="29">
        <f>VLOOKUP(G1392,'insumos terrapl'!$C$3:$K$47,4,0)</f>
        <v>58</v>
      </c>
      <c r="K1392" s="29" t="str">
        <f>VLOOKUP(G1392,'insumos terrapl'!$C$3:$K$47,5,0)</f>
        <v>06</v>
      </c>
      <c r="L1392" s="29" t="str">
        <f>VLOOKUP(G1392,'insumos terrapl'!$C$3:$K$47,6,0)</f>
        <v>00</v>
      </c>
      <c r="M1392" s="29" t="str">
        <f>VLOOKUP(G1392,'insumos terrapl'!$C$3:$K$47,7,0)</f>
        <v>00</v>
      </c>
      <c r="N1392" s="29" t="str">
        <f>VLOOKUP(G1392,'insumos terrapl'!$C$3:$K$47,8,0)</f>
        <v>00</v>
      </c>
      <c r="O1392" s="97" t="str">
        <f>VLOOKUP(G1392,'insumos terrapl'!$C$3:$K$47,9,0)</f>
        <v>00</v>
      </c>
    </row>
    <row r="1393" spans="1:15">
      <c r="A1393" s="134"/>
      <c r="B1393" s="137"/>
      <c r="C1393" s="125"/>
      <c r="D1393" s="115"/>
      <c r="E1393" s="115"/>
      <c r="F1393" s="11" t="s">
        <v>621</v>
      </c>
      <c r="G1393" s="20" t="s">
        <v>622</v>
      </c>
      <c r="H1393" s="29" t="str">
        <f>VLOOKUP(G1393,'insumos terrapl'!$C$3:$K$47,2,0)</f>
        <v>2N  58  06  00  00  00  00</v>
      </c>
      <c r="I1393" s="29" t="str">
        <f>VLOOKUP(G1393,'insumos terrapl'!$C$3:$K$47,3,0)</f>
        <v>2N</v>
      </c>
      <c r="J1393" s="29">
        <f>VLOOKUP(G1393,'insumos terrapl'!$C$3:$K$47,4,0)</f>
        <v>58</v>
      </c>
      <c r="K1393" s="29" t="str">
        <f>VLOOKUP(G1393,'insumos terrapl'!$C$3:$K$47,5,0)</f>
        <v>06</v>
      </c>
      <c r="L1393" s="29" t="str">
        <f>VLOOKUP(G1393,'insumos terrapl'!$C$3:$K$47,6,0)</f>
        <v>00</v>
      </c>
      <c r="M1393" s="29" t="str">
        <f>VLOOKUP(G1393,'insumos terrapl'!$C$3:$K$47,7,0)</f>
        <v>00</v>
      </c>
      <c r="N1393" s="29" t="str">
        <f>VLOOKUP(G1393,'insumos terrapl'!$C$3:$K$47,8,0)</f>
        <v>00</v>
      </c>
      <c r="O1393" s="97" t="str">
        <f>VLOOKUP(G1393,'insumos terrapl'!$C$3:$K$47,9,0)</f>
        <v>00</v>
      </c>
    </row>
    <row r="1394" spans="1:15">
      <c r="A1394" s="134"/>
      <c r="B1394" s="137"/>
      <c r="C1394" s="132"/>
      <c r="D1394" s="116"/>
      <c r="E1394" s="115"/>
      <c r="F1394" s="10"/>
      <c r="G1394" s="20"/>
      <c r="H1394" s="29"/>
      <c r="I1394" s="29"/>
      <c r="J1394" s="29"/>
      <c r="K1394" s="29"/>
      <c r="L1394" s="29"/>
      <c r="M1394" s="29"/>
      <c r="N1394" s="29"/>
      <c r="O1394" s="97"/>
    </row>
    <row r="1395" spans="1:15">
      <c r="A1395" s="134"/>
      <c r="B1395" s="137"/>
      <c r="C1395" s="124" t="s">
        <v>249</v>
      </c>
      <c r="D1395" s="114" t="str">
        <f>$A$1095</f>
        <v>2.6.8</v>
      </c>
      <c r="E1395" s="114" t="s">
        <v>507</v>
      </c>
      <c r="F1395" s="12" t="s">
        <v>249</v>
      </c>
      <c r="G1395" s="19"/>
      <c r="H1395" s="28"/>
      <c r="I1395" s="28"/>
      <c r="J1395" s="28"/>
      <c r="K1395" s="28"/>
      <c r="L1395" s="28"/>
      <c r="M1395" s="28"/>
      <c r="N1395" s="28"/>
      <c r="O1395" s="99"/>
    </row>
    <row r="1396" spans="1:15" ht="30">
      <c r="A1396" s="134"/>
      <c r="B1396" s="137"/>
      <c r="C1396" s="125"/>
      <c r="D1396" s="115"/>
      <c r="E1396" s="115"/>
      <c r="F1396" s="11" t="s">
        <v>659</v>
      </c>
      <c r="G1396" s="20" t="s">
        <v>660</v>
      </c>
      <c r="H1396" s="29" t="str">
        <f>VLOOKUP(G1396,'insumos terrapl'!$C$3:$K$47,2,0)</f>
        <v>2Q  66  10  02  00  00  00</v>
      </c>
      <c r="I1396" s="29" t="str">
        <f>VLOOKUP(G1396,'insumos terrapl'!$C$3:$K$47,3,0)</f>
        <v>2Q</v>
      </c>
      <c r="J1396" s="29">
        <f>VLOOKUP(G1396,'insumos terrapl'!$C$3:$K$47,4,0)</f>
        <v>66</v>
      </c>
      <c r="K1396" s="29" t="str">
        <f>VLOOKUP(G1396,'insumos terrapl'!$C$3:$K$47,5,0)</f>
        <v>10</v>
      </c>
      <c r="L1396" s="29" t="str">
        <f>VLOOKUP(G1396,'insumos terrapl'!$C$3:$K$47,6,0)</f>
        <v>02</v>
      </c>
      <c r="M1396" s="29" t="str">
        <f>VLOOKUP(G1396,'insumos terrapl'!$C$3:$K$47,7,0)</f>
        <v>00</v>
      </c>
      <c r="N1396" s="29" t="str">
        <f>VLOOKUP(G1396,'insumos terrapl'!$C$3:$K$47,8,0)</f>
        <v>00</v>
      </c>
      <c r="O1396" s="97" t="str">
        <f>VLOOKUP(G1396,'insumos terrapl'!$C$3:$K$47,9,0)</f>
        <v>00</v>
      </c>
    </row>
    <row r="1397" spans="1:15" ht="30">
      <c r="A1397" s="134"/>
      <c r="B1397" s="137"/>
      <c r="C1397" s="125"/>
      <c r="D1397" s="115"/>
      <c r="E1397" s="115"/>
      <c r="F1397" s="11" t="s">
        <v>661</v>
      </c>
      <c r="G1397" s="20" t="s">
        <v>662</v>
      </c>
      <c r="H1397" s="29" t="str">
        <f>VLOOKUP(G1397,'insumos terrapl'!$C$3:$K$47,2,0)</f>
        <v>2Q  62  10  06  00  00  00</v>
      </c>
      <c r="I1397" s="29" t="str">
        <f>VLOOKUP(G1397,'insumos terrapl'!$C$3:$K$47,3,0)</f>
        <v>2Q</v>
      </c>
      <c r="J1397" s="29">
        <f>VLOOKUP(G1397,'insumos terrapl'!$C$3:$K$47,4,0)</f>
        <v>62</v>
      </c>
      <c r="K1397" s="29" t="str">
        <f>VLOOKUP(G1397,'insumos terrapl'!$C$3:$K$47,5,0)</f>
        <v>10</v>
      </c>
      <c r="L1397" s="29" t="str">
        <f>VLOOKUP(G1397,'insumos terrapl'!$C$3:$K$47,6,0)</f>
        <v>06</v>
      </c>
      <c r="M1397" s="29" t="str">
        <f>VLOOKUP(G1397,'insumos terrapl'!$C$3:$K$47,7,0)</f>
        <v>00</v>
      </c>
      <c r="N1397" s="29" t="str">
        <f>VLOOKUP(G1397,'insumos terrapl'!$C$3:$K$47,8,0)</f>
        <v>00</v>
      </c>
      <c r="O1397" s="97" t="str">
        <f>VLOOKUP(G1397,'insumos terrapl'!$C$3:$K$47,9,0)</f>
        <v>00</v>
      </c>
    </row>
    <row r="1398" spans="1:15" ht="30">
      <c r="A1398" s="134"/>
      <c r="B1398" s="137"/>
      <c r="C1398" s="125"/>
      <c r="D1398" s="115"/>
      <c r="E1398" s="115"/>
      <c r="F1398" s="11" t="s">
        <v>607</v>
      </c>
      <c r="G1398" s="20" t="s">
        <v>608</v>
      </c>
      <c r="H1398" s="29" t="str">
        <f>VLOOKUP(G1398,'insumos terrapl'!$C$3:$K$47,2,0)</f>
        <v>2Q  42  06  18  02  02  00</v>
      </c>
      <c r="I1398" s="29" t="str">
        <f>VLOOKUP(G1398,'insumos terrapl'!$C$3:$K$47,3,0)</f>
        <v>2Q</v>
      </c>
      <c r="J1398" s="29">
        <f>VLOOKUP(G1398,'insumos terrapl'!$C$3:$K$47,4,0)</f>
        <v>42</v>
      </c>
      <c r="K1398" s="29" t="str">
        <f>VLOOKUP(G1398,'insumos terrapl'!$C$3:$K$47,5,0)</f>
        <v>06</v>
      </c>
      <c r="L1398" s="29">
        <f>VLOOKUP(G1398,'insumos terrapl'!$C$3:$K$47,6,0)</f>
        <v>18</v>
      </c>
      <c r="M1398" s="29" t="str">
        <f>VLOOKUP(G1398,'insumos terrapl'!$C$3:$K$47,7,0)</f>
        <v>02</v>
      </c>
      <c r="N1398" s="29" t="str">
        <f>VLOOKUP(G1398,'insumos terrapl'!$C$3:$K$47,8,0)</f>
        <v>02</v>
      </c>
      <c r="O1398" s="97" t="str">
        <f>VLOOKUP(G1398,'insumos terrapl'!$C$3:$K$47,9,0)</f>
        <v>00</v>
      </c>
    </row>
    <row r="1399" spans="1:15" ht="45">
      <c r="A1399" s="134"/>
      <c r="B1399" s="137"/>
      <c r="C1399" s="125"/>
      <c r="D1399" s="115"/>
      <c r="E1399" s="115"/>
      <c r="F1399" s="11" t="s">
        <v>609</v>
      </c>
      <c r="G1399" s="20" t="s">
        <v>610</v>
      </c>
      <c r="H1399" s="29" t="str">
        <f>VLOOKUP(G1399,'insumos terrapl'!$C$3:$K$47,2,0)</f>
        <v>2Q  42  06  02  14  02  00</v>
      </c>
      <c r="I1399" s="29" t="str">
        <f>VLOOKUP(G1399,'insumos terrapl'!$C$3:$K$47,3,0)</f>
        <v>2Q</v>
      </c>
      <c r="J1399" s="29">
        <f>VLOOKUP(G1399,'insumos terrapl'!$C$3:$K$47,4,0)</f>
        <v>42</v>
      </c>
      <c r="K1399" s="29" t="str">
        <f>VLOOKUP(G1399,'insumos terrapl'!$C$3:$K$47,5,0)</f>
        <v>06</v>
      </c>
      <c r="L1399" s="29" t="str">
        <f>VLOOKUP(G1399,'insumos terrapl'!$C$3:$K$47,6,0)</f>
        <v>02</v>
      </c>
      <c r="M1399" s="29" t="str">
        <f>VLOOKUP(G1399,'insumos terrapl'!$C$3:$K$47,7,0)</f>
        <v>14</v>
      </c>
      <c r="N1399" s="29" t="str">
        <f>VLOOKUP(G1399,'insumos terrapl'!$C$3:$K$47,8,0)</f>
        <v>02</v>
      </c>
      <c r="O1399" s="97" t="str">
        <f>VLOOKUP(G1399,'insumos terrapl'!$C$3:$K$47,9,0)</f>
        <v>00</v>
      </c>
    </row>
    <row r="1400" spans="1:15">
      <c r="A1400" s="134"/>
      <c r="B1400" s="137"/>
      <c r="C1400" s="125"/>
      <c r="D1400" s="115"/>
      <c r="E1400" s="115"/>
      <c r="F1400" s="11" t="s">
        <v>633</v>
      </c>
      <c r="G1400" s="20" t="s">
        <v>634</v>
      </c>
      <c r="H1400" s="29" t="str">
        <f>VLOOKUP(G1400,'insumos terrapl'!$C$3:$K$47,2,0)</f>
        <v>2Q  58  10  10  02  06  00</v>
      </c>
      <c r="I1400" s="29" t="str">
        <f>VLOOKUP(G1400,'insumos terrapl'!$C$3:$K$47,3,0)</f>
        <v>2Q</v>
      </c>
      <c r="J1400" s="29">
        <f>VLOOKUP(G1400,'insumos terrapl'!$C$3:$K$47,4,0)</f>
        <v>58</v>
      </c>
      <c r="K1400" s="29" t="str">
        <f>VLOOKUP(G1400,'insumos terrapl'!$C$3:$K$47,5,0)</f>
        <v>10</v>
      </c>
      <c r="L1400" s="29" t="str">
        <f>VLOOKUP(G1400,'insumos terrapl'!$C$3:$K$47,6,0)</f>
        <v>10</v>
      </c>
      <c r="M1400" s="29" t="str">
        <f>VLOOKUP(G1400,'insumos terrapl'!$C$3:$K$47,7,0)</f>
        <v>02</v>
      </c>
      <c r="N1400" s="29" t="str">
        <f>VLOOKUP(G1400,'insumos terrapl'!$C$3:$K$47,8,0)</f>
        <v>06</v>
      </c>
      <c r="O1400" s="97" t="str">
        <f>VLOOKUP(G1400,'insumos terrapl'!$C$3:$K$47,9,0)</f>
        <v>00</v>
      </c>
    </row>
    <row r="1401" spans="1:15">
      <c r="A1401" s="134"/>
      <c r="B1401" s="137"/>
      <c r="C1401" s="125"/>
      <c r="D1401" s="115"/>
      <c r="E1401" s="115"/>
      <c r="F1401" s="11" t="s">
        <v>586</v>
      </c>
      <c r="G1401" s="20" t="s">
        <v>587</v>
      </c>
      <c r="H1401" s="29" t="str">
        <f>VLOOKUP(G1401,'insumos terrapl'!$C$3:$K$47,2,0)</f>
        <v>2Q  62  30  02  14  00  00</v>
      </c>
      <c r="I1401" s="29" t="str">
        <f>VLOOKUP(G1401,'insumos terrapl'!$C$3:$K$47,3,0)</f>
        <v>2Q</v>
      </c>
      <c r="J1401" s="29">
        <f>VLOOKUP(G1401,'insumos terrapl'!$C$3:$K$47,4,0)</f>
        <v>62</v>
      </c>
      <c r="K1401" s="29">
        <f>VLOOKUP(G1401,'insumos terrapl'!$C$3:$K$47,5,0)</f>
        <v>30</v>
      </c>
      <c r="L1401" s="29" t="str">
        <f>VLOOKUP(G1401,'insumos terrapl'!$C$3:$K$47,6,0)</f>
        <v>02</v>
      </c>
      <c r="M1401" s="29" t="str">
        <f>VLOOKUP(G1401,'insumos terrapl'!$C$3:$K$47,7,0)</f>
        <v>14</v>
      </c>
      <c r="N1401" s="29" t="str">
        <f>VLOOKUP(G1401,'insumos terrapl'!$C$3:$K$47,8,0)</f>
        <v>00</v>
      </c>
      <c r="O1401" s="97" t="str">
        <f>VLOOKUP(G1401,'insumos terrapl'!$C$3:$K$47,9,0)</f>
        <v>00</v>
      </c>
    </row>
    <row r="1402" spans="1:15">
      <c r="A1402" s="134"/>
      <c r="B1402" s="137"/>
      <c r="C1402" s="125"/>
      <c r="D1402" s="115"/>
      <c r="E1402" s="115"/>
      <c r="F1402" s="11" t="s">
        <v>613</v>
      </c>
      <c r="G1402" s="20" t="s">
        <v>614</v>
      </c>
      <c r="H1402" s="29" t="str">
        <f>VLOOKUP(G1402,'insumos terrapl'!$C$3:$K$47,2,0)</f>
        <v>2N  20  14  02  00  00  00</v>
      </c>
      <c r="I1402" s="29" t="str">
        <f>VLOOKUP(G1402,'insumos terrapl'!$C$3:$K$47,3,0)</f>
        <v>2N</v>
      </c>
      <c r="J1402" s="29">
        <f>VLOOKUP(G1402,'insumos terrapl'!$C$3:$K$47,4,0)</f>
        <v>20</v>
      </c>
      <c r="K1402" s="29" t="str">
        <f>VLOOKUP(G1402,'insumos terrapl'!$C$3:$K$47,5,0)</f>
        <v>14</v>
      </c>
      <c r="L1402" s="29" t="str">
        <f>VLOOKUP(G1402,'insumos terrapl'!$C$3:$K$47,6,0)</f>
        <v>02</v>
      </c>
      <c r="M1402" s="29" t="str">
        <f>VLOOKUP(G1402,'insumos terrapl'!$C$3:$K$47,7,0)</f>
        <v>00</v>
      </c>
      <c r="N1402" s="29" t="str">
        <f>VLOOKUP(G1402,'insumos terrapl'!$C$3:$K$47,8,0)</f>
        <v>00</v>
      </c>
      <c r="O1402" s="97" t="str">
        <f>VLOOKUP(G1402,'insumos terrapl'!$C$3:$K$47,9,0)</f>
        <v>00</v>
      </c>
    </row>
    <row r="1403" spans="1:15">
      <c r="A1403" s="134"/>
      <c r="B1403" s="137"/>
      <c r="C1403" s="125"/>
      <c r="D1403" s="115"/>
      <c r="E1403" s="115"/>
      <c r="F1403" s="11" t="s">
        <v>615</v>
      </c>
      <c r="G1403" s="20" t="s">
        <v>616</v>
      </c>
      <c r="H1403" s="29" t="str">
        <f>VLOOKUP(G1403,'insumos terrapl'!$C$3:$K$47,2,0)</f>
        <v>2N  20  14  02  00  00  00</v>
      </c>
      <c r="I1403" s="29" t="str">
        <f>VLOOKUP(G1403,'insumos terrapl'!$C$3:$K$47,3,0)</f>
        <v>2N</v>
      </c>
      <c r="J1403" s="29">
        <f>VLOOKUP(G1403,'insumos terrapl'!$C$3:$K$47,4,0)</f>
        <v>20</v>
      </c>
      <c r="K1403" s="29" t="str">
        <f>VLOOKUP(G1403,'insumos terrapl'!$C$3:$K$47,5,0)</f>
        <v>14</v>
      </c>
      <c r="L1403" s="29" t="str">
        <f>VLOOKUP(G1403,'insumos terrapl'!$C$3:$K$47,6,0)</f>
        <v>02</v>
      </c>
      <c r="M1403" s="29" t="str">
        <f>VLOOKUP(G1403,'insumos terrapl'!$C$3:$K$47,7,0)</f>
        <v>00</v>
      </c>
      <c r="N1403" s="29" t="str">
        <f>VLOOKUP(G1403,'insumos terrapl'!$C$3:$K$47,8,0)</f>
        <v>00</v>
      </c>
      <c r="O1403" s="97" t="str">
        <f>VLOOKUP(G1403,'insumos terrapl'!$C$3:$K$47,9,0)</f>
        <v>00</v>
      </c>
    </row>
    <row r="1404" spans="1:15" ht="30">
      <c r="A1404" s="134"/>
      <c r="B1404" s="137"/>
      <c r="C1404" s="125"/>
      <c r="D1404" s="115"/>
      <c r="E1404" s="115"/>
      <c r="F1404" s="11" t="s">
        <v>635</v>
      </c>
      <c r="G1404" s="20" t="s">
        <v>636</v>
      </c>
      <c r="H1404" s="29" t="str">
        <f>VLOOKUP(G1404,'insumos terrapl'!$C$3:$K$47,2,0)</f>
        <v>2N  58  06  00  00  00  00</v>
      </c>
      <c r="I1404" s="29" t="str">
        <f>VLOOKUP(G1404,'insumos terrapl'!$C$3:$K$47,3,0)</f>
        <v>2N</v>
      </c>
      <c r="J1404" s="29">
        <f>VLOOKUP(G1404,'insumos terrapl'!$C$3:$K$47,4,0)</f>
        <v>58</v>
      </c>
      <c r="K1404" s="29" t="str">
        <f>VLOOKUP(G1404,'insumos terrapl'!$C$3:$K$47,5,0)</f>
        <v>06</v>
      </c>
      <c r="L1404" s="29" t="str">
        <f>VLOOKUP(G1404,'insumos terrapl'!$C$3:$K$47,6,0)</f>
        <v>00</v>
      </c>
      <c r="M1404" s="29" t="str">
        <f>VLOOKUP(G1404,'insumos terrapl'!$C$3:$K$47,7,0)</f>
        <v>00</v>
      </c>
      <c r="N1404" s="29" t="str">
        <f>VLOOKUP(G1404,'insumos terrapl'!$C$3:$K$47,8,0)</f>
        <v>00</v>
      </c>
      <c r="O1404" s="97" t="str">
        <f>VLOOKUP(G1404,'insumos terrapl'!$C$3:$K$47,9,0)</f>
        <v>00</v>
      </c>
    </row>
    <row r="1405" spans="1:15">
      <c r="A1405" s="134"/>
      <c r="B1405" s="137"/>
      <c r="C1405" s="125"/>
      <c r="D1405" s="115"/>
      <c r="E1405" s="115"/>
      <c r="F1405" s="11" t="s">
        <v>617</v>
      </c>
      <c r="G1405" s="20" t="s">
        <v>618</v>
      </c>
      <c r="H1405" s="29" t="str">
        <f>VLOOKUP(G1405,'insumos terrapl'!$C$3:$K$47,2,0)</f>
        <v>2Q  58  06  02  28  00  00</v>
      </c>
      <c r="I1405" s="29" t="str">
        <f>VLOOKUP(G1405,'insumos terrapl'!$C$3:$K$47,3,0)</f>
        <v>2Q</v>
      </c>
      <c r="J1405" s="29">
        <f>VLOOKUP(G1405,'insumos terrapl'!$C$3:$K$47,4,0)</f>
        <v>58</v>
      </c>
      <c r="K1405" s="29" t="str">
        <f>VLOOKUP(G1405,'insumos terrapl'!$C$3:$K$47,5,0)</f>
        <v>06</v>
      </c>
      <c r="L1405" s="29" t="str">
        <f>VLOOKUP(G1405,'insumos terrapl'!$C$3:$K$47,6,0)</f>
        <v>02</v>
      </c>
      <c r="M1405" s="29" t="str">
        <f>VLOOKUP(G1405,'insumos terrapl'!$C$3:$K$47,7,0)</f>
        <v>28</v>
      </c>
      <c r="N1405" s="29" t="str">
        <f>VLOOKUP(G1405,'insumos terrapl'!$C$3:$K$47,8,0)</f>
        <v>00</v>
      </c>
      <c r="O1405" s="97" t="str">
        <f>VLOOKUP(G1405,'insumos terrapl'!$C$3:$K$47,9,0)</f>
        <v>00</v>
      </c>
    </row>
    <row r="1406" spans="1:15" ht="30">
      <c r="A1406" s="134"/>
      <c r="B1406" s="137"/>
      <c r="C1406" s="125"/>
      <c r="D1406" s="115"/>
      <c r="E1406" s="115"/>
      <c r="F1406" s="11" t="s">
        <v>637</v>
      </c>
      <c r="G1406" s="20" t="s">
        <v>638</v>
      </c>
      <c r="H1406" s="29" t="str">
        <f>VLOOKUP(G1406,'insumos terrapl'!$C$3:$K$47,2,0)</f>
        <v>2N  58  06  00  00  00  00</v>
      </c>
      <c r="I1406" s="29" t="str">
        <f>VLOOKUP(G1406,'insumos terrapl'!$C$3:$K$47,3,0)</f>
        <v>2N</v>
      </c>
      <c r="J1406" s="29">
        <f>VLOOKUP(G1406,'insumos terrapl'!$C$3:$K$47,4,0)</f>
        <v>58</v>
      </c>
      <c r="K1406" s="29" t="str">
        <f>VLOOKUP(G1406,'insumos terrapl'!$C$3:$K$47,5,0)</f>
        <v>06</v>
      </c>
      <c r="L1406" s="29" t="str">
        <f>VLOOKUP(G1406,'insumos terrapl'!$C$3:$K$47,6,0)</f>
        <v>00</v>
      </c>
      <c r="M1406" s="29" t="str">
        <f>VLOOKUP(G1406,'insumos terrapl'!$C$3:$K$47,7,0)</f>
        <v>00</v>
      </c>
      <c r="N1406" s="29" t="str">
        <f>VLOOKUP(G1406,'insumos terrapl'!$C$3:$K$47,8,0)</f>
        <v>00</v>
      </c>
      <c r="O1406" s="97" t="str">
        <f>VLOOKUP(G1406,'insumos terrapl'!$C$3:$K$47,9,0)</f>
        <v>00</v>
      </c>
    </row>
    <row r="1407" spans="1:15" ht="30">
      <c r="A1407" s="134"/>
      <c r="B1407" s="137"/>
      <c r="C1407" s="125"/>
      <c r="D1407" s="115"/>
      <c r="E1407" s="115"/>
      <c r="F1407" s="11" t="s">
        <v>639</v>
      </c>
      <c r="G1407" s="20" t="s">
        <v>640</v>
      </c>
      <c r="H1407" s="29" t="str">
        <f>VLOOKUP(G1407,'insumos terrapl'!$C$3:$K$47,2,0)</f>
        <v>2N  58  06  00  00  00  00</v>
      </c>
      <c r="I1407" s="29" t="str">
        <f>VLOOKUP(G1407,'insumos terrapl'!$C$3:$K$47,3,0)</f>
        <v>2N</v>
      </c>
      <c r="J1407" s="29">
        <f>VLOOKUP(G1407,'insumos terrapl'!$C$3:$K$47,4,0)</f>
        <v>58</v>
      </c>
      <c r="K1407" s="29" t="str">
        <f>VLOOKUP(G1407,'insumos terrapl'!$C$3:$K$47,5,0)</f>
        <v>06</v>
      </c>
      <c r="L1407" s="29" t="str">
        <f>VLOOKUP(G1407,'insumos terrapl'!$C$3:$K$47,6,0)</f>
        <v>00</v>
      </c>
      <c r="M1407" s="29" t="str">
        <f>VLOOKUP(G1407,'insumos terrapl'!$C$3:$K$47,7,0)</f>
        <v>00</v>
      </c>
      <c r="N1407" s="29" t="str">
        <f>VLOOKUP(G1407,'insumos terrapl'!$C$3:$K$47,8,0)</f>
        <v>00</v>
      </c>
      <c r="O1407" s="97" t="str">
        <f>VLOOKUP(G1407,'insumos terrapl'!$C$3:$K$47,9,0)</f>
        <v>00</v>
      </c>
    </row>
    <row r="1408" spans="1:15">
      <c r="A1408" s="134"/>
      <c r="B1408" s="137"/>
      <c r="C1408" s="125"/>
      <c r="D1408" s="115"/>
      <c r="E1408" s="115"/>
      <c r="F1408" s="11" t="s">
        <v>641</v>
      </c>
      <c r="G1408" s="20" t="s">
        <v>642</v>
      </c>
      <c r="H1408" s="29" t="str">
        <f>VLOOKUP(G1408,'insumos terrapl'!$C$3:$K$47,2,0)</f>
        <v>2N  58  06  00  00  00  00</v>
      </c>
      <c r="I1408" s="29" t="str">
        <f>VLOOKUP(G1408,'insumos terrapl'!$C$3:$K$47,3,0)</f>
        <v>2N</v>
      </c>
      <c r="J1408" s="29">
        <f>VLOOKUP(G1408,'insumos terrapl'!$C$3:$K$47,4,0)</f>
        <v>58</v>
      </c>
      <c r="K1408" s="29" t="str">
        <f>VLOOKUP(G1408,'insumos terrapl'!$C$3:$K$47,5,0)</f>
        <v>06</v>
      </c>
      <c r="L1408" s="29" t="str">
        <f>VLOOKUP(G1408,'insumos terrapl'!$C$3:$K$47,6,0)</f>
        <v>00</v>
      </c>
      <c r="M1408" s="29" t="str">
        <f>VLOOKUP(G1408,'insumos terrapl'!$C$3:$K$47,7,0)</f>
        <v>00</v>
      </c>
      <c r="N1408" s="29" t="str">
        <f>VLOOKUP(G1408,'insumos terrapl'!$C$3:$K$47,8,0)</f>
        <v>00</v>
      </c>
      <c r="O1408" s="97" t="str">
        <f>VLOOKUP(G1408,'insumos terrapl'!$C$3:$K$47,9,0)</f>
        <v>00</v>
      </c>
    </row>
    <row r="1409" spans="1:15">
      <c r="A1409" s="134"/>
      <c r="B1409" s="137"/>
      <c r="C1409" s="125"/>
      <c r="D1409" s="115"/>
      <c r="E1409" s="115"/>
      <c r="F1409" s="11" t="s">
        <v>619</v>
      </c>
      <c r="G1409" s="20" t="s">
        <v>620</v>
      </c>
      <c r="H1409" s="29"/>
      <c r="I1409" s="29"/>
      <c r="J1409" s="29"/>
      <c r="K1409" s="29"/>
      <c r="L1409" s="29"/>
      <c r="M1409" s="29"/>
      <c r="N1409" s="29"/>
      <c r="O1409" s="97"/>
    </row>
    <row r="1410" spans="1:15">
      <c r="A1410" s="134"/>
      <c r="B1410" s="137"/>
      <c r="C1410" s="125"/>
      <c r="D1410" s="115"/>
      <c r="E1410" s="115"/>
      <c r="F1410" s="11" t="s">
        <v>643</v>
      </c>
      <c r="G1410" s="20" t="s">
        <v>644</v>
      </c>
      <c r="H1410" s="29" t="str">
        <f>VLOOKUP(G1410,'insumos terrapl'!$C$3:$K$47,2,0)</f>
        <v>2N  58  06  00  00  00  00</v>
      </c>
      <c r="I1410" s="29" t="str">
        <f>VLOOKUP(G1410,'insumos terrapl'!$C$3:$K$47,3,0)</f>
        <v>2N</v>
      </c>
      <c r="J1410" s="29">
        <f>VLOOKUP(G1410,'insumos terrapl'!$C$3:$K$47,4,0)</f>
        <v>58</v>
      </c>
      <c r="K1410" s="29" t="str">
        <f>VLOOKUP(G1410,'insumos terrapl'!$C$3:$K$47,5,0)</f>
        <v>06</v>
      </c>
      <c r="L1410" s="29" t="str">
        <f>VLOOKUP(G1410,'insumos terrapl'!$C$3:$K$47,6,0)</f>
        <v>00</v>
      </c>
      <c r="M1410" s="29" t="str">
        <f>VLOOKUP(G1410,'insumos terrapl'!$C$3:$K$47,7,0)</f>
        <v>00</v>
      </c>
      <c r="N1410" s="29" t="str">
        <f>VLOOKUP(G1410,'insumos terrapl'!$C$3:$K$47,8,0)</f>
        <v>00</v>
      </c>
      <c r="O1410" s="97" t="str">
        <f>VLOOKUP(G1410,'insumos terrapl'!$C$3:$K$47,9,0)</f>
        <v>00</v>
      </c>
    </row>
    <row r="1411" spans="1:15">
      <c r="A1411" s="134"/>
      <c r="B1411" s="137"/>
      <c r="C1411" s="125"/>
      <c r="D1411" s="115"/>
      <c r="E1411" s="115"/>
      <c r="F1411" s="11" t="s">
        <v>645</v>
      </c>
      <c r="G1411" s="20" t="s">
        <v>646</v>
      </c>
      <c r="H1411" s="29" t="str">
        <f>VLOOKUP(G1411,'insumos terrapl'!$C$3:$K$47,2,0)</f>
        <v>2N  58  06  00  00  00  00</v>
      </c>
      <c r="I1411" s="29" t="str">
        <f>VLOOKUP(G1411,'insumos terrapl'!$C$3:$K$47,3,0)</f>
        <v>2N</v>
      </c>
      <c r="J1411" s="29">
        <f>VLOOKUP(G1411,'insumos terrapl'!$C$3:$K$47,4,0)</f>
        <v>58</v>
      </c>
      <c r="K1411" s="29" t="str">
        <f>VLOOKUP(G1411,'insumos terrapl'!$C$3:$K$47,5,0)</f>
        <v>06</v>
      </c>
      <c r="L1411" s="29" t="str">
        <f>VLOOKUP(G1411,'insumos terrapl'!$C$3:$K$47,6,0)</f>
        <v>00</v>
      </c>
      <c r="M1411" s="29" t="str">
        <f>VLOOKUP(G1411,'insumos terrapl'!$C$3:$K$47,7,0)</f>
        <v>00</v>
      </c>
      <c r="N1411" s="29" t="str">
        <f>VLOOKUP(G1411,'insumos terrapl'!$C$3:$K$47,8,0)</f>
        <v>00</v>
      </c>
      <c r="O1411" s="97" t="str">
        <f>VLOOKUP(G1411,'insumos terrapl'!$C$3:$K$47,9,0)</f>
        <v>00</v>
      </c>
    </row>
    <row r="1412" spans="1:15" ht="30">
      <c r="A1412" s="134"/>
      <c r="B1412" s="137"/>
      <c r="C1412" s="125"/>
      <c r="D1412" s="115"/>
      <c r="E1412" s="115"/>
      <c r="F1412" s="11" t="s">
        <v>647</v>
      </c>
      <c r="G1412" s="20" t="s">
        <v>648</v>
      </c>
      <c r="H1412" s="29" t="str">
        <f>VLOOKUP(G1412,'insumos terrapl'!$C$3:$K$47,2,0)</f>
        <v>2N  58  06  00  00  00  00</v>
      </c>
      <c r="I1412" s="29" t="str">
        <f>VLOOKUP(G1412,'insumos terrapl'!$C$3:$K$47,3,0)</f>
        <v>2N</v>
      </c>
      <c r="J1412" s="29">
        <f>VLOOKUP(G1412,'insumos terrapl'!$C$3:$K$47,4,0)</f>
        <v>58</v>
      </c>
      <c r="K1412" s="29" t="str">
        <f>VLOOKUP(G1412,'insumos terrapl'!$C$3:$K$47,5,0)</f>
        <v>06</v>
      </c>
      <c r="L1412" s="29" t="str">
        <f>VLOOKUP(G1412,'insumos terrapl'!$C$3:$K$47,6,0)</f>
        <v>00</v>
      </c>
      <c r="M1412" s="29" t="str">
        <f>VLOOKUP(G1412,'insumos terrapl'!$C$3:$K$47,7,0)</f>
        <v>00</v>
      </c>
      <c r="N1412" s="29" t="str">
        <f>VLOOKUP(G1412,'insumos terrapl'!$C$3:$K$47,8,0)</f>
        <v>00</v>
      </c>
      <c r="O1412" s="97" t="str">
        <f>VLOOKUP(G1412,'insumos terrapl'!$C$3:$K$47,9,0)</f>
        <v>00</v>
      </c>
    </row>
    <row r="1413" spans="1:15">
      <c r="A1413" s="134"/>
      <c r="B1413" s="137"/>
      <c r="C1413" s="125"/>
      <c r="D1413" s="115"/>
      <c r="E1413" s="115"/>
      <c r="F1413" s="11" t="s">
        <v>621</v>
      </c>
      <c r="G1413" s="20" t="s">
        <v>622</v>
      </c>
      <c r="H1413" s="29" t="str">
        <f>VLOOKUP(G1413,'insumos terrapl'!$C$3:$K$47,2,0)</f>
        <v>2N  58  06  00  00  00  00</v>
      </c>
      <c r="I1413" s="29" t="str">
        <f>VLOOKUP(G1413,'insumos terrapl'!$C$3:$K$47,3,0)</f>
        <v>2N</v>
      </c>
      <c r="J1413" s="29">
        <f>VLOOKUP(G1413,'insumos terrapl'!$C$3:$K$47,4,0)</f>
        <v>58</v>
      </c>
      <c r="K1413" s="29" t="str">
        <f>VLOOKUP(G1413,'insumos terrapl'!$C$3:$K$47,5,0)</f>
        <v>06</v>
      </c>
      <c r="L1413" s="29" t="str">
        <f>VLOOKUP(G1413,'insumos terrapl'!$C$3:$K$47,6,0)</f>
        <v>00</v>
      </c>
      <c r="M1413" s="29" t="str">
        <f>VLOOKUP(G1413,'insumos terrapl'!$C$3:$K$47,7,0)</f>
        <v>00</v>
      </c>
      <c r="N1413" s="29" t="str">
        <f>VLOOKUP(G1413,'insumos terrapl'!$C$3:$K$47,8,0)</f>
        <v>00</v>
      </c>
      <c r="O1413" s="97" t="str">
        <f>VLOOKUP(G1413,'insumos terrapl'!$C$3:$K$47,9,0)</f>
        <v>00</v>
      </c>
    </row>
    <row r="1414" spans="1:15">
      <c r="A1414" s="134"/>
      <c r="B1414" s="137"/>
      <c r="C1414" s="132"/>
      <c r="D1414" s="116"/>
      <c r="E1414" s="116"/>
      <c r="F1414" s="13"/>
      <c r="G1414" s="21"/>
      <c r="H1414" s="31"/>
      <c r="I1414" s="31"/>
      <c r="J1414" s="31"/>
      <c r="K1414" s="31"/>
      <c r="L1414" s="31"/>
      <c r="M1414" s="31"/>
      <c r="N1414" s="31"/>
      <c r="O1414" s="98"/>
    </row>
    <row r="1415" spans="1:15">
      <c r="A1415" s="134"/>
      <c r="B1415" s="137"/>
      <c r="C1415" s="124" t="s">
        <v>250</v>
      </c>
      <c r="D1415" s="114" t="str">
        <f>$A$1095</f>
        <v>2.6.8</v>
      </c>
      <c r="E1415" s="115" t="s">
        <v>508</v>
      </c>
      <c r="F1415" s="11" t="s">
        <v>250</v>
      </c>
      <c r="G1415" s="20"/>
      <c r="H1415" s="29"/>
      <c r="I1415" s="29"/>
      <c r="J1415" s="29"/>
      <c r="K1415" s="29"/>
      <c r="L1415" s="29"/>
      <c r="M1415" s="29"/>
      <c r="N1415" s="29"/>
      <c r="O1415" s="97"/>
    </row>
    <row r="1416" spans="1:15" ht="30">
      <c r="A1416" s="134"/>
      <c r="B1416" s="137"/>
      <c r="C1416" s="125"/>
      <c r="D1416" s="115"/>
      <c r="E1416" s="115"/>
      <c r="F1416" s="11" t="s">
        <v>659</v>
      </c>
      <c r="G1416" s="20" t="s">
        <v>660</v>
      </c>
      <c r="H1416" s="29" t="str">
        <f>VLOOKUP(G1416,'insumos terrapl'!$C$3:$K$47,2,0)</f>
        <v>2Q  66  10  02  00  00  00</v>
      </c>
      <c r="I1416" s="29" t="str">
        <f>VLOOKUP(G1416,'insumos terrapl'!$C$3:$K$47,3,0)</f>
        <v>2Q</v>
      </c>
      <c r="J1416" s="29">
        <f>VLOOKUP(G1416,'insumos terrapl'!$C$3:$K$47,4,0)</f>
        <v>66</v>
      </c>
      <c r="K1416" s="29" t="str">
        <f>VLOOKUP(G1416,'insumos terrapl'!$C$3:$K$47,5,0)</f>
        <v>10</v>
      </c>
      <c r="L1416" s="29" t="str">
        <f>VLOOKUP(G1416,'insumos terrapl'!$C$3:$K$47,6,0)</f>
        <v>02</v>
      </c>
      <c r="M1416" s="29" t="str">
        <f>VLOOKUP(G1416,'insumos terrapl'!$C$3:$K$47,7,0)</f>
        <v>00</v>
      </c>
      <c r="N1416" s="29" t="str">
        <f>VLOOKUP(G1416,'insumos terrapl'!$C$3:$K$47,8,0)</f>
        <v>00</v>
      </c>
      <c r="O1416" s="97" t="str">
        <f>VLOOKUP(G1416,'insumos terrapl'!$C$3:$K$47,9,0)</f>
        <v>00</v>
      </c>
    </row>
    <row r="1417" spans="1:15" ht="30">
      <c r="A1417" s="134"/>
      <c r="B1417" s="137"/>
      <c r="C1417" s="125"/>
      <c r="D1417" s="115"/>
      <c r="E1417" s="115"/>
      <c r="F1417" s="11" t="s">
        <v>661</v>
      </c>
      <c r="G1417" s="20" t="s">
        <v>662</v>
      </c>
      <c r="H1417" s="29" t="str">
        <f>VLOOKUP(G1417,'insumos terrapl'!$C$3:$K$47,2,0)</f>
        <v>2Q  62  10  06  00  00  00</v>
      </c>
      <c r="I1417" s="29" t="str">
        <f>VLOOKUP(G1417,'insumos terrapl'!$C$3:$K$47,3,0)</f>
        <v>2Q</v>
      </c>
      <c r="J1417" s="29">
        <f>VLOOKUP(G1417,'insumos terrapl'!$C$3:$K$47,4,0)</f>
        <v>62</v>
      </c>
      <c r="K1417" s="29" t="str">
        <f>VLOOKUP(G1417,'insumos terrapl'!$C$3:$K$47,5,0)</f>
        <v>10</v>
      </c>
      <c r="L1417" s="29" t="str">
        <f>VLOOKUP(G1417,'insumos terrapl'!$C$3:$K$47,6,0)</f>
        <v>06</v>
      </c>
      <c r="M1417" s="29" t="str">
        <f>VLOOKUP(G1417,'insumos terrapl'!$C$3:$K$47,7,0)</f>
        <v>00</v>
      </c>
      <c r="N1417" s="29" t="str">
        <f>VLOOKUP(G1417,'insumos terrapl'!$C$3:$K$47,8,0)</f>
        <v>00</v>
      </c>
      <c r="O1417" s="97" t="str">
        <f>VLOOKUP(G1417,'insumos terrapl'!$C$3:$K$47,9,0)</f>
        <v>00</v>
      </c>
    </row>
    <row r="1418" spans="1:15" ht="30">
      <c r="A1418" s="134"/>
      <c r="B1418" s="137"/>
      <c r="C1418" s="125"/>
      <c r="D1418" s="115"/>
      <c r="E1418" s="115"/>
      <c r="F1418" s="11" t="s">
        <v>607</v>
      </c>
      <c r="G1418" s="20" t="s">
        <v>608</v>
      </c>
      <c r="H1418" s="29" t="str">
        <f>VLOOKUP(G1418,'insumos terrapl'!$C$3:$K$47,2,0)</f>
        <v>2Q  42  06  18  02  02  00</v>
      </c>
      <c r="I1418" s="29" t="str">
        <f>VLOOKUP(G1418,'insumos terrapl'!$C$3:$K$47,3,0)</f>
        <v>2Q</v>
      </c>
      <c r="J1418" s="29">
        <f>VLOOKUP(G1418,'insumos terrapl'!$C$3:$K$47,4,0)</f>
        <v>42</v>
      </c>
      <c r="K1418" s="29" t="str">
        <f>VLOOKUP(G1418,'insumos terrapl'!$C$3:$K$47,5,0)</f>
        <v>06</v>
      </c>
      <c r="L1418" s="29">
        <f>VLOOKUP(G1418,'insumos terrapl'!$C$3:$K$47,6,0)</f>
        <v>18</v>
      </c>
      <c r="M1418" s="29" t="str">
        <f>VLOOKUP(G1418,'insumos terrapl'!$C$3:$K$47,7,0)</f>
        <v>02</v>
      </c>
      <c r="N1418" s="29" t="str">
        <f>VLOOKUP(G1418,'insumos terrapl'!$C$3:$K$47,8,0)</f>
        <v>02</v>
      </c>
      <c r="O1418" s="97" t="str">
        <f>VLOOKUP(G1418,'insumos terrapl'!$C$3:$K$47,9,0)</f>
        <v>00</v>
      </c>
    </row>
    <row r="1419" spans="1:15" ht="45">
      <c r="A1419" s="134"/>
      <c r="B1419" s="137"/>
      <c r="C1419" s="125"/>
      <c r="D1419" s="115"/>
      <c r="E1419" s="115"/>
      <c r="F1419" s="11" t="s">
        <v>609</v>
      </c>
      <c r="G1419" s="20" t="s">
        <v>610</v>
      </c>
      <c r="H1419" s="29" t="str">
        <f>VLOOKUP(G1419,'insumos terrapl'!$C$3:$K$47,2,0)</f>
        <v>2Q  42  06  02  14  02  00</v>
      </c>
      <c r="I1419" s="29" t="str">
        <f>VLOOKUP(G1419,'insumos terrapl'!$C$3:$K$47,3,0)</f>
        <v>2Q</v>
      </c>
      <c r="J1419" s="29">
        <f>VLOOKUP(G1419,'insumos terrapl'!$C$3:$K$47,4,0)</f>
        <v>42</v>
      </c>
      <c r="K1419" s="29" t="str">
        <f>VLOOKUP(G1419,'insumos terrapl'!$C$3:$K$47,5,0)</f>
        <v>06</v>
      </c>
      <c r="L1419" s="29" t="str">
        <f>VLOOKUP(G1419,'insumos terrapl'!$C$3:$K$47,6,0)</f>
        <v>02</v>
      </c>
      <c r="M1419" s="29" t="str">
        <f>VLOOKUP(G1419,'insumos terrapl'!$C$3:$K$47,7,0)</f>
        <v>14</v>
      </c>
      <c r="N1419" s="29" t="str">
        <f>VLOOKUP(G1419,'insumos terrapl'!$C$3:$K$47,8,0)</f>
        <v>02</v>
      </c>
      <c r="O1419" s="97" t="str">
        <f>VLOOKUP(G1419,'insumos terrapl'!$C$3:$K$47,9,0)</f>
        <v>00</v>
      </c>
    </row>
    <row r="1420" spans="1:15">
      <c r="A1420" s="134"/>
      <c r="B1420" s="137"/>
      <c r="C1420" s="125"/>
      <c r="D1420" s="115"/>
      <c r="E1420" s="115"/>
      <c r="F1420" s="11" t="s">
        <v>633</v>
      </c>
      <c r="G1420" s="20" t="s">
        <v>634</v>
      </c>
      <c r="H1420" s="29" t="str">
        <f>VLOOKUP(G1420,'insumos terrapl'!$C$3:$K$47,2,0)</f>
        <v>2Q  58  10  10  02  06  00</v>
      </c>
      <c r="I1420" s="29" t="str">
        <f>VLOOKUP(G1420,'insumos terrapl'!$C$3:$K$47,3,0)</f>
        <v>2Q</v>
      </c>
      <c r="J1420" s="29">
        <f>VLOOKUP(G1420,'insumos terrapl'!$C$3:$K$47,4,0)</f>
        <v>58</v>
      </c>
      <c r="K1420" s="29" t="str">
        <f>VLOOKUP(G1420,'insumos terrapl'!$C$3:$K$47,5,0)</f>
        <v>10</v>
      </c>
      <c r="L1420" s="29" t="str">
        <f>VLOOKUP(G1420,'insumos terrapl'!$C$3:$K$47,6,0)</f>
        <v>10</v>
      </c>
      <c r="M1420" s="29" t="str">
        <f>VLOOKUP(G1420,'insumos terrapl'!$C$3:$K$47,7,0)</f>
        <v>02</v>
      </c>
      <c r="N1420" s="29" t="str">
        <f>VLOOKUP(G1420,'insumos terrapl'!$C$3:$K$47,8,0)</f>
        <v>06</v>
      </c>
      <c r="O1420" s="97" t="str">
        <f>VLOOKUP(G1420,'insumos terrapl'!$C$3:$K$47,9,0)</f>
        <v>00</v>
      </c>
    </row>
    <row r="1421" spans="1:15">
      <c r="A1421" s="134"/>
      <c r="B1421" s="137"/>
      <c r="C1421" s="125"/>
      <c r="D1421" s="115"/>
      <c r="E1421" s="115"/>
      <c r="F1421" s="11" t="s">
        <v>586</v>
      </c>
      <c r="G1421" s="20" t="s">
        <v>587</v>
      </c>
      <c r="H1421" s="29" t="str">
        <f>VLOOKUP(G1421,'insumos terrapl'!$C$3:$K$47,2,0)</f>
        <v>2Q  62  30  02  14  00  00</v>
      </c>
      <c r="I1421" s="29" t="str">
        <f>VLOOKUP(G1421,'insumos terrapl'!$C$3:$K$47,3,0)</f>
        <v>2Q</v>
      </c>
      <c r="J1421" s="29">
        <f>VLOOKUP(G1421,'insumos terrapl'!$C$3:$K$47,4,0)</f>
        <v>62</v>
      </c>
      <c r="K1421" s="29">
        <f>VLOOKUP(G1421,'insumos terrapl'!$C$3:$K$47,5,0)</f>
        <v>30</v>
      </c>
      <c r="L1421" s="29" t="str">
        <f>VLOOKUP(G1421,'insumos terrapl'!$C$3:$K$47,6,0)</f>
        <v>02</v>
      </c>
      <c r="M1421" s="29" t="str">
        <f>VLOOKUP(G1421,'insumos terrapl'!$C$3:$K$47,7,0)</f>
        <v>14</v>
      </c>
      <c r="N1421" s="29" t="str">
        <f>VLOOKUP(G1421,'insumos terrapl'!$C$3:$K$47,8,0)</f>
        <v>00</v>
      </c>
      <c r="O1421" s="97" t="str">
        <f>VLOOKUP(G1421,'insumos terrapl'!$C$3:$K$47,9,0)</f>
        <v>00</v>
      </c>
    </row>
    <row r="1422" spans="1:15">
      <c r="A1422" s="134"/>
      <c r="B1422" s="137"/>
      <c r="C1422" s="125"/>
      <c r="D1422" s="115"/>
      <c r="E1422" s="115"/>
      <c r="F1422" s="11" t="s">
        <v>613</v>
      </c>
      <c r="G1422" s="20" t="s">
        <v>614</v>
      </c>
      <c r="H1422" s="29" t="str">
        <f>VLOOKUP(G1422,'insumos terrapl'!$C$3:$K$47,2,0)</f>
        <v>2N  20  14  02  00  00  00</v>
      </c>
      <c r="I1422" s="29" t="str">
        <f>VLOOKUP(G1422,'insumos terrapl'!$C$3:$K$47,3,0)</f>
        <v>2N</v>
      </c>
      <c r="J1422" s="29">
        <f>VLOOKUP(G1422,'insumos terrapl'!$C$3:$K$47,4,0)</f>
        <v>20</v>
      </c>
      <c r="K1422" s="29" t="str">
        <f>VLOOKUP(G1422,'insumos terrapl'!$C$3:$K$47,5,0)</f>
        <v>14</v>
      </c>
      <c r="L1422" s="29" t="str">
        <f>VLOOKUP(G1422,'insumos terrapl'!$C$3:$K$47,6,0)</f>
        <v>02</v>
      </c>
      <c r="M1422" s="29" t="str">
        <f>VLOOKUP(G1422,'insumos terrapl'!$C$3:$K$47,7,0)</f>
        <v>00</v>
      </c>
      <c r="N1422" s="29" t="str">
        <f>VLOOKUP(G1422,'insumos terrapl'!$C$3:$K$47,8,0)</f>
        <v>00</v>
      </c>
      <c r="O1422" s="97" t="str">
        <f>VLOOKUP(G1422,'insumos terrapl'!$C$3:$K$47,9,0)</f>
        <v>00</v>
      </c>
    </row>
    <row r="1423" spans="1:15">
      <c r="A1423" s="134"/>
      <c r="B1423" s="137"/>
      <c r="C1423" s="125"/>
      <c r="D1423" s="115"/>
      <c r="E1423" s="115"/>
      <c r="F1423" s="11" t="s">
        <v>615</v>
      </c>
      <c r="G1423" s="20" t="s">
        <v>616</v>
      </c>
      <c r="H1423" s="29" t="str">
        <f>VLOOKUP(G1423,'insumos terrapl'!$C$3:$K$47,2,0)</f>
        <v>2N  20  14  02  00  00  00</v>
      </c>
      <c r="I1423" s="29" t="str">
        <f>VLOOKUP(G1423,'insumos terrapl'!$C$3:$K$47,3,0)</f>
        <v>2N</v>
      </c>
      <c r="J1423" s="29">
        <f>VLOOKUP(G1423,'insumos terrapl'!$C$3:$K$47,4,0)</f>
        <v>20</v>
      </c>
      <c r="K1423" s="29" t="str">
        <f>VLOOKUP(G1423,'insumos terrapl'!$C$3:$K$47,5,0)</f>
        <v>14</v>
      </c>
      <c r="L1423" s="29" t="str">
        <f>VLOOKUP(G1423,'insumos terrapl'!$C$3:$K$47,6,0)</f>
        <v>02</v>
      </c>
      <c r="M1423" s="29" t="str">
        <f>VLOOKUP(G1423,'insumos terrapl'!$C$3:$K$47,7,0)</f>
        <v>00</v>
      </c>
      <c r="N1423" s="29" t="str">
        <f>VLOOKUP(G1423,'insumos terrapl'!$C$3:$K$47,8,0)</f>
        <v>00</v>
      </c>
      <c r="O1423" s="97" t="str">
        <f>VLOOKUP(G1423,'insumos terrapl'!$C$3:$K$47,9,0)</f>
        <v>00</v>
      </c>
    </row>
    <row r="1424" spans="1:15" ht="30">
      <c r="A1424" s="134"/>
      <c r="B1424" s="137"/>
      <c r="C1424" s="125"/>
      <c r="D1424" s="115"/>
      <c r="E1424" s="115"/>
      <c r="F1424" s="11" t="s">
        <v>635</v>
      </c>
      <c r="G1424" s="20" t="s">
        <v>636</v>
      </c>
      <c r="H1424" s="29" t="str">
        <f>VLOOKUP(G1424,'insumos terrapl'!$C$3:$K$47,2,0)</f>
        <v>2N  58  06  00  00  00  00</v>
      </c>
      <c r="I1424" s="29" t="str">
        <f>VLOOKUP(G1424,'insumos terrapl'!$C$3:$K$47,3,0)</f>
        <v>2N</v>
      </c>
      <c r="J1424" s="29">
        <f>VLOOKUP(G1424,'insumos terrapl'!$C$3:$K$47,4,0)</f>
        <v>58</v>
      </c>
      <c r="K1424" s="29" t="str">
        <f>VLOOKUP(G1424,'insumos terrapl'!$C$3:$K$47,5,0)</f>
        <v>06</v>
      </c>
      <c r="L1424" s="29" t="str">
        <f>VLOOKUP(G1424,'insumos terrapl'!$C$3:$K$47,6,0)</f>
        <v>00</v>
      </c>
      <c r="M1424" s="29" t="str">
        <f>VLOOKUP(G1424,'insumos terrapl'!$C$3:$K$47,7,0)</f>
        <v>00</v>
      </c>
      <c r="N1424" s="29" t="str">
        <f>VLOOKUP(G1424,'insumos terrapl'!$C$3:$K$47,8,0)</f>
        <v>00</v>
      </c>
      <c r="O1424" s="97" t="str">
        <f>VLOOKUP(G1424,'insumos terrapl'!$C$3:$K$47,9,0)</f>
        <v>00</v>
      </c>
    </row>
    <row r="1425" spans="1:15">
      <c r="A1425" s="134"/>
      <c r="B1425" s="137"/>
      <c r="C1425" s="125"/>
      <c r="D1425" s="115"/>
      <c r="E1425" s="115"/>
      <c r="F1425" s="11" t="s">
        <v>617</v>
      </c>
      <c r="G1425" s="20" t="s">
        <v>618</v>
      </c>
      <c r="H1425" s="29" t="str">
        <f>VLOOKUP(G1425,'insumos terrapl'!$C$3:$K$47,2,0)</f>
        <v>2Q  58  06  02  28  00  00</v>
      </c>
      <c r="I1425" s="29" t="str">
        <f>VLOOKUP(G1425,'insumos terrapl'!$C$3:$K$47,3,0)</f>
        <v>2Q</v>
      </c>
      <c r="J1425" s="29">
        <f>VLOOKUP(G1425,'insumos terrapl'!$C$3:$K$47,4,0)</f>
        <v>58</v>
      </c>
      <c r="K1425" s="29" t="str">
        <f>VLOOKUP(G1425,'insumos terrapl'!$C$3:$K$47,5,0)</f>
        <v>06</v>
      </c>
      <c r="L1425" s="29" t="str">
        <f>VLOOKUP(G1425,'insumos terrapl'!$C$3:$K$47,6,0)</f>
        <v>02</v>
      </c>
      <c r="M1425" s="29" t="str">
        <f>VLOOKUP(G1425,'insumos terrapl'!$C$3:$K$47,7,0)</f>
        <v>28</v>
      </c>
      <c r="N1425" s="29" t="str">
        <f>VLOOKUP(G1425,'insumos terrapl'!$C$3:$K$47,8,0)</f>
        <v>00</v>
      </c>
      <c r="O1425" s="97" t="str">
        <f>VLOOKUP(G1425,'insumos terrapl'!$C$3:$K$47,9,0)</f>
        <v>00</v>
      </c>
    </row>
    <row r="1426" spans="1:15" ht="30">
      <c r="A1426" s="134"/>
      <c r="B1426" s="137"/>
      <c r="C1426" s="125"/>
      <c r="D1426" s="115"/>
      <c r="E1426" s="115"/>
      <c r="F1426" s="11" t="s">
        <v>637</v>
      </c>
      <c r="G1426" s="20" t="s">
        <v>638</v>
      </c>
      <c r="H1426" s="29" t="str">
        <f>VLOOKUP(G1426,'insumos terrapl'!$C$3:$K$47,2,0)</f>
        <v>2N  58  06  00  00  00  00</v>
      </c>
      <c r="I1426" s="29" t="str">
        <f>VLOOKUP(G1426,'insumos terrapl'!$C$3:$K$47,3,0)</f>
        <v>2N</v>
      </c>
      <c r="J1426" s="29">
        <f>VLOOKUP(G1426,'insumos terrapl'!$C$3:$K$47,4,0)</f>
        <v>58</v>
      </c>
      <c r="K1426" s="29" t="str">
        <f>VLOOKUP(G1426,'insumos terrapl'!$C$3:$K$47,5,0)</f>
        <v>06</v>
      </c>
      <c r="L1426" s="29" t="str">
        <f>VLOOKUP(G1426,'insumos terrapl'!$C$3:$K$47,6,0)</f>
        <v>00</v>
      </c>
      <c r="M1426" s="29" t="str">
        <f>VLOOKUP(G1426,'insumos terrapl'!$C$3:$K$47,7,0)</f>
        <v>00</v>
      </c>
      <c r="N1426" s="29" t="str">
        <f>VLOOKUP(G1426,'insumos terrapl'!$C$3:$K$47,8,0)</f>
        <v>00</v>
      </c>
      <c r="O1426" s="97" t="str">
        <f>VLOOKUP(G1426,'insumos terrapl'!$C$3:$K$47,9,0)</f>
        <v>00</v>
      </c>
    </row>
    <row r="1427" spans="1:15" ht="30">
      <c r="A1427" s="134"/>
      <c r="B1427" s="137"/>
      <c r="C1427" s="125"/>
      <c r="D1427" s="115"/>
      <c r="E1427" s="115"/>
      <c r="F1427" s="11" t="s">
        <v>639</v>
      </c>
      <c r="G1427" s="20" t="s">
        <v>640</v>
      </c>
      <c r="H1427" s="29" t="str">
        <f>VLOOKUP(G1427,'insumos terrapl'!$C$3:$K$47,2,0)</f>
        <v>2N  58  06  00  00  00  00</v>
      </c>
      <c r="I1427" s="29" t="str">
        <f>VLOOKUP(G1427,'insumos terrapl'!$C$3:$K$47,3,0)</f>
        <v>2N</v>
      </c>
      <c r="J1427" s="29">
        <f>VLOOKUP(G1427,'insumos terrapl'!$C$3:$K$47,4,0)</f>
        <v>58</v>
      </c>
      <c r="K1427" s="29" t="str">
        <f>VLOOKUP(G1427,'insumos terrapl'!$C$3:$K$47,5,0)</f>
        <v>06</v>
      </c>
      <c r="L1427" s="29" t="str">
        <f>VLOOKUP(G1427,'insumos terrapl'!$C$3:$K$47,6,0)</f>
        <v>00</v>
      </c>
      <c r="M1427" s="29" t="str">
        <f>VLOOKUP(G1427,'insumos terrapl'!$C$3:$K$47,7,0)</f>
        <v>00</v>
      </c>
      <c r="N1427" s="29" t="str">
        <f>VLOOKUP(G1427,'insumos terrapl'!$C$3:$K$47,8,0)</f>
        <v>00</v>
      </c>
      <c r="O1427" s="97" t="str">
        <f>VLOOKUP(G1427,'insumos terrapl'!$C$3:$K$47,9,0)</f>
        <v>00</v>
      </c>
    </row>
    <row r="1428" spans="1:15">
      <c r="A1428" s="134"/>
      <c r="B1428" s="137"/>
      <c r="C1428" s="125"/>
      <c r="D1428" s="115"/>
      <c r="E1428" s="115"/>
      <c r="F1428" s="11" t="s">
        <v>641</v>
      </c>
      <c r="G1428" s="20" t="s">
        <v>642</v>
      </c>
      <c r="H1428" s="29" t="str">
        <f>VLOOKUP(G1428,'insumos terrapl'!$C$3:$K$47,2,0)</f>
        <v>2N  58  06  00  00  00  00</v>
      </c>
      <c r="I1428" s="29" t="str">
        <f>VLOOKUP(G1428,'insumos terrapl'!$C$3:$K$47,3,0)</f>
        <v>2N</v>
      </c>
      <c r="J1428" s="29">
        <f>VLOOKUP(G1428,'insumos terrapl'!$C$3:$K$47,4,0)</f>
        <v>58</v>
      </c>
      <c r="K1428" s="29" t="str">
        <f>VLOOKUP(G1428,'insumos terrapl'!$C$3:$K$47,5,0)</f>
        <v>06</v>
      </c>
      <c r="L1428" s="29" t="str">
        <f>VLOOKUP(G1428,'insumos terrapl'!$C$3:$K$47,6,0)</f>
        <v>00</v>
      </c>
      <c r="M1428" s="29" t="str">
        <f>VLOOKUP(G1428,'insumos terrapl'!$C$3:$K$47,7,0)</f>
        <v>00</v>
      </c>
      <c r="N1428" s="29" t="str">
        <f>VLOOKUP(G1428,'insumos terrapl'!$C$3:$K$47,8,0)</f>
        <v>00</v>
      </c>
      <c r="O1428" s="97" t="str">
        <f>VLOOKUP(G1428,'insumos terrapl'!$C$3:$K$47,9,0)</f>
        <v>00</v>
      </c>
    </row>
    <row r="1429" spans="1:15">
      <c r="A1429" s="134"/>
      <c r="B1429" s="137"/>
      <c r="C1429" s="125"/>
      <c r="D1429" s="115"/>
      <c r="E1429" s="115"/>
      <c r="F1429" s="11" t="s">
        <v>619</v>
      </c>
      <c r="G1429" s="20" t="s">
        <v>620</v>
      </c>
      <c r="H1429" s="29"/>
      <c r="I1429" s="29"/>
      <c r="J1429" s="29"/>
      <c r="K1429" s="29"/>
      <c r="L1429" s="29"/>
      <c r="M1429" s="29"/>
      <c r="N1429" s="29"/>
      <c r="O1429" s="97"/>
    </row>
    <row r="1430" spans="1:15">
      <c r="A1430" s="134"/>
      <c r="B1430" s="137"/>
      <c r="C1430" s="125"/>
      <c r="D1430" s="115"/>
      <c r="E1430" s="115"/>
      <c r="F1430" s="11" t="s">
        <v>643</v>
      </c>
      <c r="G1430" s="20" t="s">
        <v>644</v>
      </c>
      <c r="H1430" s="29" t="str">
        <f>VLOOKUP(G1430,'insumos terrapl'!$C$3:$K$47,2,0)</f>
        <v>2N  58  06  00  00  00  00</v>
      </c>
      <c r="I1430" s="29" t="str">
        <f>VLOOKUP(G1430,'insumos terrapl'!$C$3:$K$47,3,0)</f>
        <v>2N</v>
      </c>
      <c r="J1430" s="29">
        <f>VLOOKUP(G1430,'insumos terrapl'!$C$3:$K$47,4,0)</f>
        <v>58</v>
      </c>
      <c r="K1430" s="29" t="str">
        <f>VLOOKUP(G1430,'insumos terrapl'!$C$3:$K$47,5,0)</f>
        <v>06</v>
      </c>
      <c r="L1430" s="29" t="str">
        <f>VLOOKUP(G1430,'insumos terrapl'!$C$3:$K$47,6,0)</f>
        <v>00</v>
      </c>
      <c r="M1430" s="29" t="str">
        <f>VLOOKUP(G1430,'insumos terrapl'!$C$3:$K$47,7,0)</f>
        <v>00</v>
      </c>
      <c r="N1430" s="29" t="str">
        <f>VLOOKUP(G1430,'insumos terrapl'!$C$3:$K$47,8,0)</f>
        <v>00</v>
      </c>
      <c r="O1430" s="97" t="str">
        <f>VLOOKUP(G1430,'insumos terrapl'!$C$3:$K$47,9,0)</f>
        <v>00</v>
      </c>
    </row>
    <row r="1431" spans="1:15">
      <c r="A1431" s="134"/>
      <c r="B1431" s="137"/>
      <c r="C1431" s="125"/>
      <c r="D1431" s="115"/>
      <c r="E1431" s="115"/>
      <c r="F1431" s="11" t="s">
        <v>645</v>
      </c>
      <c r="G1431" s="20" t="s">
        <v>646</v>
      </c>
      <c r="H1431" s="29" t="str">
        <f>VLOOKUP(G1431,'insumos terrapl'!$C$3:$K$47,2,0)</f>
        <v>2N  58  06  00  00  00  00</v>
      </c>
      <c r="I1431" s="29" t="str">
        <f>VLOOKUP(G1431,'insumos terrapl'!$C$3:$K$47,3,0)</f>
        <v>2N</v>
      </c>
      <c r="J1431" s="29">
        <f>VLOOKUP(G1431,'insumos terrapl'!$C$3:$K$47,4,0)</f>
        <v>58</v>
      </c>
      <c r="K1431" s="29" t="str">
        <f>VLOOKUP(G1431,'insumos terrapl'!$C$3:$K$47,5,0)</f>
        <v>06</v>
      </c>
      <c r="L1431" s="29" t="str">
        <f>VLOOKUP(G1431,'insumos terrapl'!$C$3:$K$47,6,0)</f>
        <v>00</v>
      </c>
      <c r="M1431" s="29" t="str">
        <f>VLOOKUP(G1431,'insumos terrapl'!$C$3:$K$47,7,0)</f>
        <v>00</v>
      </c>
      <c r="N1431" s="29" t="str">
        <f>VLOOKUP(G1431,'insumos terrapl'!$C$3:$K$47,8,0)</f>
        <v>00</v>
      </c>
      <c r="O1431" s="97" t="str">
        <f>VLOOKUP(G1431,'insumos terrapl'!$C$3:$K$47,9,0)</f>
        <v>00</v>
      </c>
    </row>
    <row r="1432" spans="1:15" ht="30">
      <c r="A1432" s="134"/>
      <c r="B1432" s="137"/>
      <c r="C1432" s="125"/>
      <c r="D1432" s="115"/>
      <c r="E1432" s="115"/>
      <c r="F1432" s="11" t="s">
        <v>647</v>
      </c>
      <c r="G1432" s="20" t="s">
        <v>648</v>
      </c>
      <c r="H1432" s="29" t="str">
        <f>VLOOKUP(G1432,'insumos terrapl'!$C$3:$K$47,2,0)</f>
        <v>2N  58  06  00  00  00  00</v>
      </c>
      <c r="I1432" s="29" t="str">
        <f>VLOOKUP(G1432,'insumos terrapl'!$C$3:$K$47,3,0)</f>
        <v>2N</v>
      </c>
      <c r="J1432" s="29">
        <f>VLOOKUP(G1432,'insumos terrapl'!$C$3:$K$47,4,0)</f>
        <v>58</v>
      </c>
      <c r="K1432" s="29" t="str">
        <f>VLOOKUP(G1432,'insumos terrapl'!$C$3:$K$47,5,0)</f>
        <v>06</v>
      </c>
      <c r="L1432" s="29" t="str">
        <f>VLOOKUP(G1432,'insumos terrapl'!$C$3:$K$47,6,0)</f>
        <v>00</v>
      </c>
      <c r="M1432" s="29" t="str">
        <f>VLOOKUP(G1432,'insumos terrapl'!$C$3:$K$47,7,0)</f>
        <v>00</v>
      </c>
      <c r="N1432" s="29" t="str">
        <f>VLOOKUP(G1432,'insumos terrapl'!$C$3:$K$47,8,0)</f>
        <v>00</v>
      </c>
      <c r="O1432" s="97" t="str">
        <f>VLOOKUP(G1432,'insumos terrapl'!$C$3:$K$47,9,0)</f>
        <v>00</v>
      </c>
    </row>
    <row r="1433" spans="1:15">
      <c r="A1433" s="134"/>
      <c r="B1433" s="137"/>
      <c r="C1433" s="125"/>
      <c r="D1433" s="115"/>
      <c r="E1433" s="115"/>
      <c r="F1433" s="11" t="s">
        <v>621</v>
      </c>
      <c r="G1433" s="20" t="s">
        <v>622</v>
      </c>
      <c r="H1433" s="29" t="str">
        <f>VLOOKUP(G1433,'insumos terrapl'!$C$3:$K$47,2,0)</f>
        <v>2N  58  06  00  00  00  00</v>
      </c>
      <c r="I1433" s="29" t="str">
        <f>VLOOKUP(G1433,'insumos terrapl'!$C$3:$K$47,3,0)</f>
        <v>2N</v>
      </c>
      <c r="J1433" s="29">
        <f>VLOOKUP(G1433,'insumos terrapl'!$C$3:$K$47,4,0)</f>
        <v>58</v>
      </c>
      <c r="K1433" s="29" t="str">
        <f>VLOOKUP(G1433,'insumos terrapl'!$C$3:$K$47,5,0)</f>
        <v>06</v>
      </c>
      <c r="L1433" s="29" t="str">
        <f>VLOOKUP(G1433,'insumos terrapl'!$C$3:$K$47,6,0)</f>
        <v>00</v>
      </c>
      <c r="M1433" s="29" t="str">
        <f>VLOOKUP(G1433,'insumos terrapl'!$C$3:$K$47,7,0)</f>
        <v>00</v>
      </c>
      <c r="N1433" s="29" t="str">
        <f>VLOOKUP(G1433,'insumos terrapl'!$C$3:$K$47,8,0)</f>
        <v>00</v>
      </c>
      <c r="O1433" s="97" t="str">
        <f>VLOOKUP(G1433,'insumos terrapl'!$C$3:$K$47,9,0)</f>
        <v>00</v>
      </c>
    </row>
    <row r="1434" spans="1:15">
      <c r="A1434" s="134"/>
      <c r="B1434" s="137"/>
      <c r="C1434" s="132"/>
      <c r="D1434" s="116"/>
      <c r="E1434" s="115"/>
      <c r="F1434" s="10"/>
      <c r="G1434" s="20"/>
      <c r="H1434" s="29"/>
      <c r="I1434" s="29"/>
      <c r="J1434" s="29"/>
      <c r="K1434" s="29"/>
      <c r="L1434" s="29"/>
      <c r="M1434" s="29"/>
      <c r="N1434" s="29"/>
      <c r="O1434" s="97"/>
    </row>
    <row r="1435" spans="1:15">
      <c r="A1435" s="134"/>
      <c r="B1435" s="137"/>
      <c r="C1435" s="124" t="s">
        <v>251</v>
      </c>
      <c r="D1435" s="114" t="str">
        <f>$A$1095</f>
        <v>2.6.8</v>
      </c>
      <c r="E1435" s="114" t="s">
        <v>509</v>
      </c>
      <c r="F1435" s="12" t="s">
        <v>251</v>
      </c>
      <c r="G1435" s="19"/>
      <c r="H1435" s="28"/>
      <c r="I1435" s="28"/>
      <c r="J1435" s="28"/>
      <c r="K1435" s="28"/>
      <c r="L1435" s="28"/>
      <c r="M1435" s="28"/>
      <c r="N1435" s="28"/>
      <c r="O1435" s="99"/>
    </row>
    <row r="1436" spans="1:15" ht="30">
      <c r="A1436" s="134"/>
      <c r="B1436" s="137"/>
      <c r="C1436" s="125"/>
      <c r="D1436" s="115"/>
      <c r="E1436" s="115"/>
      <c r="F1436" s="11" t="s">
        <v>659</v>
      </c>
      <c r="G1436" s="20" t="s">
        <v>660</v>
      </c>
      <c r="H1436" s="29" t="str">
        <f>VLOOKUP(G1436,'insumos terrapl'!$C$3:$K$47,2,0)</f>
        <v>2Q  66  10  02  00  00  00</v>
      </c>
      <c r="I1436" s="29" t="str">
        <f>VLOOKUP(G1436,'insumos terrapl'!$C$3:$K$47,3,0)</f>
        <v>2Q</v>
      </c>
      <c r="J1436" s="29">
        <f>VLOOKUP(G1436,'insumos terrapl'!$C$3:$K$47,4,0)</f>
        <v>66</v>
      </c>
      <c r="K1436" s="29" t="str">
        <f>VLOOKUP(G1436,'insumos terrapl'!$C$3:$K$47,5,0)</f>
        <v>10</v>
      </c>
      <c r="L1436" s="29" t="str">
        <f>VLOOKUP(G1436,'insumos terrapl'!$C$3:$K$47,6,0)</f>
        <v>02</v>
      </c>
      <c r="M1436" s="29" t="str">
        <f>VLOOKUP(G1436,'insumos terrapl'!$C$3:$K$47,7,0)</f>
        <v>00</v>
      </c>
      <c r="N1436" s="29" t="str">
        <f>VLOOKUP(G1436,'insumos terrapl'!$C$3:$K$47,8,0)</f>
        <v>00</v>
      </c>
      <c r="O1436" s="97" t="str">
        <f>VLOOKUP(G1436,'insumos terrapl'!$C$3:$K$47,9,0)</f>
        <v>00</v>
      </c>
    </row>
    <row r="1437" spans="1:15" ht="30">
      <c r="A1437" s="134"/>
      <c r="B1437" s="137"/>
      <c r="C1437" s="125"/>
      <c r="D1437" s="115"/>
      <c r="E1437" s="115"/>
      <c r="F1437" s="11" t="s">
        <v>661</v>
      </c>
      <c r="G1437" s="20" t="s">
        <v>662</v>
      </c>
      <c r="H1437" s="29" t="str">
        <f>VLOOKUP(G1437,'insumos terrapl'!$C$3:$K$47,2,0)</f>
        <v>2Q  62  10  06  00  00  00</v>
      </c>
      <c r="I1437" s="29" t="str">
        <f>VLOOKUP(G1437,'insumos terrapl'!$C$3:$K$47,3,0)</f>
        <v>2Q</v>
      </c>
      <c r="J1437" s="29">
        <f>VLOOKUP(G1437,'insumos terrapl'!$C$3:$K$47,4,0)</f>
        <v>62</v>
      </c>
      <c r="K1437" s="29" t="str">
        <f>VLOOKUP(G1437,'insumos terrapl'!$C$3:$K$47,5,0)</f>
        <v>10</v>
      </c>
      <c r="L1437" s="29" t="str">
        <f>VLOOKUP(G1437,'insumos terrapl'!$C$3:$K$47,6,0)</f>
        <v>06</v>
      </c>
      <c r="M1437" s="29" t="str">
        <f>VLOOKUP(G1437,'insumos terrapl'!$C$3:$K$47,7,0)</f>
        <v>00</v>
      </c>
      <c r="N1437" s="29" t="str">
        <f>VLOOKUP(G1437,'insumos terrapl'!$C$3:$K$47,8,0)</f>
        <v>00</v>
      </c>
      <c r="O1437" s="97" t="str">
        <f>VLOOKUP(G1437,'insumos terrapl'!$C$3:$K$47,9,0)</f>
        <v>00</v>
      </c>
    </row>
    <row r="1438" spans="1:15" ht="30">
      <c r="A1438" s="134"/>
      <c r="B1438" s="137"/>
      <c r="C1438" s="125"/>
      <c r="D1438" s="115"/>
      <c r="E1438" s="115"/>
      <c r="F1438" s="11" t="s">
        <v>607</v>
      </c>
      <c r="G1438" s="20" t="s">
        <v>608</v>
      </c>
      <c r="H1438" s="29" t="str">
        <f>VLOOKUP(G1438,'insumos terrapl'!$C$3:$K$47,2,0)</f>
        <v>2Q  42  06  18  02  02  00</v>
      </c>
      <c r="I1438" s="29" t="str">
        <f>VLOOKUP(G1438,'insumos terrapl'!$C$3:$K$47,3,0)</f>
        <v>2Q</v>
      </c>
      <c r="J1438" s="29">
        <f>VLOOKUP(G1438,'insumos terrapl'!$C$3:$K$47,4,0)</f>
        <v>42</v>
      </c>
      <c r="K1438" s="29" t="str">
        <f>VLOOKUP(G1438,'insumos terrapl'!$C$3:$K$47,5,0)</f>
        <v>06</v>
      </c>
      <c r="L1438" s="29">
        <f>VLOOKUP(G1438,'insumos terrapl'!$C$3:$K$47,6,0)</f>
        <v>18</v>
      </c>
      <c r="M1438" s="29" t="str">
        <f>VLOOKUP(G1438,'insumos terrapl'!$C$3:$K$47,7,0)</f>
        <v>02</v>
      </c>
      <c r="N1438" s="29" t="str">
        <f>VLOOKUP(G1438,'insumos terrapl'!$C$3:$K$47,8,0)</f>
        <v>02</v>
      </c>
      <c r="O1438" s="97" t="str">
        <f>VLOOKUP(G1438,'insumos terrapl'!$C$3:$K$47,9,0)</f>
        <v>00</v>
      </c>
    </row>
    <row r="1439" spans="1:15" ht="45">
      <c r="A1439" s="134"/>
      <c r="B1439" s="137"/>
      <c r="C1439" s="125"/>
      <c r="D1439" s="115"/>
      <c r="E1439" s="115"/>
      <c r="F1439" s="11" t="s">
        <v>609</v>
      </c>
      <c r="G1439" s="20" t="s">
        <v>610</v>
      </c>
      <c r="H1439" s="29" t="str">
        <f>VLOOKUP(G1439,'insumos terrapl'!$C$3:$K$47,2,0)</f>
        <v>2Q  42  06  02  14  02  00</v>
      </c>
      <c r="I1439" s="29" t="str">
        <f>VLOOKUP(G1439,'insumos terrapl'!$C$3:$K$47,3,0)</f>
        <v>2Q</v>
      </c>
      <c r="J1439" s="29">
        <f>VLOOKUP(G1439,'insumos terrapl'!$C$3:$K$47,4,0)</f>
        <v>42</v>
      </c>
      <c r="K1439" s="29" t="str">
        <f>VLOOKUP(G1439,'insumos terrapl'!$C$3:$K$47,5,0)</f>
        <v>06</v>
      </c>
      <c r="L1439" s="29" t="str">
        <f>VLOOKUP(G1439,'insumos terrapl'!$C$3:$K$47,6,0)</f>
        <v>02</v>
      </c>
      <c r="M1439" s="29" t="str">
        <f>VLOOKUP(G1439,'insumos terrapl'!$C$3:$K$47,7,0)</f>
        <v>14</v>
      </c>
      <c r="N1439" s="29" t="str">
        <f>VLOOKUP(G1439,'insumos terrapl'!$C$3:$K$47,8,0)</f>
        <v>02</v>
      </c>
      <c r="O1439" s="97" t="str">
        <f>VLOOKUP(G1439,'insumos terrapl'!$C$3:$K$47,9,0)</f>
        <v>00</v>
      </c>
    </row>
    <row r="1440" spans="1:15">
      <c r="A1440" s="134"/>
      <c r="B1440" s="137"/>
      <c r="C1440" s="125"/>
      <c r="D1440" s="115"/>
      <c r="E1440" s="115"/>
      <c r="F1440" s="11" t="s">
        <v>633</v>
      </c>
      <c r="G1440" s="20" t="s">
        <v>634</v>
      </c>
      <c r="H1440" s="29" t="str">
        <f>VLOOKUP(G1440,'insumos terrapl'!$C$3:$K$47,2,0)</f>
        <v>2Q  58  10  10  02  06  00</v>
      </c>
      <c r="I1440" s="29" t="str">
        <f>VLOOKUP(G1440,'insumos terrapl'!$C$3:$K$47,3,0)</f>
        <v>2Q</v>
      </c>
      <c r="J1440" s="29">
        <f>VLOOKUP(G1440,'insumos terrapl'!$C$3:$K$47,4,0)</f>
        <v>58</v>
      </c>
      <c r="K1440" s="29" t="str">
        <f>VLOOKUP(G1440,'insumos terrapl'!$C$3:$K$47,5,0)</f>
        <v>10</v>
      </c>
      <c r="L1440" s="29" t="str">
        <f>VLOOKUP(G1440,'insumos terrapl'!$C$3:$K$47,6,0)</f>
        <v>10</v>
      </c>
      <c r="M1440" s="29" t="str">
        <f>VLOOKUP(G1440,'insumos terrapl'!$C$3:$K$47,7,0)</f>
        <v>02</v>
      </c>
      <c r="N1440" s="29" t="str">
        <f>VLOOKUP(G1440,'insumos terrapl'!$C$3:$K$47,8,0)</f>
        <v>06</v>
      </c>
      <c r="O1440" s="97" t="str">
        <f>VLOOKUP(G1440,'insumos terrapl'!$C$3:$K$47,9,0)</f>
        <v>00</v>
      </c>
    </row>
    <row r="1441" spans="1:15">
      <c r="A1441" s="134"/>
      <c r="B1441" s="137"/>
      <c r="C1441" s="125"/>
      <c r="D1441" s="115"/>
      <c r="E1441" s="115"/>
      <c r="F1441" s="11" t="s">
        <v>586</v>
      </c>
      <c r="G1441" s="20" t="s">
        <v>587</v>
      </c>
      <c r="H1441" s="29" t="str">
        <f>VLOOKUP(G1441,'insumos terrapl'!$C$3:$K$47,2,0)</f>
        <v>2Q  62  30  02  14  00  00</v>
      </c>
      <c r="I1441" s="29" t="str">
        <f>VLOOKUP(G1441,'insumos terrapl'!$C$3:$K$47,3,0)</f>
        <v>2Q</v>
      </c>
      <c r="J1441" s="29">
        <f>VLOOKUP(G1441,'insumos terrapl'!$C$3:$K$47,4,0)</f>
        <v>62</v>
      </c>
      <c r="K1441" s="29">
        <f>VLOOKUP(G1441,'insumos terrapl'!$C$3:$K$47,5,0)</f>
        <v>30</v>
      </c>
      <c r="L1441" s="29" t="str">
        <f>VLOOKUP(G1441,'insumos terrapl'!$C$3:$K$47,6,0)</f>
        <v>02</v>
      </c>
      <c r="M1441" s="29" t="str">
        <f>VLOOKUP(G1441,'insumos terrapl'!$C$3:$K$47,7,0)</f>
        <v>14</v>
      </c>
      <c r="N1441" s="29" t="str">
        <f>VLOOKUP(G1441,'insumos terrapl'!$C$3:$K$47,8,0)</f>
        <v>00</v>
      </c>
      <c r="O1441" s="97" t="str">
        <f>VLOOKUP(G1441,'insumos terrapl'!$C$3:$K$47,9,0)</f>
        <v>00</v>
      </c>
    </row>
    <row r="1442" spans="1:15">
      <c r="A1442" s="134"/>
      <c r="B1442" s="137"/>
      <c r="C1442" s="125"/>
      <c r="D1442" s="115"/>
      <c r="E1442" s="115"/>
      <c r="F1442" s="11" t="s">
        <v>613</v>
      </c>
      <c r="G1442" s="20" t="s">
        <v>614</v>
      </c>
      <c r="H1442" s="29" t="str">
        <f>VLOOKUP(G1442,'insumos terrapl'!$C$3:$K$47,2,0)</f>
        <v>2N  20  14  02  00  00  00</v>
      </c>
      <c r="I1442" s="29" t="str">
        <f>VLOOKUP(G1442,'insumos terrapl'!$C$3:$K$47,3,0)</f>
        <v>2N</v>
      </c>
      <c r="J1442" s="29">
        <f>VLOOKUP(G1442,'insumos terrapl'!$C$3:$K$47,4,0)</f>
        <v>20</v>
      </c>
      <c r="K1442" s="29" t="str">
        <f>VLOOKUP(G1442,'insumos terrapl'!$C$3:$K$47,5,0)</f>
        <v>14</v>
      </c>
      <c r="L1442" s="29" t="str">
        <f>VLOOKUP(G1442,'insumos terrapl'!$C$3:$K$47,6,0)</f>
        <v>02</v>
      </c>
      <c r="M1442" s="29" t="str">
        <f>VLOOKUP(G1442,'insumos terrapl'!$C$3:$K$47,7,0)</f>
        <v>00</v>
      </c>
      <c r="N1442" s="29" t="str">
        <f>VLOOKUP(G1442,'insumos terrapl'!$C$3:$K$47,8,0)</f>
        <v>00</v>
      </c>
      <c r="O1442" s="97" t="str">
        <f>VLOOKUP(G1442,'insumos terrapl'!$C$3:$K$47,9,0)</f>
        <v>00</v>
      </c>
    </row>
    <row r="1443" spans="1:15">
      <c r="A1443" s="134"/>
      <c r="B1443" s="137"/>
      <c r="C1443" s="125"/>
      <c r="D1443" s="115"/>
      <c r="E1443" s="115"/>
      <c r="F1443" s="11" t="s">
        <v>615</v>
      </c>
      <c r="G1443" s="20" t="s">
        <v>616</v>
      </c>
      <c r="H1443" s="29" t="str">
        <f>VLOOKUP(G1443,'insumos terrapl'!$C$3:$K$47,2,0)</f>
        <v>2N  20  14  02  00  00  00</v>
      </c>
      <c r="I1443" s="29" t="str">
        <f>VLOOKUP(G1443,'insumos terrapl'!$C$3:$K$47,3,0)</f>
        <v>2N</v>
      </c>
      <c r="J1443" s="29">
        <f>VLOOKUP(G1443,'insumos terrapl'!$C$3:$K$47,4,0)</f>
        <v>20</v>
      </c>
      <c r="K1443" s="29" t="str">
        <f>VLOOKUP(G1443,'insumos terrapl'!$C$3:$K$47,5,0)</f>
        <v>14</v>
      </c>
      <c r="L1443" s="29" t="str">
        <f>VLOOKUP(G1443,'insumos terrapl'!$C$3:$K$47,6,0)</f>
        <v>02</v>
      </c>
      <c r="M1443" s="29" t="str">
        <f>VLOOKUP(G1443,'insumos terrapl'!$C$3:$K$47,7,0)</f>
        <v>00</v>
      </c>
      <c r="N1443" s="29" t="str">
        <f>VLOOKUP(G1443,'insumos terrapl'!$C$3:$K$47,8,0)</f>
        <v>00</v>
      </c>
      <c r="O1443" s="97" t="str">
        <f>VLOOKUP(G1443,'insumos terrapl'!$C$3:$K$47,9,0)</f>
        <v>00</v>
      </c>
    </row>
    <row r="1444" spans="1:15" ht="30">
      <c r="A1444" s="134"/>
      <c r="B1444" s="137"/>
      <c r="C1444" s="125"/>
      <c r="D1444" s="115"/>
      <c r="E1444" s="115"/>
      <c r="F1444" s="11" t="s">
        <v>635</v>
      </c>
      <c r="G1444" s="20" t="s">
        <v>636</v>
      </c>
      <c r="H1444" s="29" t="str">
        <f>VLOOKUP(G1444,'insumos terrapl'!$C$3:$K$47,2,0)</f>
        <v>2N  58  06  00  00  00  00</v>
      </c>
      <c r="I1444" s="29" t="str">
        <f>VLOOKUP(G1444,'insumos terrapl'!$C$3:$K$47,3,0)</f>
        <v>2N</v>
      </c>
      <c r="J1444" s="29">
        <f>VLOOKUP(G1444,'insumos terrapl'!$C$3:$K$47,4,0)</f>
        <v>58</v>
      </c>
      <c r="K1444" s="29" t="str">
        <f>VLOOKUP(G1444,'insumos terrapl'!$C$3:$K$47,5,0)</f>
        <v>06</v>
      </c>
      <c r="L1444" s="29" t="str">
        <f>VLOOKUP(G1444,'insumos terrapl'!$C$3:$K$47,6,0)</f>
        <v>00</v>
      </c>
      <c r="M1444" s="29" t="str">
        <f>VLOOKUP(G1444,'insumos terrapl'!$C$3:$K$47,7,0)</f>
        <v>00</v>
      </c>
      <c r="N1444" s="29" t="str">
        <f>VLOOKUP(G1444,'insumos terrapl'!$C$3:$K$47,8,0)</f>
        <v>00</v>
      </c>
      <c r="O1444" s="97" t="str">
        <f>VLOOKUP(G1444,'insumos terrapl'!$C$3:$K$47,9,0)</f>
        <v>00</v>
      </c>
    </row>
    <row r="1445" spans="1:15">
      <c r="A1445" s="134"/>
      <c r="B1445" s="137"/>
      <c r="C1445" s="125"/>
      <c r="D1445" s="115"/>
      <c r="E1445" s="115"/>
      <c r="F1445" s="11" t="s">
        <v>617</v>
      </c>
      <c r="G1445" s="20" t="s">
        <v>618</v>
      </c>
      <c r="H1445" s="29" t="str">
        <f>VLOOKUP(G1445,'insumos terrapl'!$C$3:$K$47,2,0)</f>
        <v>2Q  58  06  02  28  00  00</v>
      </c>
      <c r="I1445" s="29" t="str">
        <f>VLOOKUP(G1445,'insumos terrapl'!$C$3:$K$47,3,0)</f>
        <v>2Q</v>
      </c>
      <c r="J1445" s="29">
        <f>VLOOKUP(G1445,'insumos terrapl'!$C$3:$K$47,4,0)</f>
        <v>58</v>
      </c>
      <c r="K1445" s="29" t="str">
        <f>VLOOKUP(G1445,'insumos terrapl'!$C$3:$K$47,5,0)</f>
        <v>06</v>
      </c>
      <c r="L1445" s="29" t="str">
        <f>VLOOKUP(G1445,'insumos terrapl'!$C$3:$K$47,6,0)</f>
        <v>02</v>
      </c>
      <c r="M1445" s="29" t="str">
        <f>VLOOKUP(G1445,'insumos terrapl'!$C$3:$K$47,7,0)</f>
        <v>28</v>
      </c>
      <c r="N1445" s="29" t="str">
        <f>VLOOKUP(G1445,'insumos terrapl'!$C$3:$K$47,8,0)</f>
        <v>00</v>
      </c>
      <c r="O1445" s="97" t="str">
        <f>VLOOKUP(G1445,'insumos terrapl'!$C$3:$K$47,9,0)</f>
        <v>00</v>
      </c>
    </row>
    <row r="1446" spans="1:15" ht="30">
      <c r="A1446" s="134"/>
      <c r="B1446" s="137"/>
      <c r="C1446" s="125"/>
      <c r="D1446" s="115"/>
      <c r="E1446" s="115"/>
      <c r="F1446" s="11" t="s">
        <v>637</v>
      </c>
      <c r="G1446" s="20" t="s">
        <v>638</v>
      </c>
      <c r="H1446" s="29" t="str">
        <f>VLOOKUP(G1446,'insumos terrapl'!$C$3:$K$47,2,0)</f>
        <v>2N  58  06  00  00  00  00</v>
      </c>
      <c r="I1446" s="29" t="str">
        <f>VLOOKUP(G1446,'insumos terrapl'!$C$3:$K$47,3,0)</f>
        <v>2N</v>
      </c>
      <c r="J1446" s="29">
        <f>VLOOKUP(G1446,'insumos terrapl'!$C$3:$K$47,4,0)</f>
        <v>58</v>
      </c>
      <c r="K1446" s="29" t="str">
        <f>VLOOKUP(G1446,'insumos terrapl'!$C$3:$K$47,5,0)</f>
        <v>06</v>
      </c>
      <c r="L1446" s="29" t="str">
        <f>VLOOKUP(G1446,'insumos terrapl'!$C$3:$K$47,6,0)</f>
        <v>00</v>
      </c>
      <c r="M1446" s="29" t="str">
        <f>VLOOKUP(G1446,'insumos terrapl'!$C$3:$K$47,7,0)</f>
        <v>00</v>
      </c>
      <c r="N1446" s="29" t="str">
        <f>VLOOKUP(G1446,'insumos terrapl'!$C$3:$K$47,8,0)</f>
        <v>00</v>
      </c>
      <c r="O1446" s="97" t="str">
        <f>VLOOKUP(G1446,'insumos terrapl'!$C$3:$K$47,9,0)</f>
        <v>00</v>
      </c>
    </row>
    <row r="1447" spans="1:15" ht="30">
      <c r="A1447" s="134"/>
      <c r="B1447" s="137"/>
      <c r="C1447" s="125"/>
      <c r="D1447" s="115"/>
      <c r="E1447" s="115"/>
      <c r="F1447" s="11" t="s">
        <v>639</v>
      </c>
      <c r="G1447" s="20" t="s">
        <v>640</v>
      </c>
      <c r="H1447" s="29" t="str">
        <f>VLOOKUP(G1447,'insumos terrapl'!$C$3:$K$47,2,0)</f>
        <v>2N  58  06  00  00  00  00</v>
      </c>
      <c r="I1447" s="29" t="str">
        <f>VLOOKUP(G1447,'insumos terrapl'!$C$3:$K$47,3,0)</f>
        <v>2N</v>
      </c>
      <c r="J1447" s="29">
        <f>VLOOKUP(G1447,'insumos terrapl'!$C$3:$K$47,4,0)</f>
        <v>58</v>
      </c>
      <c r="K1447" s="29" t="str">
        <f>VLOOKUP(G1447,'insumos terrapl'!$C$3:$K$47,5,0)</f>
        <v>06</v>
      </c>
      <c r="L1447" s="29" t="str">
        <f>VLOOKUP(G1447,'insumos terrapl'!$C$3:$K$47,6,0)</f>
        <v>00</v>
      </c>
      <c r="M1447" s="29" t="str">
        <f>VLOOKUP(G1447,'insumos terrapl'!$C$3:$K$47,7,0)</f>
        <v>00</v>
      </c>
      <c r="N1447" s="29" t="str">
        <f>VLOOKUP(G1447,'insumos terrapl'!$C$3:$K$47,8,0)</f>
        <v>00</v>
      </c>
      <c r="O1447" s="97" t="str">
        <f>VLOOKUP(G1447,'insumos terrapl'!$C$3:$K$47,9,0)</f>
        <v>00</v>
      </c>
    </row>
    <row r="1448" spans="1:15">
      <c r="A1448" s="134"/>
      <c r="B1448" s="137"/>
      <c r="C1448" s="125"/>
      <c r="D1448" s="115"/>
      <c r="E1448" s="115"/>
      <c r="F1448" s="11" t="s">
        <v>641</v>
      </c>
      <c r="G1448" s="20" t="s">
        <v>642</v>
      </c>
      <c r="H1448" s="29" t="str">
        <f>VLOOKUP(G1448,'insumos terrapl'!$C$3:$K$47,2,0)</f>
        <v>2N  58  06  00  00  00  00</v>
      </c>
      <c r="I1448" s="29" t="str">
        <f>VLOOKUP(G1448,'insumos terrapl'!$C$3:$K$47,3,0)</f>
        <v>2N</v>
      </c>
      <c r="J1448" s="29">
        <f>VLOOKUP(G1448,'insumos terrapl'!$C$3:$K$47,4,0)</f>
        <v>58</v>
      </c>
      <c r="K1448" s="29" t="str">
        <f>VLOOKUP(G1448,'insumos terrapl'!$C$3:$K$47,5,0)</f>
        <v>06</v>
      </c>
      <c r="L1448" s="29" t="str">
        <f>VLOOKUP(G1448,'insumos terrapl'!$C$3:$K$47,6,0)</f>
        <v>00</v>
      </c>
      <c r="M1448" s="29" t="str">
        <f>VLOOKUP(G1448,'insumos terrapl'!$C$3:$K$47,7,0)</f>
        <v>00</v>
      </c>
      <c r="N1448" s="29" t="str">
        <f>VLOOKUP(G1448,'insumos terrapl'!$C$3:$K$47,8,0)</f>
        <v>00</v>
      </c>
      <c r="O1448" s="97" t="str">
        <f>VLOOKUP(G1448,'insumos terrapl'!$C$3:$K$47,9,0)</f>
        <v>00</v>
      </c>
    </row>
    <row r="1449" spans="1:15">
      <c r="A1449" s="134"/>
      <c r="B1449" s="137"/>
      <c r="C1449" s="125"/>
      <c r="D1449" s="115"/>
      <c r="E1449" s="115"/>
      <c r="F1449" s="11" t="s">
        <v>619</v>
      </c>
      <c r="G1449" s="20" t="s">
        <v>620</v>
      </c>
      <c r="H1449" s="29"/>
      <c r="I1449" s="29"/>
      <c r="J1449" s="29"/>
      <c r="K1449" s="29"/>
      <c r="L1449" s="29"/>
      <c r="M1449" s="29"/>
      <c r="N1449" s="29"/>
      <c r="O1449" s="97"/>
    </row>
    <row r="1450" spans="1:15">
      <c r="A1450" s="134"/>
      <c r="B1450" s="137"/>
      <c r="C1450" s="125"/>
      <c r="D1450" s="115"/>
      <c r="E1450" s="115"/>
      <c r="F1450" s="11" t="s">
        <v>643</v>
      </c>
      <c r="G1450" s="20" t="s">
        <v>644</v>
      </c>
      <c r="H1450" s="29" t="str">
        <f>VLOOKUP(G1450,'insumos terrapl'!$C$3:$K$47,2,0)</f>
        <v>2N  58  06  00  00  00  00</v>
      </c>
      <c r="I1450" s="29" t="str">
        <f>VLOOKUP(G1450,'insumos terrapl'!$C$3:$K$47,3,0)</f>
        <v>2N</v>
      </c>
      <c r="J1450" s="29">
        <f>VLOOKUP(G1450,'insumos terrapl'!$C$3:$K$47,4,0)</f>
        <v>58</v>
      </c>
      <c r="K1450" s="29" t="str">
        <f>VLOOKUP(G1450,'insumos terrapl'!$C$3:$K$47,5,0)</f>
        <v>06</v>
      </c>
      <c r="L1450" s="29" t="str">
        <f>VLOOKUP(G1450,'insumos terrapl'!$C$3:$K$47,6,0)</f>
        <v>00</v>
      </c>
      <c r="M1450" s="29" t="str">
        <f>VLOOKUP(G1450,'insumos terrapl'!$C$3:$K$47,7,0)</f>
        <v>00</v>
      </c>
      <c r="N1450" s="29" t="str">
        <f>VLOOKUP(G1450,'insumos terrapl'!$C$3:$K$47,8,0)</f>
        <v>00</v>
      </c>
      <c r="O1450" s="97" t="str">
        <f>VLOOKUP(G1450,'insumos terrapl'!$C$3:$K$47,9,0)</f>
        <v>00</v>
      </c>
    </row>
    <row r="1451" spans="1:15">
      <c r="A1451" s="134"/>
      <c r="B1451" s="137"/>
      <c r="C1451" s="125"/>
      <c r="D1451" s="115"/>
      <c r="E1451" s="115"/>
      <c r="F1451" s="11" t="s">
        <v>645</v>
      </c>
      <c r="G1451" s="20" t="s">
        <v>646</v>
      </c>
      <c r="H1451" s="29" t="str">
        <f>VLOOKUP(G1451,'insumos terrapl'!$C$3:$K$47,2,0)</f>
        <v>2N  58  06  00  00  00  00</v>
      </c>
      <c r="I1451" s="29" t="str">
        <f>VLOOKUP(G1451,'insumos terrapl'!$C$3:$K$47,3,0)</f>
        <v>2N</v>
      </c>
      <c r="J1451" s="29">
        <f>VLOOKUP(G1451,'insumos terrapl'!$C$3:$K$47,4,0)</f>
        <v>58</v>
      </c>
      <c r="K1451" s="29" t="str">
        <f>VLOOKUP(G1451,'insumos terrapl'!$C$3:$K$47,5,0)</f>
        <v>06</v>
      </c>
      <c r="L1451" s="29" t="str">
        <f>VLOOKUP(G1451,'insumos terrapl'!$C$3:$K$47,6,0)</f>
        <v>00</v>
      </c>
      <c r="M1451" s="29" t="str">
        <f>VLOOKUP(G1451,'insumos terrapl'!$C$3:$K$47,7,0)</f>
        <v>00</v>
      </c>
      <c r="N1451" s="29" t="str">
        <f>VLOOKUP(G1451,'insumos terrapl'!$C$3:$K$47,8,0)</f>
        <v>00</v>
      </c>
      <c r="O1451" s="97" t="str">
        <f>VLOOKUP(G1451,'insumos terrapl'!$C$3:$K$47,9,0)</f>
        <v>00</v>
      </c>
    </row>
    <row r="1452" spans="1:15" ht="30">
      <c r="A1452" s="134"/>
      <c r="B1452" s="137"/>
      <c r="C1452" s="125"/>
      <c r="D1452" s="115"/>
      <c r="E1452" s="115"/>
      <c r="F1452" s="11" t="s">
        <v>647</v>
      </c>
      <c r="G1452" s="20" t="s">
        <v>648</v>
      </c>
      <c r="H1452" s="29" t="str">
        <f>VLOOKUP(G1452,'insumos terrapl'!$C$3:$K$47,2,0)</f>
        <v>2N  58  06  00  00  00  00</v>
      </c>
      <c r="I1452" s="29" t="str">
        <f>VLOOKUP(G1452,'insumos terrapl'!$C$3:$K$47,3,0)</f>
        <v>2N</v>
      </c>
      <c r="J1452" s="29">
        <f>VLOOKUP(G1452,'insumos terrapl'!$C$3:$K$47,4,0)</f>
        <v>58</v>
      </c>
      <c r="K1452" s="29" t="str">
        <f>VLOOKUP(G1452,'insumos terrapl'!$C$3:$K$47,5,0)</f>
        <v>06</v>
      </c>
      <c r="L1452" s="29" t="str">
        <f>VLOOKUP(G1452,'insumos terrapl'!$C$3:$K$47,6,0)</f>
        <v>00</v>
      </c>
      <c r="M1452" s="29" t="str">
        <f>VLOOKUP(G1452,'insumos terrapl'!$C$3:$K$47,7,0)</f>
        <v>00</v>
      </c>
      <c r="N1452" s="29" t="str">
        <f>VLOOKUP(G1452,'insumos terrapl'!$C$3:$K$47,8,0)</f>
        <v>00</v>
      </c>
      <c r="O1452" s="97" t="str">
        <f>VLOOKUP(G1452,'insumos terrapl'!$C$3:$K$47,9,0)</f>
        <v>00</v>
      </c>
    </row>
    <row r="1453" spans="1:15">
      <c r="A1453" s="134"/>
      <c r="B1453" s="137"/>
      <c r="C1453" s="125"/>
      <c r="D1453" s="115"/>
      <c r="E1453" s="115"/>
      <c r="F1453" s="11" t="s">
        <v>621</v>
      </c>
      <c r="G1453" s="20" t="s">
        <v>622</v>
      </c>
      <c r="H1453" s="29" t="str">
        <f>VLOOKUP(G1453,'insumos terrapl'!$C$3:$K$47,2,0)</f>
        <v>2N  58  06  00  00  00  00</v>
      </c>
      <c r="I1453" s="29" t="str">
        <f>VLOOKUP(G1453,'insumos terrapl'!$C$3:$K$47,3,0)</f>
        <v>2N</v>
      </c>
      <c r="J1453" s="29">
        <f>VLOOKUP(G1453,'insumos terrapl'!$C$3:$K$47,4,0)</f>
        <v>58</v>
      </c>
      <c r="K1453" s="29" t="str">
        <f>VLOOKUP(G1453,'insumos terrapl'!$C$3:$K$47,5,0)</f>
        <v>06</v>
      </c>
      <c r="L1453" s="29" t="str">
        <f>VLOOKUP(G1453,'insumos terrapl'!$C$3:$K$47,6,0)</f>
        <v>00</v>
      </c>
      <c r="M1453" s="29" t="str">
        <f>VLOOKUP(G1453,'insumos terrapl'!$C$3:$K$47,7,0)</f>
        <v>00</v>
      </c>
      <c r="N1453" s="29" t="str">
        <f>VLOOKUP(G1453,'insumos terrapl'!$C$3:$K$47,8,0)</f>
        <v>00</v>
      </c>
      <c r="O1453" s="97" t="str">
        <f>VLOOKUP(G1453,'insumos terrapl'!$C$3:$K$47,9,0)</f>
        <v>00</v>
      </c>
    </row>
    <row r="1454" spans="1:15">
      <c r="A1454" s="134"/>
      <c r="B1454" s="137"/>
      <c r="C1454" s="132"/>
      <c r="D1454" s="116"/>
      <c r="E1454" s="116"/>
      <c r="F1454" s="13"/>
      <c r="G1454" s="21"/>
      <c r="H1454" s="31"/>
      <c r="I1454" s="31"/>
      <c r="J1454" s="31"/>
      <c r="K1454" s="31"/>
      <c r="L1454" s="31"/>
      <c r="M1454" s="31"/>
      <c r="N1454" s="31"/>
      <c r="O1454" s="98"/>
    </row>
    <row r="1455" spans="1:15">
      <c r="A1455" s="134"/>
      <c r="B1455" s="137"/>
      <c r="C1455" s="124" t="s">
        <v>252</v>
      </c>
      <c r="D1455" s="114" t="str">
        <f>$A$1095</f>
        <v>2.6.8</v>
      </c>
      <c r="E1455" s="115" t="s">
        <v>510</v>
      </c>
      <c r="F1455" s="11" t="s">
        <v>252</v>
      </c>
      <c r="G1455" s="20"/>
      <c r="H1455" s="29"/>
      <c r="I1455" s="29"/>
      <c r="J1455" s="29"/>
      <c r="K1455" s="29"/>
      <c r="L1455" s="29"/>
      <c r="M1455" s="29"/>
      <c r="N1455" s="29"/>
      <c r="O1455" s="97"/>
    </row>
    <row r="1456" spans="1:15" ht="30">
      <c r="A1456" s="134"/>
      <c r="B1456" s="137"/>
      <c r="C1456" s="125"/>
      <c r="D1456" s="115"/>
      <c r="E1456" s="115"/>
      <c r="F1456" s="11" t="s">
        <v>659</v>
      </c>
      <c r="G1456" s="20" t="s">
        <v>660</v>
      </c>
      <c r="H1456" s="29" t="str">
        <f>VLOOKUP(G1456,'insumos terrapl'!$C$3:$K$47,2,0)</f>
        <v>2Q  66  10  02  00  00  00</v>
      </c>
      <c r="I1456" s="29" t="str">
        <f>VLOOKUP(G1456,'insumos terrapl'!$C$3:$K$47,3,0)</f>
        <v>2Q</v>
      </c>
      <c r="J1456" s="29">
        <f>VLOOKUP(G1456,'insumos terrapl'!$C$3:$K$47,4,0)</f>
        <v>66</v>
      </c>
      <c r="K1456" s="29" t="str">
        <f>VLOOKUP(G1456,'insumos terrapl'!$C$3:$K$47,5,0)</f>
        <v>10</v>
      </c>
      <c r="L1456" s="29" t="str">
        <f>VLOOKUP(G1456,'insumos terrapl'!$C$3:$K$47,6,0)</f>
        <v>02</v>
      </c>
      <c r="M1456" s="29" t="str">
        <f>VLOOKUP(G1456,'insumos terrapl'!$C$3:$K$47,7,0)</f>
        <v>00</v>
      </c>
      <c r="N1456" s="29" t="str">
        <f>VLOOKUP(G1456,'insumos terrapl'!$C$3:$K$47,8,0)</f>
        <v>00</v>
      </c>
      <c r="O1456" s="97" t="str">
        <f>VLOOKUP(G1456,'insumos terrapl'!$C$3:$K$47,9,0)</f>
        <v>00</v>
      </c>
    </row>
    <row r="1457" spans="1:15" ht="30">
      <c r="A1457" s="134"/>
      <c r="B1457" s="137"/>
      <c r="C1457" s="125"/>
      <c r="D1457" s="115"/>
      <c r="E1457" s="115"/>
      <c r="F1457" s="11" t="s">
        <v>661</v>
      </c>
      <c r="G1457" s="20" t="s">
        <v>662</v>
      </c>
      <c r="H1457" s="29" t="str">
        <f>VLOOKUP(G1457,'insumos terrapl'!$C$3:$K$47,2,0)</f>
        <v>2Q  62  10  06  00  00  00</v>
      </c>
      <c r="I1457" s="29" t="str">
        <f>VLOOKUP(G1457,'insumos terrapl'!$C$3:$K$47,3,0)</f>
        <v>2Q</v>
      </c>
      <c r="J1457" s="29">
        <f>VLOOKUP(G1457,'insumos terrapl'!$C$3:$K$47,4,0)</f>
        <v>62</v>
      </c>
      <c r="K1457" s="29" t="str">
        <f>VLOOKUP(G1457,'insumos terrapl'!$C$3:$K$47,5,0)</f>
        <v>10</v>
      </c>
      <c r="L1457" s="29" t="str">
        <f>VLOOKUP(G1457,'insumos terrapl'!$C$3:$K$47,6,0)</f>
        <v>06</v>
      </c>
      <c r="M1457" s="29" t="str">
        <f>VLOOKUP(G1457,'insumos terrapl'!$C$3:$K$47,7,0)</f>
        <v>00</v>
      </c>
      <c r="N1457" s="29" t="str">
        <f>VLOOKUP(G1457,'insumos terrapl'!$C$3:$K$47,8,0)</f>
        <v>00</v>
      </c>
      <c r="O1457" s="97" t="str">
        <f>VLOOKUP(G1457,'insumos terrapl'!$C$3:$K$47,9,0)</f>
        <v>00</v>
      </c>
    </row>
    <row r="1458" spans="1:15" ht="30">
      <c r="A1458" s="134"/>
      <c r="B1458" s="137"/>
      <c r="C1458" s="125"/>
      <c r="D1458" s="115"/>
      <c r="E1458" s="115"/>
      <c r="F1458" s="11" t="s">
        <v>607</v>
      </c>
      <c r="G1458" s="20" t="s">
        <v>608</v>
      </c>
      <c r="H1458" s="29" t="str">
        <f>VLOOKUP(G1458,'insumos terrapl'!$C$3:$K$47,2,0)</f>
        <v>2Q  42  06  18  02  02  00</v>
      </c>
      <c r="I1458" s="29" t="str">
        <f>VLOOKUP(G1458,'insumos terrapl'!$C$3:$K$47,3,0)</f>
        <v>2Q</v>
      </c>
      <c r="J1458" s="29">
        <f>VLOOKUP(G1458,'insumos terrapl'!$C$3:$K$47,4,0)</f>
        <v>42</v>
      </c>
      <c r="K1458" s="29" t="str">
        <f>VLOOKUP(G1458,'insumos terrapl'!$C$3:$K$47,5,0)</f>
        <v>06</v>
      </c>
      <c r="L1458" s="29">
        <f>VLOOKUP(G1458,'insumos terrapl'!$C$3:$K$47,6,0)</f>
        <v>18</v>
      </c>
      <c r="M1458" s="29" t="str">
        <f>VLOOKUP(G1458,'insumos terrapl'!$C$3:$K$47,7,0)</f>
        <v>02</v>
      </c>
      <c r="N1458" s="29" t="str">
        <f>VLOOKUP(G1458,'insumos terrapl'!$C$3:$K$47,8,0)</f>
        <v>02</v>
      </c>
      <c r="O1458" s="97" t="str">
        <f>VLOOKUP(G1458,'insumos terrapl'!$C$3:$K$47,9,0)</f>
        <v>00</v>
      </c>
    </row>
    <row r="1459" spans="1:15" ht="45">
      <c r="A1459" s="134"/>
      <c r="B1459" s="137"/>
      <c r="C1459" s="125"/>
      <c r="D1459" s="115"/>
      <c r="E1459" s="115"/>
      <c r="F1459" s="11" t="s">
        <v>609</v>
      </c>
      <c r="G1459" s="20" t="s">
        <v>610</v>
      </c>
      <c r="H1459" s="29" t="str">
        <f>VLOOKUP(G1459,'insumos terrapl'!$C$3:$K$47,2,0)</f>
        <v>2Q  42  06  02  14  02  00</v>
      </c>
      <c r="I1459" s="29" t="str">
        <f>VLOOKUP(G1459,'insumos terrapl'!$C$3:$K$47,3,0)</f>
        <v>2Q</v>
      </c>
      <c r="J1459" s="29">
        <f>VLOOKUP(G1459,'insumos terrapl'!$C$3:$K$47,4,0)</f>
        <v>42</v>
      </c>
      <c r="K1459" s="29" t="str">
        <f>VLOOKUP(G1459,'insumos terrapl'!$C$3:$K$47,5,0)</f>
        <v>06</v>
      </c>
      <c r="L1459" s="29" t="str">
        <f>VLOOKUP(G1459,'insumos terrapl'!$C$3:$K$47,6,0)</f>
        <v>02</v>
      </c>
      <c r="M1459" s="29" t="str">
        <f>VLOOKUP(G1459,'insumos terrapl'!$C$3:$K$47,7,0)</f>
        <v>14</v>
      </c>
      <c r="N1459" s="29" t="str">
        <f>VLOOKUP(G1459,'insumos terrapl'!$C$3:$K$47,8,0)</f>
        <v>02</v>
      </c>
      <c r="O1459" s="97" t="str">
        <f>VLOOKUP(G1459,'insumos terrapl'!$C$3:$K$47,9,0)</f>
        <v>00</v>
      </c>
    </row>
    <row r="1460" spans="1:15">
      <c r="A1460" s="134"/>
      <c r="B1460" s="137"/>
      <c r="C1460" s="125"/>
      <c r="D1460" s="115"/>
      <c r="E1460" s="115"/>
      <c r="F1460" s="11" t="s">
        <v>633</v>
      </c>
      <c r="G1460" s="20" t="s">
        <v>634</v>
      </c>
      <c r="H1460" s="29" t="str">
        <f>VLOOKUP(G1460,'insumos terrapl'!$C$3:$K$47,2,0)</f>
        <v>2Q  58  10  10  02  06  00</v>
      </c>
      <c r="I1460" s="29" t="str">
        <f>VLOOKUP(G1460,'insumos terrapl'!$C$3:$K$47,3,0)</f>
        <v>2Q</v>
      </c>
      <c r="J1460" s="29">
        <f>VLOOKUP(G1460,'insumos terrapl'!$C$3:$K$47,4,0)</f>
        <v>58</v>
      </c>
      <c r="K1460" s="29" t="str">
        <f>VLOOKUP(G1460,'insumos terrapl'!$C$3:$K$47,5,0)</f>
        <v>10</v>
      </c>
      <c r="L1460" s="29" t="str">
        <f>VLOOKUP(G1460,'insumos terrapl'!$C$3:$K$47,6,0)</f>
        <v>10</v>
      </c>
      <c r="M1460" s="29" t="str">
        <f>VLOOKUP(G1460,'insumos terrapl'!$C$3:$K$47,7,0)</f>
        <v>02</v>
      </c>
      <c r="N1460" s="29" t="str">
        <f>VLOOKUP(G1460,'insumos terrapl'!$C$3:$K$47,8,0)</f>
        <v>06</v>
      </c>
      <c r="O1460" s="97" t="str">
        <f>VLOOKUP(G1460,'insumos terrapl'!$C$3:$K$47,9,0)</f>
        <v>00</v>
      </c>
    </row>
    <row r="1461" spans="1:15">
      <c r="A1461" s="134"/>
      <c r="B1461" s="137"/>
      <c r="C1461" s="125"/>
      <c r="D1461" s="115"/>
      <c r="E1461" s="115"/>
      <c r="F1461" s="11" t="s">
        <v>586</v>
      </c>
      <c r="G1461" s="20" t="s">
        <v>587</v>
      </c>
      <c r="H1461" s="29" t="str">
        <f>VLOOKUP(G1461,'insumos terrapl'!$C$3:$K$47,2,0)</f>
        <v>2Q  62  30  02  14  00  00</v>
      </c>
      <c r="I1461" s="29" t="str">
        <f>VLOOKUP(G1461,'insumos terrapl'!$C$3:$K$47,3,0)</f>
        <v>2Q</v>
      </c>
      <c r="J1461" s="29">
        <f>VLOOKUP(G1461,'insumos terrapl'!$C$3:$K$47,4,0)</f>
        <v>62</v>
      </c>
      <c r="K1461" s="29">
        <f>VLOOKUP(G1461,'insumos terrapl'!$C$3:$K$47,5,0)</f>
        <v>30</v>
      </c>
      <c r="L1461" s="29" t="str">
        <f>VLOOKUP(G1461,'insumos terrapl'!$C$3:$K$47,6,0)</f>
        <v>02</v>
      </c>
      <c r="M1461" s="29" t="str">
        <f>VLOOKUP(G1461,'insumos terrapl'!$C$3:$K$47,7,0)</f>
        <v>14</v>
      </c>
      <c r="N1461" s="29" t="str">
        <f>VLOOKUP(G1461,'insumos terrapl'!$C$3:$K$47,8,0)</f>
        <v>00</v>
      </c>
      <c r="O1461" s="97" t="str">
        <f>VLOOKUP(G1461,'insumos terrapl'!$C$3:$K$47,9,0)</f>
        <v>00</v>
      </c>
    </row>
    <row r="1462" spans="1:15">
      <c r="A1462" s="134"/>
      <c r="B1462" s="137"/>
      <c r="C1462" s="125"/>
      <c r="D1462" s="115"/>
      <c r="E1462" s="115"/>
      <c r="F1462" s="11" t="s">
        <v>613</v>
      </c>
      <c r="G1462" s="20" t="s">
        <v>614</v>
      </c>
      <c r="H1462" s="29" t="str">
        <f>VLOOKUP(G1462,'insumos terrapl'!$C$3:$K$47,2,0)</f>
        <v>2N  20  14  02  00  00  00</v>
      </c>
      <c r="I1462" s="29" t="str">
        <f>VLOOKUP(G1462,'insumos terrapl'!$C$3:$K$47,3,0)</f>
        <v>2N</v>
      </c>
      <c r="J1462" s="29">
        <f>VLOOKUP(G1462,'insumos terrapl'!$C$3:$K$47,4,0)</f>
        <v>20</v>
      </c>
      <c r="K1462" s="29" t="str">
        <f>VLOOKUP(G1462,'insumos terrapl'!$C$3:$K$47,5,0)</f>
        <v>14</v>
      </c>
      <c r="L1462" s="29" t="str">
        <f>VLOOKUP(G1462,'insumos terrapl'!$C$3:$K$47,6,0)</f>
        <v>02</v>
      </c>
      <c r="M1462" s="29" t="str">
        <f>VLOOKUP(G1462,'insumos terrapl'!$C$3:$K$47,7,0)</f>
        <v>00</v>
      </c>
      <c r="N1462" s="29" t="str">
        <f>VLOOKUP(G1462,'insumos terrapl'!$C$3:$K$47,8,0)</f>
        <v>00</v>
      </c>
      <c r="O1462" s="97" t="str">
        <f>VLOOKUP(G1462,'insumos terrapl'!$C$3:$K$47,9,0)</f>
        <v>00</v>
      </c>
    </row>
    <row r="1463" spans="1:15">
      <c r="A1463" s="134"/>
      <c r="B1463" s="137"/>
      <c r="C1463" s="125"/>
      <c r="D1463" s="115"/>
      <c r="E1463" s="115"/>
      <c r="F1463" s="11" t="s">
        <v>615</v>
      </c>
      <c r="G1463" s="20" t="s">
        <v>616</v>
      </c>
      <c r="H1463" s="29" t="str">
        <f>VLOOKUP(G1463,'insumos terrapl'!$C$3:$K$47,2,0)</f>
        <v>2N  20  14  02  00  00  00</v>
      </c>
      <c r="I1463" s="29" t="str">
        <f>VLOOKUP(G1463,'insumos terrapl'!$C$3:$K$47,3,0)</f>
        <v>2N</v>
      </c>
      <c r="J1463" s="29">
        <f>VLOOKUP(G1463,'insumos terrapl'!$C$3:$K$47,4,0)</f>
        <v>20</v>
      </c>
      <c r="K1463" s="29" t="str">
        <f>VLOOKUP(G1463,'insumos terrapl'!$C$3:$K$47,5,0)</f>
        <v>14</v>
      </c>
      <c r="L1463" s="29" t="str">
        <f>VLOOKUP(G1463,'insumos terrapl'!$C$3:$K$47,6,0)</f>
        <v>02</v>
      </c>
      <c r="M1463" s="29" t="str">
        <f>VLOOKUP(G1463,'insumos terrapl'!$C$3:$K$47,7,0)</f>
        <v>00</v>
      </c>
      <c r="N1463" s="29" t="str">
        <f>VLOOKUP(G1463,'insumos terrapl'!$C$3:$K$47,8,0)</f>
        <v>00</v>
      </c>
      <c r="O1463" s="97" t="str">
        <f>VLOOKUP(G1463,'insumos terrapl'!$C$3:$K$47,9,0)</f>
        <v>00</v>
      </c>
    </row>
    <row r="1464" spans="1:15" ht="30">
      <c r="A1464" s="134"/>
      <c r="B1464" s="137"/>
      <c r="C1464" s="125"/>
      <c r="D1464" s="115"/>
      <c r="E1464" s="115"/>
      <c r="F1464" s="11" t="s">
        <v>635</v>
      </c>
      <c r="G1464" s="20" t="s">
        <v>636</v>
      </c>
      <c r="H1464" s="29" t="str">
        <f>VLOOKUP(G1464,'insumos terrapl'!$C$3:$K$47,2,0)</f>
        <v>2N  58  06  00  00  00  00</v>
      </c>
      <c r="I1464" s="29" t="str">
        <f>VLOOKUP(G1464,'insumos terrapl'!$C$3:$K$47,3,0)</f>
        <v>2N</v>
      </c>
      <c r="J1464" s="29">
        <f>VLOOKUP(G1464,'insumos terrapl'!$C$3:$K$47,4,0)</f>
        <v>58</v>
      </c>
      <c r="K1464" s="29" t="str">
        <f>VLOOKUP(G1464,'insumos terrapl'!$C$3:$K$47,5,0)</f>
        <v>06</v>
      </c>
      <c r="L1464" s="29" t="str">
        <f>VLOOKUP(G1464,'insumos terrapl'!$C$3:$K$47,6,0)</f>
        <v>00</v>
      </c>
      <c r="M1464" s="29" t="str">
        <f>VLOOKUP(G1464,'insumos terrapl'!$C$3:$K$47,7,0)</f>
        <v>00</v>
      </c>
      <c r="N1464" s="29" t="str">
        <f>VLOOKUP(G1464,'insumos terrapl'!$C$3:$K$47,8,0)</f>
        <v>00</v>
      </c>
      <c r="O1464" s="97" t="str">
        <f>VLOOKUP(G1464,'insumos terrapl'!$C$3:$K$47,9,0)</f>
        <v>00</v>
      </c>
    </row>
    <row r="1465" spans="1:15">
      <c r="A1465" s="134"/>
      <c r="B1465" s="137"/>
      <c r="C1465" s="125"/>
      <c r="D1465" s="115"/>
      <c r="E1465" s="115"/>
      <c r="F1465" s="11" t="s">
        <v>617</v>
      </c>
      <c r="G1465" s="20" t="s">
        <v>618</v>
      </c>
      <c r="H1465" s="29" t="str">
        <f>VLOOKUP(G1465,'insumos terrapl'!$C$3:$K$47,2,0)</f>
        <v>2Q  58  06  02  28  00  00</v>
      </c>
      <c r="I1465" s="29" t="str">
        <f>VLOOKUP(G1465,'insumos terrapl'!$C$3:$K$47,3,0)</f>
        <v>2Q</v>
      </c>
      <c r="J1465" s="29">
        <f>VLOOKUP(G1465,'insumos terrapl'!$C$3:$K$47,4,0)</f>
        <v>58</v>
      </c>
      <c r="K1465" s="29" t="str">
        <f>VLOOKUP(G1465,'insumos terrapl'!$C$3:$K$47,5,0)</f>
        <v>06</v>
      </c>
      <c r="L1465" s="29" t="str">
        <f>VLOOKUP(G1465,'insumos terrapl'!$C$3:$K$47,6,0)</f>
        <v>02</v>
      </c>
      <c r="M1465" s="29" t="str">
        <f>VLOOKUP(G1465,'insumos terrapl'!$C$3:$K$47,7,0)</f>
        <v>28</v>
      </c>
      <c r="N1465" s="29" t="str">
        <f>VLOOKUP(G1465,'insumos terrapl'!$C$3:$K$47,8,0)</f>
        <v>00</v>
      </c>
      <c r="O1465" s="97" t="str">
        <f>VLOOKUP(G1465,'insumos terrapl'!$C$3:$K$47,9,0)</f>
        <v>00</v>
      </c>
    </row>
    <row r="1466" spans="1:15" ht="30">
      <c r="A1466" s="134"/>
      <c r="B1466" s="137"/>
      <c r="C1466" s="125"/>
      <c r="D1466" s="115"/>
      <c r="E1466" s="115"/>
      <c r="F1466" s="11" t="s">
        <v>637</v>
      </c>
      <c r="G1466" s="20" t="s">
        <v>638</v>
      </c>
      <c r="H1466" s="29" t="str">
        <f>VLOOKUP(G1466,'insumos terrapl'!$C$3:$K$47,2,0)</f>
        <v>2N  58  06  00  00  00  00</v>
      </c>
      <c r="I1466" s="29" t="str">
        <f>VLOOKUP(G1466,'insumos terrapl'!$C$3:$K$47,3,0)</f>
        <v>2N</v>
      </c>
      <c r="J1466" s="29">
        <f>VLOOKUP(G1466,'insumos terrapl'!$C$3:$K$47,4,0)</f>
        <v>58</v>
      </c>
      <c r="K1466" s="29" t="str">
        <f>VLOOKUP(G1466,'insumos terrapl'!$C$3:$K$47,5,0)</f>
        <v>06</v>
      </c>
      <c r="L1466" s="29" t="str">
        <f>VLOOKUP(G1466,'insumos terrapl'!$C$3:$K$47,6,0)</f>
        <v>00</v>
      </c>
      <c r="M1466" s="29" t="str">
        <f>VLOOKUP(G1466,'insumos terrapl'!$C$3:$K$47,7,0)</f>
        <v>00</v>
      </c>
      <c r="N1466" s="29" t="str">
        <f>VLOOKUP(G1466,'insumos terrapl'!$C$3:$K$47,8,0)</f>
        <v>00</v>
      </c>
      <c r="O1466" s="97" t="str">
        <f>VLOOKUP(G1466,'insumos terrapl'!$C$3:$K$47,9,0)</f>
        <v>00</v>
      </c>
    </row>
    <row r="1467" spans="1:15" ht="30">
      <c r="A1467" s="134"/>
      <c r="B1467" s="137"/>
      <c r="C1467" s="125"/>
      <c r="D1467" s="115"/>
      <c r="E1467" s="115"/>
      <c r="F1467" s="11" t="s">
        <v>639</v>
      </c>
      <c r="G1467" s="20" t="s">
        <v>640</v>
      </c>
      <c r="H1467" s="29" t="str">
        <f>VLOOKUP(G1467,'insumos terrapl'!$C$3:$K$47,2,0)</f>
        <v>2N  58  06  00  00  00  00</v>
      </c>
      <c r="I1467" s="29" t="str">
        <f>VLOOKUP(G1467,'insumos terrapl'!$C$3:$K$47,3,0)</f>
        <v>2N</v>
      </c>
      <c r="J1467" s="29">
        <f>VLOOKUP(G1467,'insumos terrapl'!$C$3:$K$47,4,0)</f>
        <v>58</v>
      </c>
      <c r="K1467" s="29" t="str">
        <f>VLOOKUP(G1467,'insumos terrapl'!$C$3:$K$47,5,0)</f>
        <v>06</v>
      </c>
      <c r="L1467" s="29" t="str">
        <f>VLOOKUP(G1467,'insumos terrapl'!$C$3:$K$47,6,0)</f>
        <v>00</v>
      </c>
      <c r="M1467" s="29" t="str">
        <f>VLOOKUP(G1467,'insumos terrapl'!$C$3:$K$47,7,0)</f>
        <v>00</v>
      </c>
      <c r="N1467" s="29" t="str">
        <f>VLOOKUP(G1467,'insumos terrapl'!$C$3:$K$47,8,0)</f>
        <v>00</v>
      </c>
      <c r="O1467" s="97" t="str">
        <f>VLOOKUP(G1467,'insumos terrapl'!$C$3:$K$47,9,0)</f>
        <v>00</v>
      </c>
    </row>
    <row r="1468" spans="1:15">
      <c r="A1468" s="134"/>
      <c r="B1468" s="137"/>
      <c r="C1468" s="125"/>
      <c r="D1468" s="115"/>
      <c r="E1468" s="115"/>
      <c r="F1468" s="11" t="s">
        <v>641</v>
      </c>
      <c r="G1468" s="20" t="s">
        <v>642</v>
      </c>
      <c r="H1468" s="29" t="str">
        <f>VLOOKUP(G1468,'insumos terrapl'!$C$3:$K$47,2,0)</f>
        <v>2N  58  06  00  00  00  00</v>
      </c>
      <c r="I1468" s="29" t="str">
        <f>VLOOKUP(G1468,'insumos terrapl'!$C$3:$K$47,3,0)</f>
        <v>2N</v>
      </c>
      <c r="J1468" s="29">
        <f>VLOOKUP(G1468,'insumos terrapl'!$C$3:$K$47,4,0)</f>
        <v>58</v>
      </c>
      <c r="K1468" s="29" t="str">
        <f>VLOOKUP(G1468,'insumos terrapl'!$C$3:$K$47,5,0)</f>
        <v>06</v>
      </c>
      <c r="L1468" s="29" t="str">
        <f>VLOOKUP(G1468,'insumos terrapl'!$C$3:$K$47,6,0)</f>
        <v>00</v>
      </c>
      <c r="M1468" s="29" t="str">
        <f>VLOOKUP(G1468,'insumos terrapl'!$C$3:$K$47,7,0)</f>
        <v>00</v>
      </c>
      <c r="N1468" s="29" t="str">
        <f>VLOOKUP(G1468,'insumos terrapl'!$C$3:$K$47,8,0)</f>
        <v>00</v>
      </c>
      <c r="O1468" s="97" t="str">
        <f>VLOOKUP(G1468,'insumos terrapl'!$C$3:$K$47,9,0)</f>
        <v>00</v>
      </c>
    </row>
    <row r="1469" spans="1:15">
      <c r="A1469" s="134"/>
      <c r="B1469" s="137"/>
      <c r="C1469" s="125"/>
      <c r="D1469" s="115"/>
      <c r="E1469" s="115"/>
      <c r="F1469" s="11" t="s">
        <v>619</v>
      </c>
      <c r="G1469" s="20" t="s">
        <v>620</v>
      </c>
      <c r="H1469" s="29"/>
      <c r="I1469" s="29"/>
      <c r="J1469" s="29"/>
      <c r="K1469" s="29"/>
      <c r="L1469" s="29"/>
      <c r="M1469" s="29"/>
      <c r="N1469" s="29"/>
      <c r="O1469" s="97"/>
    </row>
    <row r="1470" spans="1:15">
      <c r="A1470" s="134"/>
      <c r="B1470" s="137"/>
      <c r="C1470" s="125"/>
      <c r="D1470" s="115"/>
      <c r="E1470" s="115"/>
      <c r="F1470" s="11" t="s">
        <v>643</v>
      </c>
      <c r="G1470" s="20" t="s">
        <v>644</v>
      </c>
      <c r="H1470" s="29" t="str">
        <f>VLOOKUP(G1470,'insumos terrapl'!$C$3:$K$47,2,0)</f>
        <v>2N  58  06  00  00  00  00</v>
      </c>
      <c r="I1470" s="29" t="str">
        <f>VLOOKUP(G1470,'insumos terrapl'!$C$3:$K$47,3,0)</f>
        <v>2N</v>
      </c>
      <c r="J1470" s="29">
        <f>VLOOKUP(G1470,'insumos terrapl'!$C$3:$K$47,4,0)</f>
        <v>58</v>
      </c>
      <c r="K1470" s="29" t="str">
        <f>VLOOKUP(G1470,'insumos terrapl'!$C$3:$K$47,5,0)</f>
        <v>06</v>
      </c>
      <c r="L1470" s="29" t="str">
        <f>VLOOKUP(G1470,'insumos terrapl'!$C$3:$K$47,6,0)</f>
        <v>00</v>
      </c>
      <c r="M1470" s="29" t="str">
        <f>VLOOKUP(G1470,'insumos terrapl'!$C$3:$K$47,7,0)</f>
        <v>00</v>
      </c>
      <c r="N1470" s="29" t="str">
        <f>VLOOKUP(G1470,'insumos terrapl'!$C$3:$K$47,8,0)</f>
        <v>00</v>
      </c>
      <c r="O1470" s="97" t="str">
        <f>VLOOKUP(G1470,'insumos terrapl'!$C$3:$K$47,9,0)</f>
        <v>00</v>
      </c>
    </row>
    <row r="1471" spans="1:15">
      <c r="A1471" s="134"/>
      <c r="B1471" s="137"/>
      <c r="C1471" s="125"/>
      <c r="D1471" s="115"/>
      <c r="E1471" s="115"/>
      <c r="F1471" s="11" t="s">
        <v>645</v>
      </c>
      <c r="G1471" s="20" t="s">
        <v>646</v>
      </c>
      <c r="H1471" s="29" t="str">
        <f>VLOOKUP(G1471,'insumos terrapl'!$C$3:$K$47,2,0)</f>
        <v>2N  58  06  00  00  00  00</v>
      </c>
      <c r="I1471" s="29" t="str">
        <f>VLOOKUP(G1471,'insumos terrapl'!$C$3:$K$47,3,0)</f>
        <v>2N</v>
      </c>
      <c r="J1471" s="29">
        <f>VLOOKUP(G1471,'insumos terrapl'!$C$3:$K$47,4,0)</f>
        <v>58</v>
      </c>
      <c r="K1471" s="29" t="str">
        <f>VLOOKUP(G1471,'insumos terrapl'!$C$3:$K$47,5,0)</f>
        <v>06</v>
      </c>
      <c r="L1471" s="29" t="str">
        <f>VLOOKUP(G1471,'insumos terrapl'!$C$3:$K$47,6,0)</f>
        <v>00</v>
      </c>
      <c r="M1471" s="29" t="str">
        <f>VLOOKUP(G1471,'insumos terrapl'!$C$3:$K$47,7,0)</f>
        <v>00</v>
      </c>
      <c r="N1471" s="29" t="str">
        <f>VLOOKUP(G1471,'insumos terrapl'!$C$3:$K$47,8,0)</f>
        <v>00</v>
      </c>
      <c r="O1471" s="97" t="str">
        <f>VLOOKUP(G1471,'insumos terrapl'!$C$3:$K$47,9,0)</f>
        <v>00</v>
      </c>
    </row>
    <row r="1472" spans="1:15" ht="30">
      <c r="A1472" s="134"/>
      <c r="B1472" s="137"/>
      <c r="C1472" s="125"/>
      <c r="D1472" s="115"/>
      <c r="E1472" s="115"/>
      <c r="F1472" s="11" t="s">
        <v>647</v>
      </c>
      <c r="G1472" s="20" t="s">
        <v>648</v>
      </c>
      <c r="H1472" s="29" t="str">
        <f>VLOOKUP(G1472,'insumos terrapl'!$C$3:$K$47,2,0)</f>
        <v>2N  58  06  00  00  00  00</v>
      </c>
      <c r="I1472" s="29" t="str">
        <f>VLOOKUP(G1472,'insumos terrapl'!$C$3:$K$47,3,0)</f>
        <v>2N</v>
      </c>
      <c r="J1472" s="29">
        <f>VLOOKUP(G1472,'insumos terrapl'!$C$3:$K$47,4,0)</f>
        <v>58</v>
      </c>
      <c r="K1472" s="29" t="str">
        <f>VLOOKUP(G1472,'insumos terrapl'!$C$3:$K$47,5,0)</f>
        <v>06</v>
      </c>
      <c r="L1472" s="29" t="str">
        <f>VLOOKUP(G1472,'insumos terrapl'!$C$3:$K$47,6,0)</f>
        <v>00</v>
      </c>
      <c r="M1472" s="29" t="str">
        <f>VLOOKUP(G1472,'insumos terrapl'!$C$3:$K$47,7,0)</f>
        <v>00</v>
      </c>
      <c r="N1472" s="29" t="str">
        <f>VLOOKUP(G1472,'insumos terrapl'!$C$3:$K$47,8,0)</f>
        <v>00</v>
      </c>
      <c r="O1472" s="97" t="str">
        <f>VLOOKUP(G1472,'insumos terrapl'!$C$3:$K$47,9,0)</f>
        <v>00</v>
      </c>
    </row>
    <row r="1473" spans="1:15">
      <c r="A1473" s="134"/>
      <c r="B1473" s="137"/>
      <c r="C1473" s="125"/>
      <c r="D1473" s="115"/>
      <c r="E1473" s="115"/>
      <c r="F1473" s="11" t="s">
        <v>621</v>
      </c>
      <c r="G1473" s="20" t="s">
        <v>622</v>
      </c>
      <c r="H1473" s="29" t="str">
        <f>VLOOKUP(G1473,'insumos terrapl'!$C$3:$K$47,2,0)</f>
        <v>2N  58  06  00  00  00  00</v>
      </c>
      <c r="I1473" s="29" t="str">
        <f>VLOOKUP(G1473,'insumos terrapl'!$C$3:$K$47,3,0)</f>
        <v>2N</v>
      </c>
      <c r="J1473" s="29">
        <f>VLOOKUP(G1473,'insumos terrapl'!$C$3:$K$47,4,0)</f>
        <v>58</v>
      </c>
      <c r="K1473" s="29" t="str">
        <f>VLOOKUP(G1473,'insumos terrapl'!$C$3:$K$47,5,0)</f>
        <v>06</v>
      </c>
      <c r="L1473" s="29" t="str">
        <f>VLOOKUP(G1473,'insumos terrapl'!$C$3:$K$47,6,0)</f>
        <v>00</v>
      </c>
      <c r="M1473" s="29" t="str">
        <f>VLOOKUP(G1473,'insumos terrapl'!$C$3:$K$47,7,0)</f>
        <v>00</v>
      </c>
      <c r="N1473" s="29" t="str">
        <f>VLOOKUP(G1473,'insumos terrapl'!$C$3:$K$47,8,0)</f>
        <v>00</v>
      </c>
      <c r="O1473" s="97" t="str">
        <f>VLOOKUP(G1473,'insumos terrapl'!$C$3:$K$47,9,0)</f>
        <v>00</v>
      </c>
    </row>
    <row r="1474" spans="1:15">
      <c r="A1474" s="134"/>
      <c r="B1474" s="137"/>
      <c r="C1474" s="132"/>
      <c r="D1474" s="116"/>
      <c r="E1474" s="115"/>
      <c r="F1474" s="10"/>
      <c r="G1474" s="20"/>
      <c r="H1474" s="29"/>
      <c r="I1474" s="29"/>
      <c r="J1474" s="29"/>
      <c r="K1474" s="29"/>
      <c r="L1474" s="29"/>
      <c r="M1474" s="29"/>
      <c r="N1474" s="29"/>
      <c r="O1474" s="97"/>
    </row>
    <row r="1475" spans="1:15">
      <c r="A1475" s="134"/>
      <c r="B1475" s="137"/>
      <c r="C1475" s="124" t="s">
        <v>253</v>
      </c>
      <c r="D1475" s="114" t="str">
        <f>$A$1095</f>
        <v>2.6.8</v>
      </c>
      <c r="E1475" s="114" t="s">
        <v>511</v>
      </c>
      <c r="F1475" s="12" t="s">
        <v>253</v>
      </c>
      <c r="G1475" s="19"/>
      <c r="H1475" s="28"/>
      <c r="I1475" s="28"/>
      <c r="J1475" s="28"/>
      <c r="K1475" s="28"/>
      <c r="L1475" s="28"/>
      <c r="M1475" s="28"/>
      <c r="N1475" s="28"/>
      <c r="O1475" s="99"/>
    </row>
    <row r="1476" spans="1:15" ht="30">
      <c r="A1476" s="134"/>
      <c r="B1476" s="137"/>
      <c r="C1476" s="125"/>
      <c r="D1476" s="115"/>
      <c r="E1476" s="115"/>
      <c r="F1476" s="11" t="s">
        <v>659</v>
      </c>
      <c r="G1476" s="20" t="s">
        <v>660</v>
      </c>
      <c r="H1476" s="29" t="str">
        <f>VLOOKUP(G1476,'insumos terrapl'!$C$3:$K$47,2,0)</f>
        <v>2Q  66  10  02  00  00  00</v>
      </c>
      <c r="I1476" s="29" t="str">
        <f>VLOOKUP(G1476,'insumos terrapl'!$C$3:$K$47,3,0)</f>
        <v>2Q</v>
      </c>
      <c r="J1476" s="29">
        <f>VLOOKUP(G1476,'insumos terrapl'!$C$3:$K$47,4,0)</f>
        <v>66</v>
      </c>
      <c r="K1476" s="29" t="str">
        <f>VLOOKUP(G1476,'insumos terrapl'!$C$3:$K$47,5,0)</f>
        <v>10</v>
      </c>
      <c r="L1476" s="29" t="str">
        <f>VLOOKUP(G1476,'insumos terrapl'!$C$3:$K$47,6,0)</f>
        <v>02</v>
      </c>
      <c r="M1476" s="29" t="str">
        <f>VLOOKUP(G1476,'insumos terrapl'!$C$3:$K$47,7,0)</f>
        <v>00</v>
      </c>
      <c r="N1476" s="29" t="str">
        <f>VLOOKUP(G1476,'insumos terrapl'!$C$3:$K$47,8,0)</f>
        <v>00</v>
      </c>
      <c r="O1476" s="97" t="str">
        <f>VLOOKUP(G1476,'insumos terrapl'!$C$3:$K$47,9,0)</f>
        <v>00</v>
      </c>
    </row>
    <row r="1477" spans="1:15" ht="30">
      <c r="A1477" s="134"/>
      <c r="B1477" s="137"/>
      <c r="C1477" s="125"/>
      <c r="D1477" s="115"/>
      <c r="E1477" s="115"/>
      <c r="F1477" s="11" t="s">
        <v>661</v>
      </c>
      <c r="G1477" s="20" t="s">
        <v>662</v>
      </c>
      <c r="H1477" s="29" t="str">
        <f>VLOOKUP(G1477,'insumos terrapl'!$C$3:$K$47,2,0)</f>
        <v>2Q  62  10  06  00  00  00</v>
      </c>
      <c r="I1477" s="29" t="str">
        <f>VLOOKUP(G1477,'insumos terrapl'!$C$3:$K$47,3,0)</f>
        <v>2Q</v>
      </c>
      <c r="J1477" s="29">
        <f>VLOOKUP(G1477,'insumos terrapl'!$C$3:$K$47,4,0)</f>
        <v>62</v>
      </c>
      <c r="K1477" s="29" t="str">
        <f>VLOOKUP(G1477,'insumos terrapl'!$C$3:$K$47,5,0)</f>
        <v>10</v>
      </c>
      <c r="L1477" s="29" t="str">
        <f>VLOOKUP(G1477,'insumos terrapl'!$C$3:$K$47,6,0)</f>
        <v>06</v>
      </c>
      <c r="M1477" s="29" t="str">
        <f>VLOOKUP(G1477,'insumos terrapl'!$C$3:$K$47,7,0)</f>
        <v>00</v>
      </c>
      <c r="N1477" s="29" t="str">
        <f>VLOOKUP(G1477,'insumos terrapl'!$C$3:$K$47,8,0)</f>
        <v>00</v>
      </c>
      <c r="O1477" s="97" t="str">
        <f>VLOOKUP(G1477,'insumos terrapl'!$C$3:$K$47,9,0)</f>
        <v>00</v>
      </c>
    </row>
    <row r="1478" spans="1:15" ht="30">
      <c r="A1478" s="134"/>
      <c r="B1478" s="137"/>
      <c r="C1478" s="125"/>
      <c r="D1478" s="115"/>
      <c r="E1478" s="115"/>
      <c r="F1478" s="11" t="s">
        <v>607</v>
      </c>
      <c r="G1478" s="20" t="s">
        <v>608</v>
      </c>
      <c r="H1478" s="29" t="str">
        <f>VLOOKUP(G1478,'insumos terrapl'!$C$3:$K$47,2,0)</f>
        <v>2Q  42  06  18  02  02  00</v>
      </c>
      <c r="I1478" s="29" t="str">
        <f>VLOOKUP(G1478,'insumos terrapl'!$C$3:$K$47,3,0)</f>
        <v>2Q</v>
      </c>
      <c r="J1478" s="29">
        <f>VLOOKUP(G1478,'insumos terrapl'!$C$3:$K$47,4,0)</f>
        <v>42</v>
      </c>
      <c r="K1478" s="29" t="str">
        <f>VLOOKUP(G1478,'insumos terrapl'!$C$3:$K$47,5,0)</f>
        <v>06</v>
      </c>
      <c r="L1478" s="29">
        <f>VLOOKUP(G1478,'insumos terrapl'!$C$3:$K$47,6,0)</f>
        <v>18</v>
      </c>
      <c r="M1478" s="29" t="str">
        <f>VLOOKUP(G1478,'insumos terrapl'!$C$3:$K$47,7,0)</f>
        <v>02</v>
      </c>
      <c r="N1478" s="29" t="str">
        <f>VLOOKUP(G1478,'insumos terrapl'!$C$3:$K$47,8,0)</f>
        <v>02</v>
      </c>
      <c r="O1478" s="97" t="str">
        <f>VLOOKUP(G1478,'insumos terrapl'!$C$3:$K$47,9,0)</f>
        <v>00</v>
      </c>
    </row>
    <row r="1479" spans="1:15" ht="45">
      <c r="A1479" s="134"/>
      <c r="B1479" s="137"/>
      <c r="C1479" s="125"/>
      <c r="D1479" s="115"/>
      <c r="E1479" s="115"/>
      <c r="F1479" s="11" t="s">
        <v>609</v>
      </c>
      <c r="G1479" s="20" t="s">
        <v>610</v>
      </c>
      <c r="H1479" s="29" t="str">
        <f>VLOOKUP(G1479,'insumos terrapl'!$C$3:$K$47,2,0)</f>
        <v>2Q  42  06  02  14  02  00</v>
      </c>
      <c r="I1479" s="29" t="str">
        <f>VLOOKUP(G1479,'insumos terrapl'!$C$3:$K$47,3,0)</f>
        <v>2Q</v>
      </c>
      <c r="J1479" s="29">
        <f>VLOOKUP(G1479,'insumos terrapl'!$C$3:$K$47,4,0)</f>
        <v>42</v>
      </c>
      <c r="K1479" s="29" t="str">
        <f>VLOOKUP(G1479,'insumos terrapl'!$C$3:$K$47,5,0)</f>
        <v>06</v>
      </c>
      <c r="L1479" s="29" t="str">
        <f>VLOOKUP(G1479,'insumos terrapl'!$C$3:$K$47,6,0)</f>
        <v>02</v>
      </c>
      <c r="M1479" s="29" t="str">
        <f>VLOOKUP(G1479,'insumos terrapl'!$C$3:$K$47,7,0)</f>
        <v>14</v>
      </c>
      <c r="N1479" s="29" t="str">
        <f>VLOOKUP(G1479,'insumos terrapl'!$C$3:$K$47,8,0)</f>
        <v>02</v>
      </c>
      <c r="O1479" s="97" t="str">
        <f>VLOOKUP(G1479,'insumos terrapl'!$C$3:$K$47,9,0)</f>
        <v>00</v>
      </c>
    </row>
    <row r="1480" spans="1:15">
      <c r="A1480" s="134"/>
      <c r="B1480" s="137"/>
      <c r="C1480" s="125"/>
      <c r="D1480" s="115"/>
      <c r="E1480" s="115"/>
      <c r="F1480" s="11" t="s">
        <v>633</v>
      </c>
      <c r="G1480" s="20" t="s">
        <v>634</v>
      </c>
      <c r="H1480" s="29" t="str">
        <f>VLOOKUP(G1480,'insumos terrapl'!$C$3:$K$47,2,0)</f>
        <v>2Q  58  10  10  02  06  00</v>
      </c>
      <c r="I1480" s="29" t="str">
        <f>VLOOKUP(G1480,'insumos terrapl'!$C$3:$K$47,3,0)</f>
        <v>2Q</v>
      </c>
      <c r="J1480" s="29">
        <f>VLOOKUP(G1480,'insumos terrapl'!$C$3:$K$47,4,0)</f>
        <v>58</v>
      </c>
      <c r="K1480" s="29" t="str">
        <f>VLOOKUP(G1480,'insumos terrapl'!$C$3:$K$47,5,0)</f>
        <v>10</v>
      </c>
      <c r="L1480" s="29" t="str">
        <f>VLOOKUP(G1480,'insumos terrapl'!$C$3:$K$47,6,0)</f>
        <v>10</v>
      </c>
      <c r="M1480" s="29" t="str">
        <f>VLOOKUP(G1480,'insumos terrapl'!$C$3:$K$47,7,0)</f>
        <v>02</v>
      </c>
      <c r="N1480" s="29" t="str">
        <f>VLOOKUP(G1480,'insumos terrapl'!$C$3:$K$47,8,0)</f>
        <v>06</v>
      </c>
      <c r="O1480" s="97" t="str">
        <f>VLOOKUP(G1480,'insumos terrapl'!$C$3:$K$47,9,0)</f>
        <v>00</v>
      </c>
    </row>
    <row r="1481" spans="1:15">
      <c r="A1481" s="134"/>
      <c r="B1481" s="137"/>
      <c r="C1481" s="125"/>
      <c r="D1481" s="115"/>
      <c r="E1481" s="115"/>
      <c r="F1481" s="11" t="s">
        <v>586</v>
      </c>
      <c r="G1481" s="20" t="s">
        <v>587</v>
      </c>
      <c r="H1481" s="29" t="str">
        <f>VLOOKUP(G1481,'insumos terrapl'!$C$3:$K$47,2,0)</f>
        <v>2Q  62  30  02  14  00  00</v>
      </c>
      <c r="I1481" s="29" t="str">
        <f>VLOOKUP(G1481,'insumos terrapl'!$C$3:$K$47,3,0)</f>
        <v>2Q</v>
      </c>
      <c r="J1481" s="29">
        <f>VLOOKUP(G1481,'insumos terrapl'!$C$3:$K$47,4,0)</f>
        <v>62</v>
      </c>
      <c r="K1481" s="29">
        <f>VLOOKUP(G1481,'insumos terrapl'!$C$3:$K$47,5,0)</f>
        <v>30</v>
      </c>
      <c r="L1481" s="29" t="str">
        <f>VLOOKUP(G1481,'insumos terrapl'!$C$3:$K$47,6,0)</f>
        <v>02</v>
      </c>
      <c r="M1481" s="29" t="str">
        <f>VLOOKUP(G1481,'insumos terrapl'!$C$3:$K$47,7,0)</f>
        <v>14</v>
      </c>
      <c r="N1481" s="29" t="str">
        <f>VLOOKUP(G1481,'insumos terrapl'!$C$3:$K$47,8,0)</f>
        <v>00</v>
      </c>
      <c r="O1481" s="97" t="str">
        <f>VLOOKUP(G1481,'insumos terrapl'!$C$3:$K$47,9,0)</f>
        <v>00</v>
      </c>
    </row>
    <row r="1482" spans="1:15">
      <c r="A1482" s="134"/>
      <c r="B1482" s="137"/>
      <c r="C1482" s="125"/>
      <c r="D1482" s="115"/>
      <c r="E1482" s="115"/>
      <c r="F1482" s="11" t="s">
        <v>613</v>
      </c>
      <c r="G1482" s="20" t="s">
        <v>614</v>
      </c>
      <c r="H1482" s="29" t="str">
        <f>VLOOKUP(G1482,'insumos terrapl'!$C$3:$K$47,2,0)</f>
        <v>2N  20  14  02  00  00  00</v>
      </c>
      <c r="I1482" s="29" t="str">
        <f>VLOOKUP(G1482,'insumos terrapl'!$C$3:$K$47,3,0)</f>
        <v>2N</v>
      </c>
      <c r="J1482" s="29">
        <f>VLOOKUP(G1482,'insumos terrapl'!$C$3:$K$47,4,0)</f>
        <v>20</v>
      </c>
      <c r="K1482" s="29" t="str">
        <f>VLOOKUP(G1482,'insumos terrapl'!$C$3:$K$47,5,0)</f>
        <v>14</v>
      </c>
      <c r="L1482" s="29" t="str">
        <f>VLOOKUP(G1482,'insumos terrapl'!$C$3:$K$47,6,0)</f>
        <v>02</v>
      </c>
      <c r="M1482" s="29" t="str">
        <f>VLOOKUP(G1482,'insumos terrapl'!$C$3:$K$47,7,0)</f>
        <v>00</v>
      </c>
      <c r="N1482" s="29" t="str">
        <f>VLOOKUP(G1482,'insumos terrapl'!$C$3:$K$47,8,0)</f>
        <v>00</v>
      </c>
      <c r="O1482" s="97" t="str">
        <f>VLOOKUP(G1482,'insumos terrapl'!$C$3:$K$47,9,0)</f>
        <v>00</v>
      </c>
    </row>
    <row r="1483" spans="1:15">
      <c r="A1483" s="134"/>
      <c r="B1483" s="137"/>
      <c r="C1483" s="125"/>
      <c r="D1483" s="115"/>
      <c r="E1483" s="115"/>
      <c r="F1483" s="11" t="s">
        <v>615</v>
      </c>
      <c r="G1483" s="20" t="s">
        <v>616</v>
      </c>
      <c r="H1483" s="29" t="str">
        <f>VLOOKUP(G1483,'insumos terrapl'!$C$3:$K$47,2,0)</f>
        <v>2N  20  14  02  00  00  00</v>
      </c>
      <c r="I1483" s="29" t="str">
        <f>VLOOKUP(G1483,'insumos terrapl'!$C$3:$K$47,3,0)</f>
        <v>2N</v>
      </c>
      <c r="J1483" s="29">
        <f>VLOOKUP(G1483,'insumos terrapl'!$C$3:$K$47,4,0)</f>
        <v>20</v>
      </c>
      <c r="K1483" s="29" t="str">
        <f>VLOOKUP(G1483,'insumos terrapl'!$C$3:$K$47,5,0)</f>
        <v>14</v>
      </c>
      <c r="L1483" s="29" t="str">
        <f>VLOOKUP(G1483,'insumos terrapl'!$C$3:$K$47,6,0)</f>
        <v>02</v>
      </c>
      <c r="M1483" s="29" t="str">
        <f>VLOOKUP(G1483,'insumos terrapl'!$C$3:$K$47,7,0)</f>
        <v>00</v>
      </c>
      <c r="N1483" s="29" t="str">
        <f>VLOOKUP(G1483,'insumos terrapl'!$C$3:$K$47,8,0)</f>
        <v>00</v>
      </c>
      <c r="O1483" s="97" t="str">
        <f>VLOOKUP(G1483,'insumos terrapl'!$C$3:$K$47,9,0)</f>
        <v>00</v>
      </c>
    </row>
    <row r="1484" spans="1:15" ht="30">
      <c r="A1484" s="134"/>
      <c r="B1484" s="137"/>
      <c r="C1484" s="125"/>
      <c r="D1484" s="115"/>
      <c r="E1484" s="115"/>
      <c r="F1484" s="11" t="s">
        <v>635</v>
      </c>
      <c r="G1484" s="20" t="s">
        <v>636</v>
      </c>
      <c r="H1484" s="29" t="str">
        <f>VLOOKUP(G1484,'insumos terrapl'!$C$3:$K$47,2,0)</f>
        <v>2N  58  06  00  00  00  00</v>
      </c>
      <c r="I1484" s="29" t="str">
        <f>VLOOKUP(G1484,'insumos terrapl'!$C$3:$K$47,3,0)</f>
        <v>2N</v>
      </c>
      <c r="J1484" s="29">
        <f>VLOOKUP(G1484,'insumos terrapl'!$C$3:$K$47,4,0)</f>
        <v>58</v>
      </c>
      <c r="K1484" s="29" t="str">
        <f>VLOOKUP(G1484,'insumos terrapl'!$C$3:$K$47,5,0)</f>
        <v>06</v>
      </c>
      <c r="L1484" s="29" t="str">
        <f>VLOOKUP(G1484,'insumos terrapl'!$C$3:$K$47,6,0)</f>
        <v>00</v>
      </c>
      <c r="M1484" s="29" t="str">
        <f>VLOOKUP(G1484,'insumos terrapl'!$C$3:$K$47,7,0)</f>
        <v>00</v>
      </c>
      <c r="N1484" s="29" t="str">
        <f>VLOOKUP(G1484,'insumos terrapl'!$C$3:$K$47,8,0)</f>
        <v>00</v>
      </c>
      <c r="O1484" s="97" t="str">
        <f>VLOOKUP(G1484,'insumos terrapl'!$C$3:$K$47,9,0)</f>
        <v>00</v>
      </c>
    </row>
    <row r="1485" spans="1:15">
      <c r="A1485" s="134"/>
      <c r="B1485" s="137"/>
      <c r="C1485" s="125"/>
      <c r="D1485" s="115"/>
      <c r="E1485" s="115"/>
      <c r="F1485" s="11" t="s">
        <v>617</v>
      </c>
      <c r="G1485" s="20" t="s">
        <v>618</v>
      </c>
      <c r="H1485" s="29" t="str">
        <f>VLOOKUP(G1485,'insumos terrapl'!$C$3:$K$47,2,0)</f>
        <v>2Q  58  06  02  28  00  00</v>
      </c>
      <c r="I1485" s="29" t="str">
        <f>VLOOKUP(G1485,'insumos terrapl'!$C$3:$K$47,3,0)</f>
        <v>2Q</v>
      </c>
      <c r="J1485" s="29">
        <f>VLOOKUP(G1485,'insumos terrapl'!$C$3:$K$47,4,0)</f>
        <v>58</v>
      </c>
      <c r="K1485" s="29" t="str">
        <f>VLOOKUP(G1485,'insumos terrapl'!$C$3:$K$47,5,0)</f>
        <v>06</v>
      </c>
      <c r="L1485" s="29" t="str">
        <f>VLOOKUP(G1485,'insumos terrapl'!$C$3:$K$47,6,0)</f>
        <v>02</v>
      </c>
      <c r="M1485" s="29" t="str">
        <f>VLOOKUP(G1485,'insumos terrapl'!$C$3:$K$47,7,0)</f>
        <v>28</v>
      </c>
      <c r="N1485" s="29" t="str">
        <f>VLOOKUP(G1485,'insumos terrapl'!$C$3:$K$47,8,0)</f>
        <v>00</v>
      </c>
      <c r="O1485" s="97" t="str">
        <f>VLOOKUP(G1485,'insumos terrapl'!$C$3:$K$47,9,0)</f>
        <v>00</v>
      </c>
    </row>
    <row r="1486" spans="1:15" ht="30">
      <c r="A1486" s="134"/>
      <c r="B1486" s="137"/>
      <c r="C1486" s="125"/>
      <c r="D1486" s="115"/>
      <c r="E1486" s="115"/>
      <c r="F1486" s="11" t="s">
        <v>637</v>
      </c>
      <c r="G1486" s="20" t="s">
        <v>638</v>
      </c>
      <c r="H1486" s="29" t="str">
        <f>VLOOKUP(G1486,'insumos terrapl'!$C$3:$K$47,2,0)</f>
        <v>2N  58  06  00  00  00  00</v>
      </c>
      <c r="I1486" s="29" t="str">
        <f>VLOOKUP(G1486,'insumos terrapl'!$C$3:$K$47,3,0)</f>
        <v>2N</v>
      </c>
      <c r="J1486" s="29">
        <f>VLOOKUP(G1486,'insumos terrapl'!$C$3:$K$47,4,0)</f>
        <v>58</v>
      </c>
      <c r="K1486" s="29" t="str">
        <f>VLOOKUP(G1486,'insumos terrapl'!$C$3:$K$47,5,0)</f>
        <v>06</v>
      </c>
      <c r="L1486" s="29" t="str">
        <f>VLOOKUP(G1486,'insumos terrapl'!$C$3:$K$47,6,0)</f>
        <v>00</v>
      </c>
      <c r="M1486" s="29" t="str">
        <f>VLOOKUP(G1486,'insumos terrapl'!$C$3:$K$47,7,0)</f>
        <v>00</v>
      </c>
      <c r="N1486" s="29" t="str">
        <f>VLOOKUP(G1486,'insumos terrapl'!$C$3:$K$47,8,0)</f>
        <v>00</v>
      </c>
      <c r="O1486" s="97" t="str">
        <f>VLOOKUP(G1486,'insumos terrapl'!$C$3:$K$47,9,0)</f>
        <v>00</v>
      </c>
    </row>
    <row r="1487" spans="1:15" ht="30">
      <c r="A1487" s="134"/>
      <c r="B1487" s="137"/>
      <c r="C1487" s="125"/>
      <c r="D1487" s="115"/>
      <c r="E1487" s="115"/>
      <c r="F1487" s="11" t="s">
        <v>639</v>
      </c>
      <c r="G1487" s="20" t="s">
        <v>640</v>
      </c>
      <c r="H1487" s="29" t="str">
        <f>VLOOKUP(G1487,'insumos terrapl'!$C$3:$K$47,2,0)</f>
        <v>2N  58  06  00  00  00  00</v>
      </c>
      <c r="I1487" s="29" t="str">
        <f>VLOOKUP(G1487,'insumos terrapl'!$C$3:$K$47,3,0)</f>
        <v>2N</v>
      </c>
      <c r="J1487" s="29">
        <f>VLOOKUP(G1487,'insumos terrapl'!$C$3:$K$47,4,0)</f>
        <v>58</v>
      </c>
      <c r="K1487" s="29" t="str">
        <f>VLOOKUP(G1487,'insumos terrapl'!$C$3:$K$47,5,0)</f>
        <v>06</v>
      </c>
      <c r="L1487" s="29" t="str">
        <f>VLOOKUP(G1487,'insumos terrapl'!$C$3:$K$47,6,0)</f>
        <v>00</v>
      </c>
      <c r="M1487" s="29" t="str">
        <f>VLOOKUP(G1487,'insumos terrapl'!$C$3:$K$47,7,0)</f>
        <v>00</v>
      </c>
      <c r="N1487" s="29" t="str">
        <f>VLOOKUP(G1487,'insumos terrapl'!$C$3:$K$47,8,0)</f>
        <v>00</v>
      </c>
      <c r="O1487" s="97" t="str">
        <f>VLOOKUP(G1487,'insumos terrapl'!$C$3:$K$47,9,0)</f>
        <v>00</v>
      </c>
    </row>
    <row r="1488" spans="1:15">
      <c r="A1488" s="134"/>
      <c r="B1488" s="137"/>
      <c r="C1488" s="125"/>
      <c r="D1488" s="115"/>
      <c r="E1488" s="115"/>
      <c r="F1488" s="11" t="s">
        <v>641</v>
      </c>
      <c r="G1488" s="20" t="s">
        <v>642</v>
      </c>
      <c r="H1488" s="29" t="str">
        <f>VLOOKUP(G1488,'insumos terrapl'!$C$3:$K$47,2,0)</f>
        <v>2N  58  06  00  00  00  00</v>
      </c>
      <c r="I1488" s="29" t="str">
        <f>VLOOKUP(G1488,'insumos terrapl'!$C$3:$K$47,3,0)</f>
        <v>2N</v>
      </c>
      <c r="J1488" s="29">
        <f>VLOOKUP(G1488,'insumos terrapl'!$C$3:$K$47,4,0)</f>
        <v>58</v>
      </c>
      <c r="K1488" s="29" t="str">
        <f>VLOOKUP(G1488,'insumos terrapl'!$C$3:$K$47,5,0)</f>
        <v>06</v>
      </c>
      <c r="L1488" s="29" t="str">
        <f>VLOOKUP(G1488,'insumos terrapl'!$C$3:$K$47,6,0)</f>
        <v>00</v>
      </c>
      <c r="M1488" s="29" t="str">
        <f>VLOOKUP(G1488,'insumos terrapl'!$C$3:$K$47,7,0)</f>
        <v>00</v>
      </c>
      <c r="N1488" s="29" t="str">
        <f>VLOOKUP(G1488,'insumos terrapl'!$C$3:$K$47,8,0)</f>
        <v>00</v>
      </c>
      <c r="O1488" s="97" t="str">
        <f>VLOOKUP(G1488,'insumos terrapl'!$C$3:$K$47,9,0)</f>
        <v>00</v>
      </c>
    </row>
    <row r="1489" spans="1:15">
      <c r="A1489" s="134"/>
      <c r="B1489" s="137"/>
      <c r="C1489" s="125"/>
      <c r="D1489" s="115"/>
      <c r="E1489" s="115"/>
      <c r="F1489" s="11" t="s">
        <v>619</v>
      </c>
      <c r="G1489" s="20" t="s">
        <v>620</v>
      </c>
      <c r="H1489" s="29"/>
      <c r="I1489" s="29"/>
      <c r="J1489" s="29"/>
      <c r="K1489" s="29"/>
      <c r="L1489" s="29"/>
      <c r="M1489" s="29"/>
      <c r="N1489" s="29"/>
      <c r="O1489" s="97"/>
    </row>
    <row r="1490" spans="1:15">
      <c r="A1490" s="134"/>
      <c r="B1490" s="137"/>
      <c r="C1490" s="125"/>
      <c r="D1490" s="115"/>
      <c r="E1490" s="115"/>
      <c r="F1490" s="11" t="s">
        <v>643</v>
      </c>
      <c r="G1490" s="20" t="s">
        <v>644</v>
      </c>
      <c r="H1490" s="29" t="str">
        <f>VLOOKUP(G1490,'insumos terrapl'!$C$3:$K$47,2,0)</f>
        <v>2N  58  06  00  00  00  00</v>
      </c>
      <c r="I1490" s="29" t="str">
        <f>VLOOKUP(G1490,'insumos terrapl'!$C$3:$K$47,3,0)</f>
        <v>2N</v>
      </c>
      <c r="J1490" s="29">
        <f>VLOOKUP(G1490,'insumos terrapl'!$C$3:$K$47,4,0)</f>
        <v>58</v>
      </c>
      <c r="K1490" s="29" t="str">
        <f>VLOOKUP(G1490,'insumos terrapl'!$C$3:$K$47,5,0)</f>
        <v>06</v>
      </c>
      <c r="L1490" s="29" t="str">
        <f>VLOOKUP(G1490,'insumos terrapl'!$C$3:$K$47,6,0)</f>
        <v>00</v>
      </c>
      <c r="M1490" s="29" t="str">
        <f>VLOOKUP(G1490,'insumos terrapl'!$C$3:$K$47,7,0)</f>
        <v>00</v>
      </c>
      <c r="N1490" s="29" t="str">
        <f>VLOOKUP(G1490,'insumos terrapl'!$C$3:$K$47,8,0)</f>
        <v>00</v>
      </c>
      <c r="O1490" s="97" t="str">
        <f>VLOOKUP(G1490,'insumos terrapl'!$C$3:$K$47,9,0)</f>
        <v>00</v>
      </c>
    </row>
    <row r="1491" spans="1:15">
      <c r="A1491" s="134"/>
      <c r="B1491" s="137"/>
      <c r="C1491" s="125"/>
      <c r="D1491" s="115"/>
      <c r="E1491" s="115"/>
      <c r="F1491" s="11" t="s">
        <v>645</v>
      </c>
      <c r="G1491" s="20" t="s">
        <v>646</v>
      </c>
      <c r="H1491" s="29" t="str">
        <f>VLOOKUP(G1491,'insumos terrapl'!$C$3:$K$47,2,0)</f>
        <v>2N  58  06  00  00  00  00</v>
      </c>
      <c r="I1491" s="29" t="str">
        <f>VLOOKUP(G1491,'insumos terrapl'!$C$3:$K$47,3,0)</f>
        <v>2N</v>
      </c>
      <c r="J1491" s="29">
        <f>VLOOKUP(G1491,'insumos terrapl'!$C$3:$K$47,4,0)</f>
        <v>58</v>
      </c>
      <c r="K1491" s="29" t="str">
        <f>VLOOKUP(G1491,'insumos terrapl'!$C$3:$K$47,5,0)</f>
        <v>06</v>
      </c>
      <c r="L1491" s="29" t="str">
        <f>VLOOKUP(G1491,'insumos terrapl'!$C$3:$K$47,6,0)</f>
        <v>00</v>
      </c>
      <c r="M1491" s="29" t="str">
        <f>VLOOKUP(G1491,'insumos terrapl'!$C$3:$K$47,7,0)</f>
        <v>00</v>
      </c>
      <c r="N1491" s="29" t="str">
        <f>VLOOKUP(G1491,'insumos terrapl'!$C$3:$K$47,8,0)</f>
        <v>00</v>
      </c>
      <c r="O1491" s="97" t="str">
        <f>VLOOKUP(G1491,'insumos terrapl'!$C$3:$K$47,9,0)</f>
        <v>00</v>
      </c>
    </row>
    <row r="1492" spans="1:15" ht="30">
      <c r="A1492" s="134"/>
      <c r="B1492" s="137"/>
      <c r="C1492" s="125"/>
      <c r="D1492" s="115"/>
      <c r="E1492" s="115"/>
      <c r="F1492" s="11" t="s">
        <v>647</v>
      </c>
      <c r="G1492" s="20" t="s">
        <v>648</v>
      </c>
      <c r="H1492" s="29" t="str">
        <f>VLOOKUP(G1492,'insumos terrapl'!$C$3:$K$47,2,0)</f>
        <v>2N  58  06  00  00  00  00</v>
      </c>
      <c r="I1492" s="29" t="str">
        <f>VLOOKUP(G1492,'insumos terrapl'!$C$3:$K$47,3,0)</f>
        <v>2N</v>
      </c>
      <c r="J1492" s="29">
        <f>VLOOKUP(G1492,'insumos terrapl'!$C$3:$K$47,4,0)</f>
        <v>58</v>
      </c>
      <c r="K1492" s="29" t="str">
        <f>VLOOKUP(G1492,'insumos terrapl'!$C$3:$K$47,5,0)</f>
        <v>06</v>
      </c>
      <c r="L1492" s="29" t="str">
        <f>VLOOKUP(G1492,'insumos terrapl'!$C$3:$K$47,6,0)</f>
        <v>00</v>
      </c>
      <c r="M1492" s="29" t="str">
        <f>VLOOKUP(G1492,'insumos terrapl'!$C$3:$K$47,7,0)</f>
        <v>00</v>
      </c>
      <c r="N1492" s="29" t="str">
        <f>VLOOKUP(G1492,'insumos terrapl'!$C$3:$K$47,8,0)</f>
        <v>00</v>
      </c>
      <c r="O1492" s="97" t="str">
        <f>VLOOKUP(G1492,'insumos terrapl'!$C$3:$K$47,9,0)</f>
        <v>00</v>
      </c>
    </row>
    <row r="1493" spans="1:15">
      <c r="A1493" s="134"/>
      <c r="B1493" s="137"/>
      <c r="C1493" s="125"/>
      <c r="D1493" s="115"/>
      <c r="E1493" s="115"/>
      <c r="F1493" s="11" t="s">
        <v>621</v>
      </c>
      <c r="G1493" s="20" t="s">
        <v>622</v>
      </c>
      <c r="H1493" s="29" t="str">
        <f>VLOOKUP(G1493,'insumos terrapl'!$C$3:$K$47,2,0)</f>
        <v>2N  58  06  00  00  00  00</v>
      </c>
      <c r="I1493" s="29" t="str">
        <f>VLOOKUP(G1493,'insumos terrapl'!$C$3:$K$47,3,0)</f>
        <v>2N</v>
      </c>
      <c r="J1493" s="29">
        <f>VLOOKUP(G1493,'insumos terrapl'!$C$3:$K$47,4,0)</f>
        <v>58</v>
      </c>
      <c r="K1493" s="29" t="str">
        <f>VLOOKUP(G1493,'insumos terrapl'!$C$3:$K$47,5,0)</f>
        <v>06</v>
      </c>
      <c r="L1493" s="29" t="str">
        <f>VLOOKUP(G1493,'insumos terrapl'!$C$3:$K$47,6,0)</f>
        <v>00</v>
      </c>
      <c r="M1493" s="29" t="str">
        <f>VLOOKUP(G1493,'insumos terrapl'!$C$3:$K$47,7,0)</f>
        <v>00</v>
      </c>
      <c r="N1493" s="29" t="str">
        <f>VLOOKUP(G1493,'insumos terrapl'!$C$3:$K$47,8,0)</f>
        <v>00</v>
      </c>
      <c r="O1493" s="97" t="str">
        <f>VLOOKUP(G1493,'insumos terrapl'!$C$3:$K$47,9,0)</f>
        <v>00</v>
      </c>
    </row>
    <row r="1494" spans="1:15">
      <c r="A1494" s="134"/>
      <c r="B1494" s="137"/>
      <c r="C1494" s="132"/>
      <c r="D1494" s="116"/>
      <c r="E1494" s="116"/>
      <c r="F1494" s="13"/>
      <c r="G1494" s="21"/>
      <c r="H1494" s="31"/>
      <c r="I1494" s="31"/>
      <c r="J1494" s="31"/>
      <c r="K1494" s="31"/>
      <c r="L1494" s="31"/>
      <c r="M1494" s="31"/>
      <c r="N1494" s="31"/>
      <c r="O1494" s="98"/>
    </row>
    <row r="1495" spans="1:15">
      <c r="A1495" s="134"/>
      <c r="B1495" s="137"/>
      <c r="C1495" s="124" t="s">
        <v>254</v>
      </c>
      <c r="D1495" s="114" t="str">
        <f>$A$1095</f>
        <v>2.6.8</v>
      </c>
      <c r="E1495" s="115" t="s">
        <v>512</v>
      </c>
      <c r="F1495" s="11" t="s">
        <v>254</v>
      </c>
      <c r="G1495" s="20"/>
      <c r="H1495" s="29"/>
      <c r="I1495" s="29"/>
      <c r="J1495" s="29"/>
      <c r="K1495" s="29"/>
      <c r="L1495" s="29"/>
      <c r="M1495" s="29"/>
      <c r="N1495" s="29"/>
      <c r="O1495" s="97"/>
    </row>
    <row r="1496" spans="1:15" ht="30">
      <c r="A1496" s="134"/>
      <c r="B1496" s="137"/>
      <c r="C1496" s="125"/>
      <c r="D1496" s="115"/>
      <c r="E1496" s="115"/>
      <c r="F1496" s="11" t="s">
        <v>659</v>
      </c>
      <c r="G1496" s="20" t="s">
        <v>660</v>
      </c>
      <c r="H1496" s="29" t="str">
        <f>VLOOKUP(G1496,'insumos terrapl'!$C$3:$K$47,2,0)</f>
        <v>2Q  66  10  02  00  00  00</v>
      </c>
      <c r="I1496" s="29" t="str">
        <f>VLOOKUP(G1496,'insumos terrapl'!$C$3:$K$47,3,0)</f>
        <v>2Q</v>
      </c>
      <c r="J1496" s="29">
        <f>VLOOKUP(G1496,'insumos terrapl'!$C$3:$K$47,4,0)</f>
        <v>66</v>
      </c>
      <c r="K1496" s="29" t="str">
        <f>VLOOKUP(G1496,'insumos terrapl'!$C$3:$K$47,5,0)</f>
        <v>10</v>
      </c>
      <c r="L1496" s="29" t="str">
        <f>VLOOKUP(G1496,'insumos terrapl'!$C$3:$K$47,6,0)</f>
        <v>02</v>
      </c>
      <c r="M1496" s="29" t="str">
        <f>VLOOKUP(G1496,'insumos terrapl'!$C$3:$K$47,7,0)</f>
        <v>00</v>
      </c>
      <c r="N1496" s="29" t="str">
        <f>VLOOKUP(G1496,'insumos terrapl'!$C$3:$K$47,8,0)</f>
        <v>00</v>
      </c>
      <c r="O1496" s="97" t="str">
        <f>VLOOKUP(G1496,'insumos terrapl'!$C$3:$K$47,9,0)</f>
        <v>00</v>
      </c>
    </row>
    <row r="1497" spans="1:15" ht="30">
      <c r="A1497" s="134"/>
      <c r="B1497" s="137"/>
      <c r="C1497" s="125"/>
      <c r="D1497" s="115"/>
      <c r="E1497" s="115"/>
      <c r="F1497" s="11" t="s">
        <v>661</v>
      </c>
      <c r="G1497" s="20" t="s">
        <v>662</v>
      </c>
      <c r="H1497" s="29" t="str">
        <f>VLOOKUP(G1497,'insumos terrapl'!$C$3:$K$47,2,0)</f>
        <v>2Q  62  10  06  00  00  00</v>
      </c>
      <c r="I1497" s="29" t="str">
        <f>VLOOKUP(G1497,'insumos terrapl'!$C$3:$K$47,3,0)</f>
        <v>2Q</v>
      </c>
      <c r="J1497" s="29">
        <f>VLOOKUP(G1497,'insumos terrapl'!$C$3:$K$47,4,0)</f>
        <v>62</v>
      </c>
      <c r="K1497" s="29" t="str">
        <f>VLOOKUP(G1497,'insumos terrapl'!$C$3:$K$47,5,0)</f>
        <v>10</v>
      </c>
      <c r="L1497" s="29" t="str">
        <f>VLOOKUP(G1497,'insumos terrapl'!$C$3:$K$47,6,0)</f>
        <v>06</v>
      </c>
      <c r="M1497" s="29" t="str">
        <f>VLOOKUP(G1497,'insumos terrapl'!$C$3:$K$47,7,0)</f>
        <v>00</v>
      </c>
      <c r="N1497" s="29" t="str">
        <f>VLOOKUP(G1497,'insumos terrapl'!$C$3:$K$47,8,0)</f>
        <v>00</v>
      </c>
      <c r="O1497" s="97" t="str">
        <f>VLOOKUP(G1497,'insumos terrapl'!$C$3:$K$47,9,0)</f>
        <v>00</v>
      </c>
    </row>
    <row r="1498" spans="1:15" ht="30">
      <c r="A1498" s="134"/>
      <c r="B1498" s="137"/>
      <c r="C1498" s="125"/>
      <c r="D1498" s="115"/>
      <c r="E1498" s="115"/>
      <c r="F1498" s="11" t="s">
        <v>607</v>
      </c>
      <c r="G1498" s="20" t="s">
        <v>608</v>
      </c>
      <c r="H1498" s="29" t="str">
        <f>VLOOKUP(G1498,'insumos terrapl'!$C$3:$K$47,2,0)</f>
        <v>2Q  42  06  18  02  02  00</v>
      </c>
      <c r="I1498" s="29" t="str">
        <f>VLOOKUP(G1498,'insumos terrapl'!$C$3:$K$47,3,0)</f>
        <v>2Q</v>
      </c>
      <c r="J1498" s="29">
        <f>VLOOKUP(G1498,'insumos terrapl'!$C$3:$K$47,4,0)</f>
        <v>42</v>
      </c>
      <c r="K1498" s="29" t="str">
        <f>VLOOKUP(G1498,'insumos terrapl'!$C$3:$K$47,5,0)</f>
        <v>06</v>
      </c>
      <c r="L1498" s="29">
        <f>VLOOKUP(G1498,'insumos terrapl'!$C$3:$K$47,6,0)</f>
        <v>18</v>
      </c>
      <c r="M1498" s="29" t="str">
        <f>VLOOKUP(G1498,'insumos terrapl'!$C$3:$K$47,7,0)</f>
        <v>02</v>
      </c>
      <c r="N1498" s="29" t="str">
        <f>VLOOKUP(G1498,'insumos terrapl'!$C$3:$K$47,8,0)</f>
        <v>02</v>
      </c>
      <c r="O1498" s="97" t="str">
        <f>VLOOKUP(G1498,'insumos terrapl'!$C$3:$K$47,9,0)</f>
        <v>00</v>
      </c>
    </row>
    <row r="1499" spans="1:15" ht="45">
      <c r="A1499" s="134"/>
      <c r="B1499" s="137"/>
      <c r="C1499" s="125"/>
      <c r="D1499" s="115"/>
      <c r="E1499" s="115"/>
      <c r="F1499" s="11" t="s">
        <v>609</v>
      </c>
      <c r="G1499" s="20" t="s">
        <v>610</v>
      </c>
      <c r="H1499" s="29" t="str">
        <f>VLOOKUP(G1499,'insumos terrapl'!$C$3:$K$47,2,0)</f>
        <v>2Q  42  06  02  14  02  00</v>
      </c>
      <c r="I1499" s="29" t="str">
        <f>VLOOKUP(G1499,'insumos terrapl'!$C$3:$K$47,3,0)</f>
        <v>2Q</v>
      </c>
      <c r="J1499" s="29">
        <f>VLOOKUP(G1499,'insumos terrapl'!$C$3:$K$47,4,0)</f>
        <v>42</v>
      </c>
      <c r="K1499" s="29" t="str">
        <f>VLOOKUP(G1499,'insumos terrapl'!$C$3:$K$47,5,0)</f>
        <v>06</v>
      </c>
      <c r="L1499" s="29" t="str">
        <f>VLOOKUP(G1499,'insumos terrapl'!$C$3:$K$47,6,0)</f>
        <v>02</v>
      </c>
      <c r="M1499" s="29" t="str">
        <f>VLOOKUP(G1499,'insumos terrapl'!$C$3:$K$47,7,0)</f>
        <v>14</v>
      </c>
      <c r="N1499" s="29" t="str">
        <f>VLOOKUP(G1499,'insumos terrapl'!$C$3:$K$47,8,0)</f>
        <v>02</v>
      </c>
      <c r="O1499" s="97" t="str">
        <f>VLOOKUP(G1499,'insumos terrapl'!$C$3:$K$47,9,0)</f>
        <v>00</v>
      </c>
    </row>
    <row r="1500" spans="1:15">
      <c r="A1500" s="134"/>
      <c r="B1500" s="137"/>
      <c r="C1500" s="125"/>
      <c r="D1500" s="115"/>
      <c r="E1500" s="115"/>
      <c r="F1500" s="11" t="s">
        <v>633</v>
      </c>
      <c r="G1500" s="20" t="s">
        <v>634</v>
      </c>
      <c r="H1500" s="29" t="str">
        <f>VLOOKUP(G1500,'insumos terrapl'!$C$3:$K$47,2,0)</f>
        <v>2Q  58  10  10  02  06  00</v>
      </c>
      <c r="I1500" s="29" t="str">
        <f>VLOOKUP(G1500,'insumos terrapl'!$C$3:$K$47,3,0)</f>
        <v>2Q</v>
      </c>
      <c r="J1500" s="29">
        <f>VLOOKUP(G1500,'insumos terrapl'!$C$3:$K$47,4,0)</f>
        <v>58</v>
      </c>
      <c r="K1500" s="29" t="str">
        <f>VLOOKUP(G1500,'insumos terrapl'!$C$3:$K$47,5,0)</f>
        <v>10</v>
      </c>
      <c r="L1500" s="29" t="str">
        <f>VLOOKUP(G1500,'insumos terrapl'!$C$3:$K$47,6,0)</f>
        <v>10</v>
      </c>
      <c r="M1500" s="29" t="str">
        <f>VLOOKUP(G1500,'insumos terrapl'!$C$3:$K$47,7,0)</f>
        <v>02</v>
      </c>
      <c r="N1500" s="29" t="str">
        <f>VLOOKUP(G1500,'insumos terrapl'!$C$3:$K$47,8,0)</f>
        <v>06</v>
      </c>
      <c r="O1500" s="97" t="str">
        <f>VLOOKUP(G1500,'insumos terrapl'!$C$3:$K$47,9,0)</f>
        <v>00</v>
      </c>
    </row>
    <row r="1501" spans="1:15">
      <c r="A1501" s="134"/>
      <c r="B1501" s="137"/>
      <c r="C1501" s="125"/>
      <c r="D1501" s="115"/>
      <c r="E1501" s="115"/>
      <c r="F1501" s="11" t="s">
        <v>586</v>
      </c>
      <c r="G1501" s="20" t="s">
        <v>587</v>
      </c>
      <c r="H1501" s="29" t="str">
        <f>VLOOKUP(G1501,'insumos terrapl'!$C$3:$K$47,2,0)</f>
        <v>2Q  62  30  02  14  00  00</v>
      </c>
      <c r="I1501" s="29" t="str">
        <f>VLOOKUP(G1501,'insumos terrapl'!$C$3:$K$47,3,0)</f>
        <v>2Q</v>
      </c>
      <c r="J1501" s="29">
        <f>VLOOKUP(G1501,'insumos terrapl'!$C$3:$K$47,4,0)</f>
        <v>62</v>
      </c>
      <c r="K1501" s="29">
        <f>VLOOKUP(G1501,'insumos terrapl'!$C$3:$K$47,5,0)</f>
        <v>30</v>
      </c>
      <c r="L1501" s="29" t="str">
        <f>VLOOKUP(G1501,'insumos terrapl'!$C$3:$K$47,6,0)</f>
        <v>02</v>
      </c>
      <c r="M1501" s="29" t="str">
        <f>VLOOKUP(G1501,'insumos terrapl'!$C$3:$K$47,7,0)</f>
        <v>14</v>
      </c>
      <c r="N1501" s="29" t="str">
        <f>VLOOKUP(G1501,'insumos terrapl'!$C$3:$K$47,8,0)</f>
        <v>00</v>
      </c>
      <c r="O1501" s="97" t="str">
        <f>VLOOKUP(G1501,'insumos terrapl'!$C$3:$K$47,9,0)</f>
        <v>00</v>
      </c>
    </row>
    <row r="1502" spans="1:15">
      <c r="A1502" s="134"/>
      <c r="B1502" s="137"/>
      <c r="C1502" s="125"/>
      <c r="D1502" s="115"/>
      <c r="E1502" s="115"/>
      <c r="F1502" s="11" t="s">
        <v>613</v>
      </c>
      <c r="G1502" s="20" t="s">
        <v>614</v>
      </c>
      <c r="H1502" s="29" t="str">
        <f>VLOOKUP(G1502,'insumos terrapl'!$C$3:$K$47,2,0)</f>
        <v>2N  20  14  02  00  00  00</v>
      </c>
      <c r="I1502" s="29" t="str">
        <f>VLOOKUP(G1502,'insumos terrapl'!$C$3:$K$47,3,0)</f>
        <v>2N</v>
      </c>
      <c r="J1502" s="29">
        <f>VLOOKUP(G1502,'insumos terrapl'!$C$3:$K$47,4,0)</f>
        <v>20</v>
      </c>
      <c r="K1502" s="29" t="str">
        <f>VLOOKUP(G1502,'insumos terrapl'!$C$3:$K$47,5,0)</f>
        <v>14</v>
      </c>
      <c r="L1502" s="29" t="str">
        <f>VLOOKUP(G1502,'insumos terrapl'!$C$3:$K$47,6,0)</f>
        <v>02</v>
      </c>
      <c r="M1502" s="29" t="str">
        <f>VLOOKUP(G1502,'insumos terrapl'!$C$3:$K$47,7,0)</f>
        <v>00</v>
      </c>
      <c r="N1502" s="29" t="str">
        <f>VLOOKUP(G1502,'insumos terrapl'!$C$3:$K$47,8,0)</f>
        <v>00</v>
      </c>
      <c r="O1502" s="97" t="str">
        <f>VLOOKUP(G1502,'insumos terrapl'!$C$3:$K$47,9,0)</f>
        <v>00</v>
      </c>
    </row>
    <row r="1503" spans="1:15">
      <c r="A1503" s="134"/>
      <c r="B1503" s="137"/>
      <c r="C1503" s="125"/>
      <c r="D1503" s="115"/>
      <c r="E1503" s="115"/>
      <c r="F1503" s="11" t="s">
        <v>615</v>
      </c>
      <c r="G1503" s="20" t="s">
        <v>616</v>
      </c>
      <c r="H1503" s="29" t="str">
        <f>VLOOKUP(G1503,'insumos terrapl'!$C$3:$K$47,2,0)</f>
        <v>2N  20  14  02  00  00  00</v>
      </c>
      <c r="I1503" s="29" t="str">
        <f>VLOOKUP(G1503,'insumos terrapl'!$C$3:$K$47,3,0)</f>
        <v>2N</v>
      </c>
      <c r="J1503" s="29">
        <f>VLOOKUP(G1503,'insumos terrapl'!$C$3:$K$47,4,0)</f>
        <v>20</v>
      </c>
      <c r="K1503" s="29" t="str">
        <f>VLOOKUP(G1503,'insumos terrapl'!$C$3:$K$47,5,0)</f>
        <v>14</v>
      </c>
      <c r="L1503" s="29" t="str">
        <f>VLOOKUP(G1503,'insumos terrapl'!$C$3:$K$47,6,0)</f>
        <v>02</v>
      </c>
      <c r="M1503" s="29" t="str">
        <f>VLOOKUP(G1503,'insumos terrapl'!$C$3:$K$47,7,0)</f>
        <v>00</v>
      </c>
      <c r="N1503" s="29" t="str">
        <f>VLOOKUP(G1503,'insumos terrapl'!$C$3:$K$47,8,0)</f>
        <v>00</v>
      </c>
      <c r="O1503" s="97" t="str">
        <f>VLOOKUP(G1503,'insumos terrapl'!$C$3:$K$47,9,0)</f>
        <v>00</v>
      </c>
    </row>
    <row r="1504" spans="1:15" ht="30">
      <c r="A1504" s="134"/>
      <c r="B1504" s="137"/>
      <c r="C1504" s="125"/>
      <c r="D1504" s="115"/>
      <c r="E1504" s="115"/>
      <c r="F1504" s="11" t="s">
        <v>635</v>
      </c>
      <c r="G1504" s="20" t="s">
        <v>636</v>
      </c>
      <c r="H1504" s="29" t="str">
        <f>VLOOKUP(G1504,'insumos terrapl'!$C$3:$K$47,2,0)</f>
        <v>2N  58  06  00  00  00  00</v>
      </c>
      <c r="I1504" s="29" t="str">
        <f>VLOOKUP(G1504,'insumos terrapl'!$C$3:$K$47,3,0)</f>
        <v>2N</v>
      </c>
      <c r="J1504" s="29">
        <f>VLOOKUP(G1504,'insumos terrapl'!$C$3:$K$47,4,0)</f>
        <v>58</v>
      </c>
      <c r="K1504" s="29" t="str">
        <f>VLOOKUP(G1504,'insumos terrapl'!$C$3:$K$47,5,0)</f>
        <v>06</v>
      </c>
      <c r="L1504" s="29" t="str">
        <f>VLOOKUP(G1504,'insumos terrapl'!$C$3:$K$47,6,0)</f>
        <v>00</v>
      </c>
      <c r="M1504" s="29" t="str">
        <f>VLOOKUP(G1504,'insumos terrapl'!$C$3:$K$47,7,0)</f>
        <v>00</v>
      </c>
      <c r="N1504" s="29" t="str">
        <f>VLOOKUP(G1504,'insumos terrapl'!$C$3:$K$47,8,0)</f>
        <v>00</v>
      </c>
      <c r="O1504" s="97" t="str">
        <f>VLOOKUP(G1504,'insumos terrapl'!$C$3:$K$47,9,0)</f>
        <v>00</v>
      </c>
    </row>
    <row r="1505" spans="1:15">
      <c r="A1505" s="134"/>
      <c r="B1505" s="137"/>
      <c r="C1505" s="125"/>
      <c r="D1505" s="115"/>
      <c r="E1505" s="115"/>
      <c r="F1505" s="11" t="s">
        <v>617</v>
      </c>
      <c r="G1505" s="20" t="s">
        <v>618</v>
      </c>
      <c r="H1505" s="29" t="str">
        <f>VLOOKUP(G1505,'insumos terrapl'!$C$3:$K$47,2,0)</f>
        <v>2Q  58  06  02  28  00  00</v>
      </c>
      <c r="I1505" s="29" t="str">
        <f>VLOOKUP(G1505,'insumos terrapl'!$C$3:$K$47,3,0)</f>
        <v>2Q</v>
      </c>
      <c r="J1505" s="29">
        <f>VLOOKUP(G1505,'insumos terrapl'!$C$3:$K$47,4,0)</f>
        <v>58</v>
      </c>
      <c r="K1505" s="29" t="str">
        <f>VLOOKUP(G1505,'insumos terrapl'!$C$3:$K$47,5,0)</f>
        <v>06</v>
      </c>
      <c r="L1505" s="29" t="str">
        <f>VLOOKUP(G1505,'insumos terrapl'!$C$3:$K$47,6,0)</f>
        <v>02</v>
      </c>
      <c r="M1505" s="29" t="str">
        <f>VLOOKUP(G1505,'insumos terrapl'!$C$3:$K$47,7,0)</f>
        <v>28</v>
      </c>
      <c r="N1505" s="29" t="str">
        <f>VLOOKUP(G1505,'insumos terrapl'!$C$3:$K$47,8,0)</f>
        <v>00</v>
      </c>
      <c r="O1505" s="97" t="str">
        <f>VLOOKUP(G1505,'insumos terrapl'!$C$3:$K$47,9,0)</f>
        <v>00</v>
      </c>
    </row>
    <row r="1506" spans="1:15" ht="30">
      <c r="A1506" s="134"/>
      <c r="B1506" s="137"/>
      <c r="C1506" s="125"/>
      <c r="D1506" s="115"/>
      <c r="E1506" s="115"/>
      <c r="F1506" s="11" t="s">
        <v>637</v>
      </c>
      <c r="G1506" s="20" t="s">
        <v>638</v>
      </c>
      <c r="H1506" s="29" t="str">
        <f>VLOOKUP(G1506,'insumos terrapl'!$C$3:$K$47,2,0)</f>
        <v>2N  58  06  00  00  00  00</v>
      </c>
      <c r="I1506" s="29" t="str">
        <f>VLOOKUP(G1506,'insumos terrapl'!$C$3:$K$47,3,0)</f>
        <v>2N</v>
      </c>
      <c r="J1506" s="29">
        <f>VLOOKUP(G1506,'insumos terrapl'!$C$3:$K$47,4,0)</f>
        <v>58</v>
      </c>
      <c r="K1506" s="29" t="str">
        <f>VLOOKUP(G1506,'insumos terrapl'!$C$3:$K$47,5,0)</f>
        <v>06</v>
      </c>
      <c r="L1506" s="29" t="str">
        <f>VLOOKUP(G1506,'insumos terrapl'!$C$3:$K$47,6,0)</f>
        <v>00</v>
      </c>
      <c r="M1506" s="29" t="str">
        <f>VLOOKUP(G1506,'insumos terrapl'!$C$3:$K$47,7,0)</f>
        <v>00</v>
      </c>
      <c r="N1506" s="29" t="str">
        <f>VLOOKUP(G1506,'insumos terrapl'!$C$3:$K$47,8,0)</f>
        <v>00</v>
      </c>
      <c r="O1506" s="97" t="str">
        <f>VLOOKUP(G1506,'insumos terrapl'!$C$3:$K$47,9,0)</f>
        <v>00</v>
      </c>
    </row>
    <row r="1507" spans="1:15" ht="30">
      <c r="A1507" s="134"/>
      <c r="B1507" s="137"/>
      <c r="C1507" s="125"/>
      <c r="D1507" s="115"/>
      <c r="E1507" s="115"/>
      <c r="F1507" s="11" t="s">
        <v>639</v>
      </c>
      <c r="G1507" s="20" t="s">
        <v>640</v>
      </c>
      <c r="H1507" s="29" t="str">
        <f>VLOOKUP(G1507,'insumos terrapl'!$C$3:$K$47,2,0)</f>
        <v>2N  58  06  00  00  00  00</v>
      </c>
      <c r="I1507" s="29" t="str">
        <f>VLOOKUP(G1507,'insumos terrapl'!$C$3:$K$47,3,0)</f>
        <v>2N</v>
      </c>
      <c r="J1507" s="29">
        <f>VLOOKUP(G1507,'insumos terrapl'!$C$3:$K$47,4,0)</f>
        <v>58</v>
      </c>
      <c r="K1507" s="29" t="str">
        <f>VLOOKUP(G1507,'insumos terrapl'!$C$3:$K$47,5,0)</f>
        <v>06</v>
      </c>
      <c r="L1507" s="29" t="str">
        <f>VLOOKUP(G1507,'insumos terrapl'!$C$3:$K$47,6,0)</f>
        <v>00</v>
      </c>
      <c r="M1507" s="29" t="str">
        <f>VLOOKUP(G1507,'insumos terrapl'!$C$3:$K$47,7,0)</f>
        <v>00</v>
      </c>
      <c r="N1507" s="29" t="str">
        <f>VLOOKUP(G1507,'insumos terrapl'!$C$3:$K$47,8,0)</f>
        <v>00</v>
      </c>
      <c r="O1507" s="97" t="str">
        <f>VLOOKUP(G1507,'insumos terrapl'!$C$3:$K$47,9,0)</f>
        <v>00</v>
      </c>
    </row>
    <row r="1508" spans="1:15">
      <c r="A1508" s="134"/>
      <c r="B1508" s="137"/>
      <c r="C1508" s="125"/>
      <c r="D1508" s="115"/>
      <c r="E1508" s="115"/>
      <c r="F1508" s="11" t="s">
        <v>641</v>
      </c>
      <c r="G1508" s="20" t="s">
        <v>642</v>
      </c>
      <c r="H1508" s="29" t="str">
        <f>VLOOKUP(G1508,'insumos terrapl'!$C$3:$K$47,2,0)</f>
        <v>2N  58  06  00  00  00  00</v>
      </c>
      <c r="I1508" s="29" t="str">
        <f>VLOOKUP(G1508,'insumos terrapl'!$C$3:$K$47,3,0)</f>
        <v>2N</v>
      </c>
      <c r="J1508" s="29">
        <f>VLOOKUP(G1508,'insumos terrapl'!$C$3:$K$47,4,0)</f>
        <v>58</v>
      </c>
      <c r="K1508" s="29" t="str">
        <f>VLOOKUP(G1508,'insumos terrapl'!$C$3:$K$47,5,0)</f>
        <v>06</v>
      </c>
      <c r="L1508" s="29" t="str">
        <f>VLOOKUP(G1508,'insumos terrapl'!$C$3:$K$47,6,0)</f>
        <v>00</v>
      </c>
      <c r="M1508" s="29" t="str">
        <f>VLOOKUP(G1508,'insumos terrapl'!$C$3:$K$47,7,0)</f>
        <v>00</v>
      </c>
      <c r="N1508" s="29" t="str">
        <f>VLOOKUP(G1508,'insumos terrapl'!$C$3:$K$47,8,0)</f>
        <v>00</v>
      </c>
      <c r="O1508" s="97" t="str">
        <f>VLOOKUP(G1508,'insumos terrapl'!$C$3:$K$47,9,0)</f>
        <v>00</v>
      </c>
    </row>
    <row r="1509" spans="1:15">
      <c r="A1509" s="134"/>
      <c r="B1509" s="137"/>
      <c r="C1509" s="125"/>
      <c r="D1509" s="115"/>
      <c r="E1509" s="115"/>
      <c r="F1509" s="11" t="s">
        <v>619</v>
      </c>
      <c r="G1509" s="20" t="s">
        <v>620</v>
      </c>
      <c r="H1509" s="29"/>
      <c r="I1509" s="29"/>
      <c r="J1509" s="29"/>
      <c r="K1509" s="29"/>
      <c r="L1509" s="29"/>
      <c r="M1509" s="29"/>
      <c r="N1509" s="29"/>
      <c r="O1509" s="97"/>
    </row>
    <row r="1510" spans="1:15">
      <c r="A1510" s="134"/>
      <c r="B1510" s="137"/>
      <c r="C1510" s="125"/>
      <c r="D1510" s="115"/>
      <c r="E1510" s="115"/>
      <c r="F1510" s="11" t="s">
        <v>643</v>
      </c>
      <c r="G1510" s="20" t="s">
        <v>644</v>
      </c>
      <c r="H1510" s="29" t="str">
        <f>VLOOKUP(G1510,'insumos terrapl'!$C$3:$K$47,2,0)</f>
        <v>2N  58  06  00  00  00  00</v>
      </c>
      <c r="I1510" s="29" t="str">
        <f>VLOOKUP(G1510,'insumos terrapl'!$C$3:$K$47,3,0)</f>
        <v>2N</v>
      </c>
      <c r="J1510" s="29">
        <f>VLOOKUP(G1510,'insumos terrapl'!$C$3:$K$47,4,0)</f>
        <v>58</v>
      </c>
      <c r="K1510" s="29" t="str">
        <f>VLOOKUP(G1510,'insumos terrapl'!$C$3:$K$47,5,0)</f>
        <v>06</v>
      </c>
      <c r="L1510" s="29" t="str">
        <f>VLOOKUP(G1510,'insumos terrapl'!$C$3:$K$47,6,0)</f>
        <v>00</v>
      </c>
      <c r="M1510" s="29" t="str">
        <f>VLOOKUP(G1510,'insumos terrapl'!$C$3:$K$47,7,0)</f>
        <v>00</v>
      </c>
      <c r="N1510" s="29" t="str">
        <f>VLOOKUP(G1510,'insumos terrapl'!$C$3:$K$47,8,0)</f>
        <v>00</v>
      </c>
      <c r="O1510" s="97" t="str">
        <f>VLOOKUP(G1510,'insumos terrapl'!$C$3:$K$47,9,0)</f>
        <v>00</v>
      </c>
    </row>
    <row r="1511" spans="1:15">
      <c r="A1511" s="134"/>
      <c r="B1511" s="137"/>
      <c r="C1511" s="125"/>
      <c r="D1511" s="115"/>
      <c r="E1511" s="115"/>
      <c r="F1511" s="11" t="s">
        <v>645</v>
      </c>
      <c r="G1511" s="20" t="s">
        <v>646</v>
      </c>
      <c r="H1511" s="29" t="str">
        <f>VLOOKUP(G1511,'insumos terrapl'!$C$3:$K$47,2,0)</f>
        <v>2N  58  06  00  00  00  00</v>
      </c>
      <c r="I1511" s="29" t="str">
        <f>VLOOKUP(G1511,'insumos terrapl'!$C$3:$K$47,3,0)</f>
        <v>2N</v>
      </c>
      <c r="J1511" s="29">
        <f>VLOOKUP(G1511,'insumos terrapl'!$C$3:$K$47,4,0)</f>
        <v>58</v>
      </c>
      <c r="K1511" s="29" t="str">
        <f>VLOOKUP(G1511,'insumos terrapl'!$C$3:$K$47,5,0)</f>
        <v>06</v>
      </c>
      <c r="L1511" s="29" t="str">
        <f>VLOOKUP(G1511,'insumos terrapl'!$C$3:$K$47,6,0)</f>
        <v>00</v>
      </c>
      <c r="M1511" s="29" t="str">
        <f>VLOOKUP(G1511,'insumos terrapl'!$C$3:$K$47,7,0)</f>
        <v>00</v>
      </c>
      <c r="N1511" s="29" t="str">
        <f>VLOOKUP(G1511,'insumos terrapl'!$C$3:$K$47,8,0)</f>
        <v>00</v>
      </c>
      <c r="O1511" s="97" t="str">
        <f>VLOOKUP(G1511,'insumos terrapl'!$C$3:$K$47,9,0)</f>
        <v>00</v>
      </c>
    </row>
    <row r="1512" spans="1:15" ht="30">
      <c r="A1512" s="134"/>
      <c r="B1512" s="137"/>
      <c r="C1512" s="125"/>
      <c r="D1512" s="115"/>
      <c r="E1512" s="115"/>
      <c r="F1512" s="11" t="s">
        <v>647</v>
      </c>
      <c r="G1512" s="20" t="s">
        <v>648</v>
      </c>
      <c r="H1512" s="29" t="str">
        <f>VLOOKUP(G1512,'insumos terrapl'!$C$3:$K$47,2,0)</f>
        <v>2N  58  06  00  00  00  00</v>
      </c>
      <c r="I1512" s="29" t="str">
        <f>VLOOKUP(G1512,'insumos terrapl'!$C$3:$K$47,3,0)</f>
        <v>2N</v>
      </c>
      <c r="J1512" s="29">
        <f>VLOOKUP(G1512,'insumos terrapl'!$C$3:$K$47,4,0)</f>
        <v>58</v>
      </c>
      <c r="K1512" s="29" t="str">
        <f>VLOOKUP(G1512,'insumos terrapl'!$C$3:$K$47,5,0)</f>
        <v>06</v>
      </c>
      <c r="L1512" s="29" t="str">
        <f>VLOOKUP(G1512,'insumos terrapl'!$C$3:$K$47,6,0)</f>
        <v>00</v>
      </c>
      <c r="M1512" s="29" t="str">
        <f>VLOOKUP(G1512,'insumos terrapl'!$C$3:$K$47,7,0)</f>
        <v>00</v>
      </c>
      <c r="N1512" s="29" t="str">
        <f>VLOOKUP(G1512,'insumos terrapl'!$C$3:$K$47,8,0)</f>
        <v>00</v>
      </c>
      <c r="O1512" s="97" t="str">
        <f>VLOOKUP(G1512,'insumos terrapl'!$C$3:$K$47,9,0)</f>
        <v>00</v>
      </c>
    </row>
    <row r="1513" spans="1:15">
      <c r="A1513" s="134"/>
      <c r="B1513" s="137"/>
      <c r="C1513" s="125"/>
      <c r="D1513" s="115"/>
      <c r="E1513" s="115"/>
      <c r="F1513" s="11" t="s">
        <v>621</v>
      </c>
      <c r="G1513" s="20" t="s">
        <v>622</v>
      </c>
      <c r="H1513" s="29" t="str">
        <f>VLOOKUP(G1513,'insumos terrapl'!$C$3:$K$47,2,0)</f>
        <v>2N  58  06  00  00  00  00</v>
      </c>
      <c r="I1513" s="29" t="str">
        <f>VLOOKUP(G1513,'insumos terrapl'!$C$3:$K$47,3,0)</f>
        <v>2N</v>
      </c>
      <c r="J1513" s="29">
        <f>VLOOKUP(G1513,'insumos terrapl'!$C$3:$K$47,4,0)</f>
        <v>58</v>
      </c>
      <c r="K1513" s="29" t="str">
        <f>VLOOKUP(G1513,'insumos terrapl'!$C$3:$K$47,5,0)</f>
        <v>06</v>
      </c>
      <c r="L1513" s="29" t="str">
        <f>VLOOKUP(G1513,'insumos terrapl'!$C$3:$K$47,6,0)</f>
        <v>00</v>
      </c>
      <c r="M1513" s="29" t="str">
        <f>VLOOKUP(G1513,'insumos terrapl'!$C$3:$K$47,7,0)</f>
        <v>00</v>
      </c>
      <c r="N1513" s="29" t="str">
        <f>VLOOKUP(G1513,'insumos terrapl'!$C$3:$K$47,8,0)</f>
        <v>00</v>
      </c>
      <c r="O1513" s="97" t="str">
        <f>VLOOKUP(G1513,'insumos terrapl'!$C$3:$K$47,9,0)</f>
        <v>00</v>
      </c>
    </row>
    <row r="1514" spans="1:15">
      <c r="A1514" s="134"/>
      <c r="B1514" s="137"/>
      <c r="C1514" s="132"/>
      <c r="D1514" s="116"/>
      <c r="E1514" s="115"/>
      <c r="F1514" s="10"/>
      <c r="G1514" s="20"/>
      <c r="H1514" s="29"/>
      <c r="I1514" s="29"/>
      <c r="J1514" s="29"/>
      <c r="K1514" s="29"/>
      <c r="L1514" s="29"/>
      <c r="M1514" s="29"/>
      <c r="N1514" s="29"/>
      <c r="O1514" s="97"/>
    </row>
    <row r="1515" spans="1:15">
      <c r="A1515" s="134"/>
      <c r="B1515" s="137"/>
      <c r="C1515" s="124" t="s">
        <v>255</v>
      </c>
      <c r="D1515" s="114" t="str">
        <f>$A$1095</f>
        <v>2.6.8</v>
      </c>
      <c r="E1515" s="114" t="s">
        <v>513</v>
      </c>
      <c r="F1515" s="12" t="s">
        <v>255</v>
      </c>
      <c r="G1515" s="19"/>
      <c r="H1515" s="28"/>
      <c r="I1515" s="28"/>
      <c r="J1515" s="28"/>
      <c r="K1515" s="28"/>
      <c r="L1515" s="28"/>
      <c r="M1515" s="28"/>
      <c r="N1515" s="28"/>
      <c r="O1515" s="99"/>
    </row>
    <row r="1516" spans="1:15" ht="30">
      <c r="A1516" s="134"/>
      <c r="B1516" s="137"/>
      <c r="C1516" s="125"/>
      <c r="D1516" s="115"/>
      <c r="E1516" s="115"/>
      <c r="F1516" s="11" t="s">
        <v>659</v>
      </c>
      <c r="G1516" s="20" t="s">
        <v>660</v>
      </c>
      <c r="H1516" s="29" t="str">
        <f>VLOOKUP(G1516,'insumos terrapl'!$C$3:$K$47,2,0)</f>
        <v>2Q  66  10  02  00  00  00</v>
      </c>
      <c r="I1516" s="29" t="str">
        <f>VLOOKUP(G1516,'insumos terrapl'!$C$3:$K$47,3,0)</f>
        <v>2Q</v>
      </c>
      <c r="J1516" s="29">
        <f>VLOOKUP(G1516,'insumos terrapl'!$C$3:$K$47,4,0)</f>
        <v>66</v>
      </c>
      <c r="K1516" s="29" t="str">
        <f>VLOOKUP(G1516,'insumos terrapl'!$C$3:$K$47,5,0)</f>
        <v>10</v>
      </c>
      <c r="L1516" s="29" t="str">
        <f>VLOOKUP(G1516,'insumos terrapl'!$C$3:$K$47,6,0)</f>
        <v>02</v>
      </c>
      <c r="M1516" s="29" t="str">
        <f>VLOOKUP(G1516,'insumos terrapl'!$C$3:$K$47,7,0)</f>
        <v>00</v>
      </c>
      <c r="N1516" s="29" t="str">
        <f>VLOOKUP(G1516,'insumos terrapl'!$C$3:$K$47,8,0)</f>
        <v>00</v>
      </c>
      <c r="O1516" s="97" t="str">
        <f>VLOOKUP(G1516,'insumos terrapl'!$C$3:$K$47,9,0)</f>
        <v>00</v>
      </c>
    </row>
    <row r="1517" spans="1:15" ht="30">
      <c r="A1517" s="134"/>
      <c r="B1517" s="137"/>
      <c r="C1517" s="125"/>
      <c r="D1517" s="115"/>
      <c r="E1517" s="115"/>
      <c r="F1517" s="11" t="s">
        <v>661</v>
      </c>
      <c r="G1517" s="20" t="s">
        <v>662</v>
      </c>
      <c r="H1517" s="29" t="str">
        <f>VLOOKUP(G1517,'insumos terrapl'!$C$3:$K$47,2,0)</f>
        <v>2Q  62  10  06  00  00  00</v>
      </c>
      <c r="I1517" s="29" t="str">
        <f>VLOOKUP(G1517,'insumos terrapl'!$C$3:$K$47,3,0)</f>
        <v>2Q</v>
      </c>
      <c r="J1517" s="29">
        <f>VLOOKUP(G1517,'insumos terrapl'!$C$3:$K$47,4,0)</f>
        <v>62</v>
      </c>
      <c r="K1517" s="29" t="str">
        <f>VLOOKUP(G1517,'insumos terrapl'!$C$3:$K$47,5,0)</f>
        <v>10</v>
      </c>
      <c r="L1517" s="29" t="str">
        <f>VLOOKUP(G1517,'insumos terrapl'!$C$3:$K$47,6,0)</f>
        <v>06</v>
      </c>
      <c r="M1517" s="29" t="str">
        <f>VLOOKUP(G1517,'insumos terrapl'!$C$3:$K$47,7,0)</f>
        <v>00</v>
      </c>
      <c r="N1517" s="29" t="str">
        <f>VLOOKUP(G1517,'insumos terrapl'!$C$3:$K$47,8,0)</f>
        <v>00</v>
      </c>
      <c r="O1517" s="97" t="str">
        <f>VLOOKUP(G1517,'insumos terrapl'!$C$3:$K$47,9,0)</f>
        <v>00</v>
      </c>
    </row>
    <row r="1518" spans="1:15" ht="30">
      <c r="A1518" s="134"/>
      <c r="B1518" s="137"/>
      <c r="C1518" s="125"/>
      <c r="D1518" s="115"/>
      <c r="E1518" s="115"/>
      <c r="F1518" s="11" t="s">
        <v>607</v>
      </c>
      <c r="G1518" s="20" t="s">
        <v>608</v>
      </c>
      <c r="H1518" s="29" t="str">
        <f>VLOOKUP(G1518,'insumos terrapl'!$C$3:$K$47,2,0)</f>
        <v>2Q  42  06  18  02  02  00</v>
      </c>
      <c r="I1518" s="29" t="str">
        <f>VLOOKUP(G1518,'insumos terrapl'!$C$3:$K$47,3,0)</f>
        <v>2Q</v>
      </c>
      <c r="J1518" s="29">
        <f>VLOOKUP(G1518,'insumos terrapl'!$C$3:$K$47,4,0)</f>
        <v>42</v>
      </c>
      <c r="K1518" s="29" t="str">
        <f>VLOOKUP(G1518,'insumos terrapl'!$C$3:$K$47,5,0)</f>
        <v>06</v>
      </c>
      <c r="L1518" s="29">
        <f>VLOOKUP(G1518,'insumos terrapl'!$C$3:$K$47,6,0)</f>
        <v>18</v>
      </c>
      <c r="M1518" s="29" t="str">
        <f>VLOOKUP(G1518,'insumos terrapl'!$C$3:$K$47,7,0)</f>
        <v>02</v>
      </c>
      <c r="N1518" s="29" t="str">
        <f>VLOOKUP(G1518,'insumos terrapl'!$C$3:$K$47,8,0)</f>
        <v>02</v>
      </c>
      <c r="O1518" s="97" t="str">
        <f>VLOOKUP(G1518,'insumos terrapl'!$C$3:$K$47,9,0)</f>
        <v>00</v>
      </c>
    </row>
    <row r="1519" spans="1:15" ht="45">
      <c r="A1519" s="134"/>
      <c r="B1519" s="137"/>
      <c r="C1519" s="125"/>
      <c r="D1519" s="115"/>
      <c r="E1519" s="115"/>
      <c r="F1519" s="11" t="s">
        <v>609</v>
      </c>
      <c r="G1519" s="20" t="s">
        <v>610</v>
      </c>
      <c r="H1519" s="29" t="str">
        <f>VLOOKUP(G1519,'insumos terrapl'!$C$3:$K$47,2,0)</f>
        <v>2Q  42  06  02  14  02  00</v>
      </c>
      <c r="I1519" s="29" t="str">
        <f>VLOOKUP(G1519,'insumos terrapl'!$C$3:$K$47,3,0)</f>
        <v>2Q</v>
      </c>
      <c r="J1519" s="29">
        <f>VLOOKUP(G1519,'insumos terrapl'!$C$3:$K$47,4,0)</f>
        <v>42</v>
      </c>
      <c r="K1519" s="29" t="str">
        <f>VLOOKUP(G1519,'insumos terrapl'!$C$3:$K$47,5,0)</f>
        <v>06</v>
      </c>
      <c r="L1519" s="29" t="str">
        <f>VLOOKUP(G1519,'insumos terrapl'!$C$3:$K$47,6,0)</f>
        <v>02</v>
      </c>
      <c r="M1519" s="29" t="str">
        <f>VLOOKUP(G1519,'insumos terrapl'!$C$3:$K$47,7,0)</f>
        <v>14</v>
      </c>
      <c r="N1519" s="29" t="str">
        <f>VLOOKUP(G1519,'insumos terrapl'!$C$3:$K$47,8,0)</f>
        <v>02</v>
      </c>
      <c r="O1519" s="97" t="str">
        <f>VLOOKUP(G1519,'insumos terrapl'!$C$3:$K$47,9,0)</f>
        <v>00</v>
      </c>
    </row>
    <row r="1520" spans="1:15">
      <c r="A1520" s="134"/>
      <c r="B1520" s="137"/>
      <c r="C1520" s="125"/>
      <c r="D1520" s="115"/>
      <c r="E1520" s="115"/>
      <c r="F1520" s="11" t="s">
        <v>633</v>
      </c>
      <c r="G1520" s="20" t="s">
        <v>634</v>
      </c>
      <c r="H1520" s="29" t="str">
        <f>VLOOKUP(G1520,'insumos terrapl'!$C$3:$K$47,2,0)</f>
        <v>2Q  58  10  10  02  06  00</v>
      </c>
      <c r="I1520" s="29" t="str">
        <f>VLOOKUP(G1520,'insumos terrapl'!$C$3:$K$47,3,0)</f>
        <v>2Q</v>
      </c>
      <c r="J1520" s="29">
        <f>VLOOKUP(G1520,'insumos terrapl'!$C$3:$K$47,4,0)</f>
        <v>58</v>
      </c>
      <c r="K1520" s="29" t="str">
        <f>VLOOKUP(G1520,'insumos terrapl'!$C$3:$K$47,5,0)</f>
        <v>10</v>
      </c>
      <c r="L1520" s="29" t="str">
        <f>VLOOKUP(G1520,'insumos terrapl'!$C$3:$K$47,6,0)</f>
        <v>10</v>
      </c>
      <c r="M1520" s="29" t="str">
        <f>VLOOKUP(G1520,'insumos terrapl'!$C$3:$K$47,7,0)</f>
        <v>02</v>
      </c>
      <c r="N1520" s="29" t="str">
        <f>VLOOKUP(G1520,'insumos terrapl'!$C$3:$K$47,8,0)</f>
        <v>06</v>
      </c>
      <c r="O1520" s="97" t="str">
        <f>VLOOKUP(G1520,'insumos terrapl'!$C$3:$K$47,9,0)</f>
        <v>00</v>
      </c>
    </row>
    <row r="1521" spans="1:15">
      <c r="A1521" s="134"/>
      <c r="B1521" s="137"/>
      <c r="C1521" s="125"/>
      <c r="D1521" s="115"/>
      <c r="E1521" s="115"/>
      <c r="F1521" s="11" t="s">
        <v>586</v>
      </c>
      <c r="G1521" s="20" t="s">
        <v>587</v>
      </c>
      <c r="H1521" s="29" t="str">
        <f>VLOOKUP(G1521,'insumos terrapl'!$C$3:$K$47,2,0)</f>
        <v>2Q  62  30  02  14  00  00</v>
      </c>
      <c r="I1521" s="29" t="str">
        <f>VLOOKUP(G1521,'insumos terrapl'!$C$3:$K$47,3,0)</f>
        <v>2Q</v>
      </c>
      <c r="J1521" s="29">
        <f>VLOOKUP(G1521,'insumos terrapl'!$C$3:$K$47,4,0)</f>
        <v>62</v>
      </c>
      <c r="K1521" s="29">
        <f>VLOOKUP(G1521,'insumos terrapl'!$C$3:$K$47,5,0)</f>
        <v>30</v>
      </c>
      <c r="L1521" s="29" t="str">
        <f>VLOOKUP(G1521,'insumos terrapl'!$C$3:$K$47,6,0)</f>
        <v>02</v>
      </c>
      <c r="M1521" s="29" t="str">
        <f>VLOOKUP(G1521,'insumos terrapl'!$C$3:$K$47,7,0)</f>
        <v>14</v>
      </c>
      <c r="N1521" s="29" t="str">
        <f>VLOOKUP(G1521,'insumos terrapl'!$C$3:$K$47,8,0)</f>
        <v>00</v>
      </c>
      <c r="O1521" s="97" t="str">
        <f>VLOOKUP(G1521,'insumos terrapl'!$C$3:$K$47,9,0)</f>
        <v>00</v>
      </c>
    </row>
    <row r="1522" spans="1:15">
      <c r="A1522" s="134"/>
      <c r="B1522" s="137"/>
      <c r="C1522" s="125"/>
      <c r="D1522" s="115"/>
      <c r="E1522" s="115"/>
      <c r="F1522" s="11" t="s">
        <v>613</v>
      </c>
      <c r="G1522" s="20" t="s">
        <v>614</v>
      </c>
      <c r="H1522" s="29" t="str">
        <f>VLOOKUP(G1522,'insumos terrapl'!$C$3:$K$47,2,0)</f>
        <v>2N  20  14  02  00  00  00</v>
      </c>
      <c r="I1522" s="29" t="str">
        <f>VLOOKUP(G1522,'insumos terrapl'!$C$3:$K$47,3,0)</f>
        <v>2N</v>
      </c>
      <c r="J1522" s="29">
        <f>VLOOKUP(G1522,'insumos terrapl'!$C$3:$K$47,4,0)</f>
        <v>20</v>
      </c>
      <c r="K1522" s="29" t="str">
        <f>VLOOKUP(G1522,'insumos terrapl'!$C$3:$K$47,5,0)</f>
        <v>14</v>
      </c>
      <c r="L1522" s="29" t="str">
        <f>VLOOKUP(G1522,'insumos terrapl'!$C$3:$K$47,6,0)</f>
        <v>02</v>
      </c>
      <c r="M1522" s="29" t="str">
        <f>VLOOKUP(G1522,'insumos terrapl'!$C$3:$K$47,7,0)</f>
        <v>00</v>
      </c>
      <c r="N1522" s="29" t="str">
        <f>VLOOKUP(G1522,'insumos terrapl'!$C$3:$K$47,8,0)</f>
        <v>00</v>
      </c>
      <c r="O1522" s="97" t="str">
        <f>VLOOKUP(G1522,'insumos terrapl'!$C$3:$K$47,9,0)</f>
        <v>00</v>
      </c>
    </row>
    <row r="1523" spans="1:15">
      <c r="A1523" s="134"/>
      <c r="B1523" s="137"/>
      <c r="C1523" s="125"/>
      <c r="D1523" s="115"/>
      <c r="E1523" s="115"/>
      <c r="F1523" s="11" t="s">
        <v>615</v>
      </c>
      <c r="G1523" s="20" t="s">
        <v>616</v>
      </c>
      <c r="H1523" s="29" t="str">
        <f>VLOOKUP(G1523,'insumos terrapl'!$C$3:$K$47,2,0)</f>
        <v>2N  20  14  02  00  00  00</v>
      </c>
      <c r="I1523" s="29" t="str">
        <f>VLOOKUP(G1523,'insumos terrapl'!$C$3:$K$47,3,0)</f>
        <v>2N</v>
      </c>
      <c r="J1523" s="29">
        <f>VLOOKUP(G1523,'insumos terrapl'!$C$3:$K$47,4,0)</f>
        <v>20</v>
      </c>
      <c r="K1523" s="29" t="str">
        <f>VLOOKUP(G1523,'insumos terrapl'!$C$3:$K$47,5,0)</f>
        <v>14</v>
      </c>
      <c r="L1523" s="29" t="str">
        <f>VLOOKUP(G1523,'insumos terrapl'!$C$3:$K$47,6,0)</f>
        <v>02</v>
      </c>
      <c r="M1523" s="29" t="str">
        <f>VLOOKUP(G1523,'insumos terrapl'!$C$3:$K$47,7,0)</f>
        <v>00</v>
      </c>
      <c r="N1523" s="29" t="str">
        <f>VLOOKUP(G1523,'insumos terrapl'!$C$3:$K$47,8,0)</f>
        <v>00</v>
      </c>
      <c r="O1523" s="97" t="str">
        <f>VLOOKUP(G1523,'insumos terrapl'!$C$3:$K$47,9,0)</f>
        <v>00</v>
      </c>
    </row>
    <row r="1524" spans="1:15" ht="30">
      <c r="A1524" s="134"/>
      <c r="B1524" s="137"/>
      <c r="C1524" s="125"/>
      <c r="D1524" s="115"/>
      <c r="E1524" s="115"/>
      <c r="F1524" s="11" t="s">
        <v>635</v>
      </c>
      <c r="G1524" s="20" t="s">
        <v>636</v>
      </c>
      <c r="H1524" s="29" t="str">
        <f>VLOOKUP(G1524,'insumos terrapl'!$C$3:$K$47,2,0)</f>
        <v>2N  58  06  00  00  00  00</v>
      </c>
      <c r="I1524" s="29" t="str">
        <f>VLOOKUP(G1524,'insumos terrapl'!$C$3:$K$47,3,0)</f>
        <v>2N</v>
      </c>
      <c r="J1524" s="29">
        <f>VLOOKUP(G1524,'insumos terrapl'!$C$3:$K$47,4,0)</f>
        <v>58</v>
      </c>
      <c r="K1524" s="29" t="str">
        <f>VLOOKUP(G1524,'insumos terrapl'!$C$3:$K$47,5,0)</f>
        <v>06</v>
      </c>
      <c r="L1524" s="29" t="str">
        <f>VLOOKUP(G1524,'insumos terrapl'!$C$3:$K$47,6,0)</f>
        <v>00</v>
      </c>
      <c r="M1524" s="29" t="str">
        <f>VLOOKUP(G1524,'insumos terrapl'!$C$3:$K$47,7,0)</f>
        <v>00</v>
      </c>
      <c r="N1524" s="29" t="str">
        <f>VLOOKUP(G1524,'insumos terrapl'!$C$3:$K$47,8,0)</f>
        <v>00</v>
      </c>
      <c r="O1524" s="97" t="str">
        <f>VLOOKUP(G1524,'insumos terrapl'!$C$3:$K$47,9,0)</f>
        <v>00</v>
      </c>
    </row>
    <row r="1525" spans="1:15">
      <c r="A1525" s="134"/>
      <c r="B1525" s="137"/>
      <c r="C1525" s="125"/>
      <c r="D1525" s="115"/>
      <c r="E1525" s="115"/>
      <c r="F1525" s="11" t="s">
        <v>617</v>
      </c>
      <c r="G1525" s="20" t="s">
        <v>618</v>
      </c>
      <c r="H1525" s="29" t="str">
        <f>VLOOKUP(G1525,'insumos terrapl'!$C$3:$K$47,2,0)</f>
        <v>2Q  58  06  02  28  00  00</v>
      </c>
      <c r="I1525" s="29" t="str">
        <f>VLOOKUP(G1525,'insumos terrapl'!$C$3:$K$47,3,0)</f>
        <v>2Q</v>
      </c>
      <c r="J1525" s="29">
        <f>VLOOKUP(G1525,'insumos terrapl'!$C$3:$K$47,4,0)</f>
        <v>58</v>
      </c>
      <c r="K1525" s="29" t="str">
        <f>VLOOKUP(G1525,'insumos terrapl'!$C$3:$K$47,5,0)</f>
        <v>06</v>
      </c>
      <c r="L1525" s="29" t="str">
        <f>VLOOKUP(G1525,'insumos terrapl'!$C$3:$K$47,6,0)</f>
        <v>02</v>
      </c>
      <c r="M1525" s="29" t="str">
        <f>VLOOKUP(G1525,'insumos terrapl'!$C$3:$K$47,7,0)</f>
        <v>28</v>
      </c>
      <c r="N1525" s="29" t="str">
        <f>VLOOKUP(G1525,'insumos terrapl'!$C$3:$K$47,8,0)</f>
        <v>00</v>
      </c>
      <c r="O1525" s="97" t="str">
        <f>VLOOKUP(G1525,'insumos terrapl'!$C$3:$K$47,9,0)</f>
        <v>00</v>
      </c>
    </row>
    <row r="1526" spans="1:15" ht="30">
      <c r="A1526" s="134"/>
      <c r="B1526" s="137"/>
      <c r="C1526" s="125"/>
      <c r="D1526" s="115"/>
      <c r="E1526" s="115"/>
      <c r="F1526" s="11" t="s">
        <v>637</v>
      </c>
      <c r="G1526" s="20" t="s">
        <v>638</v>
      </c>
      <c r="H1526" s="29" t="str">
        <f>VLOOKUP(G1526,'insumos terrapl'!$C$3:$K$47,2,0)</f>
        <v>2N  58  06  00  00  00  00</v>
      </c>
      <c r="I1526" s="29" t="str">
        <f>VLOOKUP(G1526,'insumos terrapl'!$C$3:$K$47,3,0)</f>
        <v>2N</v>
      </c>
      <c r="J1526" s="29">
        <f>VLOOKUP(G1526,'insumos terrapl'!$C$3:$K$47,4,0)</f>
        <v>58</v>
      </c>
      <c r="K1526" s="29" t="str">
        <f>VLOOKUP(G1526,'insumos terrapl'!$C$3:$K$47,5,0)</f>
        <v>06</v>
      </c>
      <c r="L1526" s="29" t="str">
        <f>VLOOKUP(G1526,'insumos terrapl'!$C$3:$K$47,6,0)</f>
        <v>00</v>
      </c>
      <c r="M1526" s="29" t="str">
        <f>VLOOKUP(G1526,'insumos terrapl'!$C$3:$K$47,7,0)</f>
        <v>00</v>
      </c>
      <c r="N1526" s="29" t="str">
        <f>VLOOKUP(G1526,'insumos terrapl'!$C$3:$K$47,8,0)</f>
        <v>00</v>
      </c>
      <c r="O1526" s="97" t="str">
        <f>VLOOKUP(G1526,'insumos terrapl'!$C$3:$K$47,9,0)</f>
        <v>00</v>
      </c>
    </row>
    <row r="1527" spans="1:15" ht="30">
      <c r="A1527" s="134"/>
      <c r="B1527" s="137"/>
      <c r="C1527" s="125"/>
      <c r="D1527" s="115"/>
      <c r="E1527" s="115"/>
      <c r="F1527" s="11" t="s">
        <v>639</v>
      </c>
      <c r="G1527" s="20" t="s">
        <v>640</v>
      </c>
      <c r="H1527" s="29" t="str">
        <f>VLOOKUP(G1527,'insumos terrapl'!$C$3:$K$47,2,0)</f>
        <v>2N  58  06  00  00  00  00</v>
      </c>
      <c r="I1527" s="29" t="str">
        <f>VLOOKUP(G1527,'insumos terrapl'!$C$3:$K$47,3,0)</f>
        <v>2N</v>
      </c>
      <c r="J1527" s="29">
        <f>VLOOKUP(G1527,'insumos terrapl'!$C$3:$K$47,4,0)</f>
        <v>58</v>
      </c>
      <c r="K1527" s="29" t="str">
        <f>VLOOKUP(G1527,'insumos terrapl'!$C$3:$K$47,5,0)</f>
        <v>06</v>
      </c>
      <c r="L1527" s="29" t="str">
        <f>VLOOKUP(G1527,'insumos terrapl'!$C$3:$K$47,6,0)</f>
        <v>00</v>
      </c>
      <c r="M1527" s="29" t="str">
        <f>VLOOKUP(G1527,'insumos terrapl'!$C$3:$K$47,7,0)</f>
        <v>00</v>
      </c>
      <c r="N1527" s="29" t="str">
        <f>VLOOKUP(G1527,'insumos terrapl'!$C$3:$K$47,8,0)</f>
        <v>00</v>
      </c>
      <c r="O1527" s="97" t="str">
        <f>VLOOKUP(G1527,'insumos terrapl'!$C$3:$K$47,9,0)</f>
        <v>00</v>
      </c>
    </row>
    <row r="1528" spans="1:15">
      <c r="A1528" s="134"/>
      <c r="B1528" s="137"/>
      <c r="C1528" s="125"/>
      <c r="D1528" s="115"/>
      <c r="E1528" s="115"/>
      <c r="F1528" s="11" t="s">
        <v>641</v>
      </c>
      <c r="G1528" s="20" t="s">
        <v>642</v>
      </c>
      <c r="H1528" s="29" t="str">
        <f>VLOOKUP(G1528,'insumos terrapl'!$C$3:$K$47,2,0)</f>
        <v>2N  58  06  00  00  00  00</v>
      </c>
      <c r="I1528" s="29" t="str">
        <f>VLOOKUP(G1528,'insumos terrapl'!$C$3:$K$47,3,0)</f>
        <v>2N</v>
      </c>
      <c r="J1528" s="29">
        <f>VLOOKUP(G1528,'insumos terrapl'!$C$3:$K$47,4,0)</f>
        <v>58</v>
      </c>
      <c r="K1528" s="29" t="str">
        <f>VLOOKUP(G1528,'insumos terrapl'!$C$3:$K$47,5,0)</f>
        <v>06</v>
      </c>
      <c r="L1528" s="29" t="str">
        <f>VLOOKUP(G1528,'insumos terrapl'!$C$3:$K$47,6,0)</f>
        <v>00</v>
      </c>
      <c r="M1528" s="29" t="str">
        <f>VLOOKUP(G1528,'insumos terrapl'!$C$3:$K$47,7,0)</f>
        <v>00</v>
      </c>
      <c r="N1528" s="29" t="str">
        <f>VLOOKUP(G1528,'insumos terrapl'!$C$3:$K$47,8,0)</f>
        <v>00</v>
      </c>
      <c r="O1528" s="97" t="str">
        <f>VLOOKUP(G1528,'insumos terrapl'!$C$3:$K$47,9,0)</f>
        <v>00</v>
      </c>
    </row>
    <row r="1529" spans="1:15">
      <c r="A1529" s="134"/>
      <c r="B1529" s="137"/>
      <c r="C1529" s="125"/>
      <c r="D1529" s="115"/>
      <c r="E1529" s="115"/>
      <c r="F1529" s="11" t="s">
        <v>619</v>
      </c>
      <c r="G1529" s="20" t="s">
        <v>620</v>
      </c>
      <c r="H1529" s="29"/>
      <c r="I1529" s="29"/>
      <c r="J1529" s="29"/>
      <c r="K1529" s="29"/>
      <c r="L1529" s="29"/>
      <c r="M1529" s="29"/>
      <c r="N1529" s="29"/>
      <c r="O1529" s="97"/>
    </row>
    <row r="1530" spans="1:15">
      <c r="A1530" s="134"/>
      <c r="B1530" s="137"/>
      <c r="C1530" s="125"/>
      <c r="D1530" s="115"/>
      <c r="E1530" s="115"/>
      <c r="F1530" s="11" t="s">
        <v>643</v>
      </c>
      <c r="G1530" s="20" t="s">
        <v>644</v>
      </c>
      <c r="H1530" s="29" t="str">
        <f>VLOOKUP(G1530,'insumos terrapl'!$C$3:$K$47,2,0)</f>
        <v>2N  58  06  00  00  00  00</v>
      </c>
      <c r="I1530" s="29" t="str">
        <f>VLOOKUP(G1530,'insumos terrapl'!$C$3:$K$47,3,0)</f>
        <v>2N</v>
      </c>
      <c r="J1530" s="29">
        <f>VLOOKUP(G1530,'insumos terrapl'!$C$3:$K$47,4,0)</f>
        <v>58</v>
      </c>
      <c r="K1530" s="29" t="str">
        <f>VLOOKUP(G1530,'insumos terrapl'!$C$3:$K$47,5,0)</f>
        <v>06</v>
      </c>
      <c r="L1530" s="29" t="str">
        <f>VLOOKUP(G1530,'insumos terrapl'!$C$3:$K$47,6,0)</f>
        <v>00</v>
      </c>
      <c r="M1530" s="29" t="str">
        <f>VLOOKUP(G1530,'insumos terrapl'!$C$3:$K$47,7,0)</f>
        <v>00</v>
      </c>
      <c r="N1530" s="29" t="str">
        <f>VLOOKUP(G1530,'insumos terrapl'!$C$3:$K$47,8,0)</f>
        <v>00</v>
      </c>
      <c r="O1530" s="97" t="str">
        <f>VLOOKUP(G1530,'insumos terrapl'!$C$3:$K$47,9,0)</f>
        <v>00</v>
      </c>
    </row>
    <row r="1531" spans="1:15">
      <c r="A1531" s="134"/>
      <c r="B1531" s="137"/>
      <c r="C1531" s="125"/>
      <c r="D1531" s="115"/>
      <c r="E1531" s="115"/>
      <c r="F1531" s="11" t="s">
        <v>645</v>
      </c>
      <c r="G1531" s="20" t="s">
        <v>646</v>
      </c>
      <c r="H1531" s="29" t="str">
        <f>VLOOKUP(G1531,'insumos terrapl'!$C$3:$K$47,2,0)</f>
        <v>2N  58  06  00  00  00  00</v>
      </c>
      <c r="I1531" s="29" t="str">
        <f>VLOOKUP(G1531,'insumos terrapl'!$C$3:$K$47,3,0)</f>
        <v>2N</v>
      </c>
      <c r="J1531" s="29">
        <f>VLOOKUP(G1531,'insumos terrapl'!$C$3:$K$47,4,0)</f>
        <v>58</v>
      </c>
      <c r="K1531" s="29" t="str">
        <f>VLOOKUP(G1531,'insumos terrapl'!$C$3:$K$47,5,0)</f>
        <v>06</v>
      </c>
      <c r="L1531" s="29" t="str">
        <f>VLOOKUP(G1531,'insumos terrapl'!$C$3:$K$47,6,0)</f>
        <v>00</v>
      </c>
      <c r="M1531" s="29" t="str">
        <f>VLOOKUP(G1531,'insumos terrapl'!$C$3:$K$47,7,0)</f>
        <v>00</v>
      </c>
      <c r="N1531" s="29" t="str">
        <f>VLOOKUP(G1531,'insumos terrapl'!$C$3:$K$47,8,0)</f>
        <v>00</v>
      </c>
      <c r="O1531" s="97" t="str">
        <f>VLOOKUP(G1531,'insumos terrapl'!$C$3:$K$47,9,0)</f>
        <v>00</v>
      </c>
    </row>
    <row r="1532" spans="1:15" ht="30">
      <c r="A1532" s="134"/>
      <c r="B1532" s="137"/>
      <c r="C1532" s="125"/>
      <c r="D1532" s="115"/>
      <c r="E1532" s="115"/>
      <c r="F1532" s="11" t="s">
        <v>647</v>
      </c>
      <c r="G1532" s="20" t="s">
        <v>648</v>
      </c>
      <c r="H1532" s="29" t="str">
        <f>VLOOKUP(G1532,'insumos terrapl'!$C$3:$K$47,2,0)</f>
        <v>2N  58  06  00  00  00  00</v>
      </c>
      <c r="I1532" s="29" t="str">
        <f>VLOOKUP(G1532,'insumos terrapl'!$C$3:$K$47,3,0)</f>
        <v>2N</v>
      </c>
      <c r="J1532" s="29">
        <f>VLOOKUP(G1532,'insumos terrapl'!$C$3:$K$47,4,0)</f>
        <v>58</v>
      </c>
      <c r="K1532" s="29" t="str">
        <f>VLOOKUP(G1532,'insumos terrapl'!$C$3:$K$47,5,0)</f>
        <v>06</v>
      </c>
      <c r="L1532" s="29" t="str">
        <f>VLOOKUP(G1532,'insumos terrapl'!$C$3:$K$47,6,0)</f>
        <v>00</v>
      </c>
      <c r="M1532" s="29" t="str">
        <f>VLOOKUP(G1532,'insumos terrapl'!$C$3:$K$47,7,0)</f>
        <v>00</v>
      </c>
      <c r="N1532" s="29" t="str">
        <f>VLOOKUP(G1532,'insumos terrapl'!$C$3:$K$47,8,0)</f>
        <v>00</v>
      </c>
      <c r="O1532" s="97" t="str">
        <f>VLOOKUP(G1532,'insumos terrapl'!$C$3:$K$47,9,0)</f>
        <v>00</v>
      </c>
    </row>
    <row r="1533" spans="1:15">
      <c r="A1533" s="134"/>
      <c r="B1533" s="137"/>
      <c r="C1533" s="125"/>
      <c r="D1533" s="115"/>
      <c r="E1533" s="115"/>
      <c r="F1533" s="11" t="s">
        <v>621</v>
      </c>
      <c r="G1533" s="20" t="s">
        <v>622</v>
      </c>
      <c r="H1533" s="29" t="str">
        <f>VLOOKUP(G1533,'insumos terrapl'!$C$3:$K$47,2,0)</f>
        <v>2N  58  06  00  00  00  00</v>
      </c>
      <c r="I1533" s="29" t="str">
        <f>VLOOKUP(G1533,'insumos terrapl'!$C$3:$K$47,3,0)</f>
        <v>2N</v>
      </c>
      <c r="J1533" s="29">
        <f>VLOOKUP(G1533,'insumos terrapl'!$C$3:$K$47,4,0)</f>
        <v>58</v>
      </c>
      <c r="K1533" s="29" t="str">
        <f>VLOOKUP(G1533,'insumos terrapl'!$C$3:$K$47,5,0)</f>
        <v>06</v>
      </c>
      <c r="L1533" s="29" t="str">
        <f>VLOOKUP(G1533,'insumos terrapl'!$C$3:$K$47,6,0)</f>
        <v>00</v>
      </c>
      <c r="M1533" s="29" t="str">
        <f>VLOOKUP(G1533,'insumos terrapl'!$C$3:$K$47,7,0)</f>
        <v>00</v>
      </c>
      <c r="N1533" s="29" t="str">
        <f>VLOOKUP(G1533,'insumos terrapl'!$C$3:$K$47,8,0)</f>
        <v>00</v>
      </c>
      <c r="O1533" s="97" t="str">
        <f>VLOOKUP(G1533,'insumos terrapl'!$C$3:$K$47,9,0)</f>
        <v>00</v>
      </c>
    </row>
    <row r="1534" spans="1:15">
      <c r="A1534" s="134"/>
      <c r="B1534" s="137"/>
      <c r="C1534" s="132"/>
      <c r="D1534" s="116"/>
      <c r="E1534" s="116"/>
      <c r="F1534" s="13"/>
      <c r="G1534" s="21"/>
      <c r="H1534" s="31"/>
      <c r="I1534" s="31"/>
      <c r="J1534" s="31"/>
      <c r="K1534" s="31"/>
      <c r="L1534" s="31"/>
      <c r="M1534" s="31"/>
      <c r="N1534" s="31"/>
      <c r="O1534" s="98"/>
    </row>
    <row r="1535" spans="1:15">
      <c r="A1535" s="134"/>
      <c r="B1535" s="137"/>
      <c r="C1535" s="124" t="s">
        <v>256</v>
      </c>
      <c r="D1535" s="114" t="str">
        <f>$A$1095</f>
        <v>2.6.8</v>
      </c>
      <c r="E1535" s="115" t="s">
        <v>514</v>
      </c>
      <c r="F1535" s="11" t="s">
        <v>256</v>
      </c>
      <c r="G1535" s="20"/>
      <c r="H1535" s="29"/>
      <c r="I1535" s="29"/>
      <c r="J1535" s="29"/>
      <c r="K1535" s="29"/>
      <c r="L1535" s="29"/>
      <c r="M1535" s="29"/>
      <c r="N1535" s="29"/>
      <c r="O1535" s="97"/>
    </row>
    <row r="1536" spans="1:15" ht="30">
      <c r="A1536" s="134"/>
      <c r="B1536" s="137"/>
      <c r="C1536" s="125"/>
      <c r="D1536" s="115"/>
      <c r="E1536" s="115"/>
      <c r="F1536" s="11" t="s">
        <v>659</v>
      </c>
      <c r="G1536" s="20" t="s">
        <v>660</v>
      </c>
      <c r="H1536" s="29" t="str">
        <f>VLOOKUP(G1536,'insumos terrapl'!$C$3:$K$47,2,0)</f>
        <v>2Q  66  10  02  00  00  00</v>
      </c>
      <c r="I1536" s="29" t="str">
        <f>VLOOKUP(G1536,'insumos terrapl'!$C$3:$K$47,3,0)</f>
        <v>2Q</v>
      </c>
      <c r="J1536" s="29">
        <f>VLOOKUP(G1536,'insumos terrapl'!$C$3:$K$47,4,0)</f>
        <v>66</v>
      </c>
      <c r="K1536" s="29" t="str">
        <f>VLOOKUP(G1536,'insumos terrapl'!$C$3:$K$47,5,0)</f>
        <v>10</v>
      </c>
      <c r="L1536" s="29" t="str">
        <f>VLOOKUP(G1536,'insumos terrapl'!$C$3:$K$47,6,0)</f>
        <v>02</v>
      </c>
      <c r="M1536" s="29" t="str">
        <f>VLOOKUP(G1536,'insumos terrapl'!$C$3:$K$47,7,0)</f>
        <v>00</v>
      </c>
      <c r="N1536" s="29" t="str">
        <f>VLOOKUP(G1536,'insumos terrapl'!$C$3:$K$47,8,0)</f>
        <v>00</v>
      </c>
      <c r="O1536" s="97" t="str">
        <f>VLOOKUP(G1536,'insumos terrapl'!$C$3:$K$47,9,0)</f>
        <v>00</v>
      </c>
    </row>
    <row r="1537" spans="1:15" ht="30">
      <c r="A1537" s="134"/>
      <c r="B1537" s="137"/>
      <c r="C1537" s="125"/>
      <c r="D1537" s="115"/>
      <c r="E1537" s="115"/>
      <c r="F1537" s="11" t="s">
        <v>661</v>
      </c>
      <c r="G1537" s="20" t="s">
        <v>662</v>
      </c>
      <c r="H1537" s="29" t="str">
        <f>VLOOKUP(G1537,'insumos terrapl'!$C$3:$K$47,2,0)</f>
        <v>2Q  62  10  06  00  00  00</v>
      </c>
      <c r="I1537" s="29" t="str">
        <f>VLOOKUP(G1537,'insumos terrapl'!$C$3:$K$47,3,0)</f>
        <v>2Q</v>
      </c>
      <c r="J1537" s="29">
        <f>VLOOKUP(G1537,'insumos terrapl'!$C$3:$K$47,4,0)</f>
        <v>62</v>
      </c>
      <c r="K1537" s="29" t="str">
        <f>VLOOKUP(G1537,'insumos terrapl'!$C$3:$K$47,5,0)</f>
        <v>10</v>
      </c>
      <c r="L1537" s="29" t="str">
        <f>VLOOKUP(G1537,'insumos terrapl'!$C$3:$K$47,6,0)</f>
        <v>06</v>
      </c>
      <c r="M1537" s="29" t="str">
        <f>VLOOKUP(G1537,'insumos terrapl'!$C$3:$K$47,7,0)</f>
        <v>00</v>
      </c>
      <c r="N1537" s="29" t="str">
        <f>VLOOKUP(G1537,'insumos terrapl'!$C$3:$K$47,8,0)</f>
        <v>00</v>
      </c>
      <c r="O1537" s="97" t="str">
        <f>VLOOKUP(G1537,'insumos terrapl'!$C$3:$K$47,9,0)</f>
        <v>00</v>
      </c>
    </row>
    <row r="1538" spans="1:15" ht="30">
      <c r="A1538" s="134"/>
      <c r="B1538" s="137"/>
      <c r="C1538" s="125"/>
      <c r="D1538" s="115"/>
      <c r="E1538" s="115"/>
      <c r="F1538" s="11" t="s">
        <v>607</v>
      </c>
      <c r="G1538" s="20" t="s">
        <v>608</v>
      </c>
      <c r="H1538" s="29" t="str">
        <f>VLOOKUP(G1538,'insumos terrapl'!$C$3:$K$47,2,0)</f>
        <v>2Q  42  06  18  02  02  00</v>
      </c>
      <c r="I1538" s="29" t="str">
        <f>VLOOKUP(G1538,'insumos terrapl'!$C$3:$K$47,3,0)</f>
        <v>2Q</v>
      </c>
      <c r="J1538" s="29">
        <f>VLOOKUP(G1538,'insumos terrapl'!$C$3:$K$47,4,0)</f>
        <v>42</v>
      </c>
      <c r="K1538" s="29" t="str">
        <f>VLOOKUP(G1538,'insumos terrapl'!$C$3:$K$47,5,0)</f>
        <v>06</v>
      </c>
      <c r="L1538" s="29">
        <f>VLOOKUP(G1538,'insumos terrapl'!$C$3:$K$47,6,0)</f>
        <v>18</v>
      </c>
      <c r="M1538" s="29" t="str">
        <f>VLOOKUP(G1538,'insumos terrapl'!$C$3:$K$47,7,0)</f>
        <v>02</v>
      </c>
      <c r="N1538" s="29" t="str">
        <f>VLOOKUP(G1538,'insumos terrapl'!$C$3:$K$47,8,0)</f>
        <v>02</v>
      </c>
      <c r="O1538" s="97" t="str">
        <f>VLOOKUP(G1538,'insumos terrapl'!$C$3:$K$47,9,0)</f>
        <v>00</v>
      </c>
    </row>
    <row r="1539" spans="1:15" ht="45">
      <c r="A1539" s="134"/>
      <c r="B1539" s="137"/>
      <c r="C1539" s="125"/>
      <c r="D1539" s="115"/>
      <c r="E1539" s="115"/>
      <c r="F1539" s="11" t="s">
        <v>609</v>
      </c>
      <c r="G1539" s="20" t="s">
        <v>610</v>
      </c>
      <c r="H1539" s="29" t="str">
        <f>VLOOKUP(G1539,'insumos terrapl'!$C$3:$K$47,2,0)</f>
        <v>2Q  42  06  02  14  02  00</v>
      </c>
      <c r="I1539" s="29" t="str">
        <f>VLOOKUP(G1539,'insumos terrapl'!$C$3:$K$47,3,0)</f>
        <v>2Q</v>
      </c>
      <c r="J1539" s="29">
        <f>VLOOKUP(G1539,'insumos terrapl'!$C$3:$K$47,4,0)</f>
        <v>42</v>
      </c>
      <c r="K1539" s="29" t="str">
        <f>VLOOKUP(G1539,'insumos terrapl'!$C$3:$K$47,5,0)</f>
        <v>06</v>
      </c>
      <c r="L1539" s="29" t="str">
        <f>VLOOKUP(G1539,'insumos terrapl'!$C$3:$K$47,6,0)</f>
        <v>02</v>
      </c>
      <c r="M1539" s="29" t="str">
        <f>VLOOKUP(G1539,'insumos terrapl'!$C$3:$K$47,7,0)</f>
        <v>14</v>
      </c>
      <c r="N1539" s="29" t="str">
        <f>VLOOKUP(G1539,'insumos terrapl'!$C$3:$K$47,8,0)</f>
        <v>02</v>
      </c>
      <c r="O1539" s="97" t="str">
        <f>VLOOKUP(G1539,'insumos terrapl'!$C$3:$K$47,9,0)</f>
        <v>00</v>
      </c>
    </row>
    <row r="1540" spans="1:15">
      <c r="A1540" s="134"/>
      <c r="B1540" s="137"/>
      <c r="C1540" s="125"/>
      <c r="D1540" s="115"/>
      <c r="E1540" s="115"/>
      <c r="F1540" s="11" t="s">
        <v>633</v>
      </c>
      <c r="G1540" s="20" t="s">
        <v>634</v>
      </c>
      <c r="H1540" s="29" t="str">
        <f>VLOOKUP(G1540,'insumos terrapl'!$C$3:$K$47,2,0)</f>
        <v>2Q  58  10  10  02  06  00</v>
      </c>
      <c r="I1540" s="29" t="str">
        <f>VLOOKUP(G1540,'insumos terrapl'!$C$3:$K$47,3,0)</f>
        <v>2Q</v>
      </c>
      <c r="J1540" s="29">
        <f>VLOOKUP(G1540,'insumos terrapl'!$C$3:$K$47,4,0)</f>
        <v>58</v>
      </c>
      <c r="K1540" s="29" t="str">
        <f>VLOOKUP(G1540,'insumos terrapl'!$C$3:$K$47,5,0)</f>
        <v>10</v>
      </c>
      <c r="L1540" s="29" t="str">
        <f>VLOOKUP(G1540,'insumos terrapl'!$C$3:$K$47,6,0)</f>
        <v>10</v>
      </c>
      <c r="M1540" s="29" t="str">
        <f>VLOOKUP(G1540,'insumos terrapl'!$C$3:$K$47,7,0)</f>
        <v>02</v>
      </c>
      <c r="N1540" s="29" t="str">
        <f>VLOOKUP(G1540,'insumos terrapl'!$C$3:$K$47,8,0)</f>
        <v>06</v>
      </c>
      <c r="O1540" s="97" t="str">
        <f>VLOOKUP(G1540,'insumos terrapl'!$C$3:$K$47,9,0)</f>
        <v>00</v>
      </c>
    </row>
    <row r="1541" spans="1:15">
      <c r="A1541" s="134"/>
      <c r="B1541" s="137"/>
      <c r="C1541" s="125"/>
      <c r="D1541" s="115"/>
      <c r="E1541" s="115"/>
      <c r="F1541" s="11" t="s">
        <v>586</v>
      </c>
      <c r="G1541" s="20" t="s">
        <v>587</v>
      </c>
      <c r="H1541" s="29" t="str">
        <f>VLOOKUP(G1541,'insumos terrapl'!$C$3:$K$47,2,0)</f>
        <v>2Q  62  30  02  14  00  00</v>
      </c>
      <c r="I1541" s="29" t="str">
        <f>VLOOKUP(G1541,'insumos terrapl'!$C$3:$K$47,3,0)</f>
        <v>2Q</v>
      </c>
      <c r="J1541" s="29">
        <f>VLOOKUP(G1541,'insumos terrapl'!$C$3:$K$47,4,0)</f>
        <v>62</v>
      </c>
      <c r="K1541" s="29">
        <f>VLOOKUP(G1541,'insumos terrapl'!$C$3:$K$47,5,0)</f>
        <v>30</v>
      </c>
      <c r="L1541" s="29" t="str">
        <f>VLOOKUP(G1541,'insumos terrapl'!$C$3:$K$47,6,0)</f>
        <v>02</v>
      </c>
      <c r="M1541" s="29" t="str">
        <f>VLOOKUP(G1541,'insumos terrapl'!$C$3:$K$47,7,0)</f>
        <v>14</v>
      </c>
      <c r="N1541" s="29" t="str">
        <f>VLOOKUP(G1541,'insumos terrapl'!$C$3:$K$47,8,0)</f>
        <v>00</v>
      </c>
      <c r="O1541" s="97" t="str">
        <f>VLOOKUP(G1541,'insumos terrapl'!$C$3:$K$47,9,0)</f>
        <v>00</v>
      </c>
    </row>
    <row r="1542" spans="1:15">
      <c r="A1542" s="134"/>
      <c r="B1542" s="137"/>
      <c r="C1542" s="125"/>
      <c r="D1542" s="115"/>
      <c r="E1542" s="115"/>
      <c r="F1542" s="11" t="s">
        <v>613</v>
      </c>
      <c r="G1542" s="20" t="s">
        <v>614</v>
      </c>
      <c r="H1542" s="29" t="str">
        <f>VLOOKUP(G1542,'insumos terrapl'!$C$3:$K$47,2,0)</f>
        <v>2N  20  14  02  00  00  00</v>
      </c>
      <c r="I1542" s="29" t="str">
        <f>VLOOKUP(G1542,'insumos terrapl'!$C$3:$K$47,3,0)</f>
        <v>2N</v>
      </c>
      <c r="J1542" s="29">
        <f>VLOOKUP(G1542,'insumos terrapl'!$C$3:$K$47,4,0)</f>
        <v>20</v>
      </c>
      <c r="K1542" s="29" t="str">
        <f>VLOOKUP(G1542,'insumos terrapl'!$C$3:$K$47,5,0)</f>
        <v>14</v>
      </c>
      <c r="L1542" s="29" t="str">
        <f>VLOOKUP(G1542,'insumos terrapl'!$C$3:$K$47,6,0)</f>
        <v>02</v>
      </c>
      <c r="M1542" s="29" t="str">
        <f>VLOOKUP(G1542,'insumos terrapl'!$C$3:$K$47,7,0)</f>
        <v>00</v>
      </c>
      <c r="N1542" s="29" t="str">
        <f>VLOOKUP(G1542,'insumos terrapl'!$C$3:$K$47,8,0)</f>
        <v>00</v>
      </c>
      <c r="O1542" s="97" t="str">
        <f>VLOOKUP(G1542,'insumos terrapl'!$C$3:$K$47,9,0)</f>
        <v>00</v>
      </c>
    </row>
    <row r="1543" spans="1:15">
      <c r="A1543" s="134"/>
      <c r="B1543" s="137"/>
      <c r="C1543" s="125"/>
      <c r="D1543" s="115"/>
      <c r="E1543" s="115"/>
      <c r="F1543" s="11" t="s">
        <v>615</v>
      </c>
      <c r="G1543" s="20" t="s">
        <v>616</v>
      </c>
      <c r="H1543" s="29" t="str">
        <f>VLOOKUP(G1543,'insumos terrapl'!$C$3:$K$47,2,0)</f>
        <v>2N  20  14  02  00  00  00</v>
      </c>
      <c r="I1543" s="29" t="str">
        <f>VLOOKUP(G1543,'insumos terrapl'!$C$3:$K$47,3,0)</f>
        <v>2N</v>
      </c>
      <c r="J1543" s="29">
        <f>VLOOKUP(G1543,'insumos terrapl'!$C$3:$K$47,4,0)</f>
        <v>20</v>
      </c>
      <c r="K1543" s="29" t="str">
        <f>VLOOKUP(G1543,'insumos terrapl'!$C$3:$K$47,5,0)</f>
        <v>14</v>
      </c>
      <c r="L1543" s="29" t="str">
        <f>VLOOKUP(G1543,'insumos terrapl'!$C$3:$K$47,6,0)</f>
        <v>02</v>
      </c>
      <c r="M1543" s="29" t="str">
        <f>VLOOKUP(G1543,'insumos terrapl'!$C$3:$K$47,7,0)</f>
        <v>00</v>
      </c>
      <c r="N1543" s="29" t="str">
        <f>VLOOKUP(G1543,'insumos terrapl'!$C$3:$K$47,8,0)</f>
        <v>00</v>
      </c>
      <c r="O1543" s="97" t="str">
        <f>VLOOKUP(G1543,'insumos terrapl'!$C$3:$K$47,9,0)</f>
        <v>00</v>
      </c>
    </row>
    <row r="1544" spans="1:15" ht="30">
      <c r="A1544" s="134"/>
      <c r="B1544" s="137"/>
      <c r="C1544" s="125"/>
      <c r="D1544" s="115"/>
      <c r="E1544" s="115"/>
      <c r="F1544" s="11" t="s">
        <v>635</v>
      </c>
      <c r="G1544" s="20" t="s">
        <v>636</v>
      </c>
      <c r="H1544" s="29" t="str">
        <f>VLOOKUP(G1544,'insumos terrapl'!$C$3:$K$47,2,0)</f>
        <v>2N  58  06  00  00  00  00</v>
      </c>
      <c r="I1544" s="29" t="str">
        <f>VLOOKUP(G1544,'insumos terrapl'!$C$3:$K$47,3,0)</f>
        <v>2N</v>
      </c>
      <c r="J1544" s="29">
        <f>VLOOKUP(G1544,'insumos terrapl'!$C$3:$K$47,4,0)</f>
        <v>58</v>
      </c>
      <c r="K1544" s="29" t="str">
        <f>VLOOKUP(G1544,'insumos terrapl'!$C$3:$K$47,5,0)</f>
        <v>06</v>
      </c>
      <c r="L1544" s="29" t="str">
        <f>VLOOKUP(G1544,'insumos terrapl'!$C$3:$K$47,6,0)</f>
        <v>00</v>
      </c>
      <c r="M1544" s="29" t="str">
        <f>VLOOKUP(G1544,'insumos terrapl'!$C$3:$K$47,7,0)</f>
        <v>00</v>
      </c>
      <c r="N1544" s="29" t="str">
        <f>VLOOKUP(G1544,'insumos terrapl'!$C$3:$K$47,8,0)</f>
        <v>00</v>
      </c>
      <c r="O1544" s="97" t="str">
        <f>VLOOKUP(G1544,'insumos terrapl'!$C$3:$K$47,9,0)</f>
        <v>00</v>
      </c>
    </row>
    <row r="1545" spans="1:15">
      <c r="A1545" s="134"/>
      <c r="B1545" s="137"/>
      <c r="C1545" s="125"/>
      <c r="D1545" s="115"/>
      <c r="E1545" s="115"/>
      <c r="F1545" s="11" t="s">
        <v>617</v>
      </c>
      <c r="G1545" s="20" t="s">
        <v>618</v>
      </c>
      <c r="H1545" s="29" t="str">
        <f>VLOOKUP(G1545,'insumos terrapl'!$C$3:$K$47,2,0)</f>
        <v>2Q  58  06  02  28  00  00</v>
      </c>
      <c r="I1545" s="29" t="str">
        <f>VLOOKUP(G1545,'insumos terrapl'!$C$3:$K$47,3,0)</f>
        <v>2Q</v>
      </c>
      <c r="J1545" s="29">
        <f>VLOOKUP(G1545,'insumos terrapl'!$C$3:$K$47,4,0)</f>
        <v>58</v>
      </c>
      <c r="K1545" s="29" t="str">
        <f>VLOOKUP(G1545,'insumos terrapl'!$C$3:$K$47,5,0)</f>
        <v>06</v>
      </c>
      <c r="L1545" s="29" t="str">
        <f>VLOOKUP(G1545,'insumos terrapl'!$C$3:$K$47,6,0)</f>
        <v>02</v>
      </c>
      <c r="M1545" s="29" t="str">
        <f>VLOOKUP(G1545,'insumos terrapl'!$C$3:$K$47,7,0)</f>
        <v>28</v>
      </c>
      <c r="N1545" s="29" t="str">
        <f>VLOOKUP(G1545,'insumos terrapl'!$C$3:$K$47,8,0)</f>
        <v>00</v>
      </c>
      <c r="O1545" s="97" t="str">
        <f>VLOOKUP(G1545,'insumos terrapl'!$C$3:$K$47,9,0)</f>
        <v>00</v>
      </c>
    </row>
    <row r="1546" spans="1:15" ht="30">
      <c r="A1546" s="134"/>
      <c r="B1546" s="137"/>
      <c r="C1546" s="125"/>
      <c r="D1546" s="115"/>
      <c r="E1546" s="115"/>
      <c r="F1546" s="11" t="s">
        <v>637</v>
      </c>
      <c r="G1546" s="20" t="s">
        <v>638</v>
      </c>
      <c r="H1546" s="29" t="str">
        <f>VLOOKUP(G1546,'insumos terrapl'!$C$3:$K$47,2,0)</f>
        <v>2N  58  06  00  00  00  00</v>
      </c>
      <c r="I1546" s="29" t="str">
        <f>VLOOKUP(G1546,'insumos terrapl'!$C$3:$K$47,3,0)</f>
        <v>2N</v>
      </c>
      <c r="J1546" s="29">
        <f>VLOOKUP(G1546,'insumos terrapl'!$C$3:$K$47,4,0)</f>
        <v>58</v>
      </c>
      <c r="K1546" s="29" t="str">
        <f>VLOOKUP(G1546,'insumos terrapl'!$C$3:$K$47,5,0)</f>
        <v>06</v>
      </c>
      <c r="L1546" s="29" t="str">
        <f>VLOOKUP(G1546,'insumos terrapl'!$C$3:$K$47,6,0)</f>
        <v>00</v>
      </c>
      <c r="M1546" s="29" t="str">
        <f>VLOOKUP(G1546,'insumos terrapl'!$C$3:$K$47,7,0)</f>
        <v>00</v>
      </c>
      <c r="N1546" s="29" t="str">
        <f>VLOOKUP(G1546,'insumos terrapl'!$C$3:$K$47,8,0)</f>
        <v>00</v>
      </c>
      <c r="O1546" s="97" t="str">
        <f>VLOOKUP(G1546,'insumos terrapl'!$C$3:$K$47,9,0)</f>
        <v>00</v>
      </c>
    </row>
    <row r="1547" spans="1:15" ht="30">
      <c r="A1547" s="134"/>
      <c r="B1547" s="137"/>
      <c r="C1547" s="125"/>
      <c r="D1547" s="115"/>
      <c r="E1547" s="115"/>
      <c r="F1547" s="11" t="s">
        <v>639</v>
      </c>
      <c r="G1547" s="20" t="s">
        <v>640</v>
      </c>
      <c r="H1547" s="29" t="str">
        <f>VLOOKUP(G1547,'insumos terrapl'!$C$3:$K$47,2,0)</f>
        <v>2N  58  06  00  00  00  00</v>
      </c>
      <c r="I1547" s="29" t="str">
        <f>VLOOKUP(G1547,'insumos terrapl'!$C$3:$K$47,3,0)</f>
        <v>2N</v>
      </c>
      <c r="J1547" s="29">
        <f>VLOOKUP(G1547,'insumos terrapl'!$C$3:$K$47,4,0)</f>
        <v>58</v>
      </c>
      <c r="K1547" s="29" t="str">
        <f>VLOOKUP(G1547,'insumos terrapl'!$C$3:$K$47,5,0)</f>
        <v>06</v>
      </c>
      <c r="L1547" s="29" t="str">
        <f>VLOOKUP(G1547,'insumos terrapl'!$C$3:$K$47,6,0)</f>
        <v>00</v>
      </c>
      <c r="M1547" s="29" t="str">
        <f>VLOOKUP(G1547,'insumos terrapl'!$C$3:$K$47,7,0)</f>
        <v>00</v>
      </c>
      <c r="N1547" s="29" t="str">
        <f>VLOOKUP(G1547,'insumos terrapl'!$C$3:$K$47,8,0)</f>
        <v>00</v>
      </c>
      <c r="O1547" s="97" t="str">
        <f>VLOOKUP(G1547,'insumos terrapl'!$C$3:$K$47,9,0)</f>
        <v>00</v>
      </c>
    </row>
    <row r="1548" spans="1:15">
      <c r="A1548" s="134"/>
      <c r="B1548" s="137"/>
      <c r="C1548" s="125"/>
      <c r="D1548" s="115"/>
      <c r="E1548" s="115"/>
      <c r="F1548" s="11" t="s">
        <v>641</v>
      </c>
      <c r="G1548" s="20" t="s">
        <v>642</v>
      </c>
      <c r="H1548" s="29" t="str">
        <f>VLOOKUP(G1548,'insumos terrapl'!$C$3:$K$47,2,0)</f>
        <v>2N  58  06  00  00  00  00</v>
      </c>
      <c r="I1548" s="29" t="str">
        <f>VLOOKUP(G1548,'insumos terrapl'!$C$3:$K$47,3,0)</f>
        <v>2N</v>
      </c>
      <c r="J1548" s="29">
        <f>VLOOKUP(G1548,'insumos terrapl'!$C$3:$K$47,4,0)</f>
        <v>58</v>
      </c>
      <c r="K1548" s="29" t="str">
        <f>VLOOKUP(G1548,'insumos terrapl'!$C$3:$K$47,5,0)</f>
        <v>06</v>
      </c>
      <c r="L1548" s="29" t="str">
        <f>VLOOKUP(G1548,'insumos terrapl'!$C$3:$K$47,6,0)</f>
        <v>00</v>
      </c>
      <c r="M1548" s="29" t="str">
        <f>VLOOKUP(G1548,'insumos terrapl'!$C$3:$K$47,7,0)</f>
        <v>00</v>
      </c>
      <c r="N1548" s="29" t="str">
        <f>VLOOKUP(G1548,'insumos terrapl'!$C$3:$K$47,8,0)</f>
        <v>00</v>
      </c>
      <c r="O1548" s="97" t="str">
        <f>VLOOKUP(G1548,'insumos terrapl'!$C$3:$K$47,9,0)</f>
        <v>00</v>
      </c>
    </row>
    <row r="1549" spans="1:15">
      <c r="A1549" s="134"/>
      <c r="B1549" s="137"/>
      <c r="C1549" s="125"/>
      <c r="D1549" s="115"/>
      <c r="E1549" s="115"/>
      <c r="F1549" s="11" t="s">
        <v>619</v>
      </c>
      <c r="G1549" s="20" t="s">
        <v>620</v>
      </c>
      <c r="H1549" s="29"/>
      <c r="I1549" s="29"/>
      <c r="J1549" s="29"/>
      <c r="K1549" s="29"/>
      <c r="L1549" s="29"/>
      <c r="M1549" s="29"/>
      <c r="N1549" s="29"/>
      <c r="O1549" s="97"/>
    </row>
    <row r="1550" spans="1:15">
      <c r="A1550" s="134"/>
      <c r="B1550" s="137"/>
      <c r="C1550" s="125"/>
      <c r="D1550" s="115"/>
      <c r="E1550" s="115"/>
      <c r="F1550" s="11" t="s">
        <v>643</v>
      </c>
      <c r="G1550" s="20" t="s">
        <v>644</v>
      </c>
      <c r="H1550" s="29" t="str">
        <f>VLOOKUP(G1550,'insumos terrapl'!$C$3:$K$47,2,0)</f>
        <v>2N  58  06  00  00  00  00</v>
      </c>
      <c r="I1550" s="29" t="str">
        <f>VLOOKUP(G1550,'insumos terrapl'!$C$3:$K$47,3,0)</f>
        <v>2N</v>
      </c>
      <c r="J1550" s="29">
        <f>VLOOKUP(G1550,'insumos terrapl'!$C$3:$K$47,4,0)</f>
        <v>58</v>
      </c>
      <c r="K1550" s="29" t="str">
        <f>VLOOKUP(G1550,'insumos terrapl'!$C$3:$K$47,5,0)</f>
        <v>06</v>
      </c>
      <c r="L1550" s="29" t="str">
        <f>VLOOKUP(G1550,'insumos terrapl'!$C$3:$K$47,6,0)</f>
        <v>00</v>
      </c>
      <c r="M1550" s="29" t="str">
        <f>VLOOKUP(G1550,'insumos terrapl'!$C$3:$K$47,7,0)</f>
        <v>00</v>
      </c>
      <c r="N1550" s="29" t="str">
        <f>VLOOKUP(G1550,'insumos terrapl'!$C$3:$K$47,8,0)</f>
        <v>00</v>
      </c>
      <c r="O1550" s="97" t="str">
        <f>VLOOKUP(G1550,'insumos terrapl'!$C$3:$K$47,9,0)</f>
        <v>00</v>
      </c>
    </row>
    <row r="1551" spans="1:15">
      <c r="A1551" s="134"/>
      <c r="B1551" s="137"/>
      <c r="C1551" s="125"/>
      <c r="D1551" s="115"/>
      <c r="E1551" s="115"/>
      <c r="F1551" s="11" t="s">
        <v>645</v>
      </c>
      <c r="G1551" s="20" t="s">
        <v>646</v>
      </c>
      <c r="H1551" s="29" t="str">
        <f>VLOOKUP(G1551,'insumos terrapl'!$C$3:$K$47,2,0)</f>
        <v>2N  58  06  00  00  00  00</v>
      </c>
      <c r="I1551" s="29" t="str">
        <f>VLOOKUP(G1551,'insumos terrapl'!$C$3:$K$47,3,0)</f>
        <v>2N</v>
      </c>
      <c r="J1551" s="29">
        <f>VLOOKUP(G1551,'insumos terrapl'!$C$3:$K$47,4,0)</f>
        <v>58</v>
      </c>
      <c r="K1551" s="29" t="str">
        <f>VLOOKUP(G1551,'insumos terrapl'!$C$3:$K$47,5,0)</f>
        <v>06</v>
      </c>
      <c r="L1551" s="29" t="str">
        <f>VLOOKUP(G1551,'insumos terrapl'!$C$3:$K$47,6,0)</f>
        <v>00</v>
      </c>
      <c r="M1551" s="29" t="str">
        <f>VLOOKUP(G1551,'insumos terrapl'!$C$3:$K$47,7,0)</f>
        <v>00</v>
      </c>
      <c r="N1551" s="29" t="str">
        <f>VLOOKUP(G1551,'insumos terrapl'!$C$3:$K$47,8,0)</f>
        <v>00</v>
      </c>
      <c r="O1551" s="97" t="str">
        <f>VLOOKUP(G1551,'insumos terrapl'!$C$3:$K$47,9,0)</f>
        <v>00</v>
      </c>
    </row>
    <row r="1552" spans="1:15" ht="30">
      <c r="A1552" s="134"/>
      <c r="B1552" s="137"/>
      <c r="C1552" s="125"/>
      <c r="D1552" s="115"/>
      <c r="E1552" s="115"/>
      <c r="F1552" s="11" t="s">
        <v>647</v>
      </c>
      <c r="G1552" s="20" t="s">
        <v>648</v>
      </c>
      <c r="H1552" s="29" t="str">
        <f>VLOOKUP(G1552,'insumos terrapl'!$C$3:$K$47,2,0)</f>
        <v>2N  58  06  00  00  00  00</v>
      </c>
      <c r="I1552" s="29" t="str">
        <f>VLOOKUP(G1552,'insumos terrapl'!$C$3:$K$47,3,0)</f>
        <v>2N</v>
      </c>
      <c r="J1552" s="29">
        <f>VLOOKUP(G1552,'insumos terrapl'!$C$3:$K$47,4,0)</f>
        <v>58</v>
      </c>
      <c r="K1552" s="29" t="str">
        <f>VLOOKUP(G1552,'insumos terrapl'!$C$3:$K$47,5,0)</f>
        <v>06</v>
      </c>
      <c r="L1552" s="29" t="str">
        <f>VLOOKUP(G1552,'insumos terrapl'!$C$3:$K$47,6,0)</f>
        <v>00</v>
      </c>
      <c r="M1552" s="29" t="str">
        <f>VLOOKUP(G1552,'insumos terrapl'!$C$3:$K$47,7,0)</f>
        <v>00</v>
      </c>
      <c r="N1552" s="29" t="str">
        <f>VLOOKUP(G1552,'insumos terrapl'!$C$3:$K$47,8,0)</f>
        <v>00</v>
      </c>
      <c r="O1552" s="97" t="str">
        <f>VLOOKUP(G1552,'insumos terrapl'!$C$3:$K$47,9,0)</f>
        <v>00</v>
      </c>
    </row>
    <row r="1553" spans="1:15">
      <c r="A1553" s="134"/>
      <c r="B1553" s="137"/>
      <c r="C1553" s="125"/>
      <c r="D1553" s="115"/>
      <c r="E1553" s="115"/>
      <c r="F1553" s="11" t="s">
        <v>621</v>
      </c>
      <c r="G1553" s="20" t="s">
        <v>622</v>
      </c>
      <c r="H1553" s="29" t="str">
        <f>VLOOKUP(G1553,'insumos terrapl'!$C$3:$K$47,2,0)</f>
        <v>2N  58  06  00  00  00  00</v>
      </c>
      <c r="I1553" s="29" t="str">
        <f>VLOOKUP(G1553,'insumos terrapl'!$C$3:$K$47,3,0)</f>
        <v>2N</v>
      </c>
      <c r="J1553" s="29">
        <f>VLOOKUP(G1553,'insumos terrapl'!$C$3:$K$47,4,0)</f>
        <v>58</v>
      </c>
      <c r="K1553" s="29" t="str">
        <f>VLOOKUP(G1553,'insumos terrapl'!$C$3:$K$47,5,0)</f>
        <v>06</v>
      </c>
      <c r="L1553" s="29" t="str">
        <f>VLOOKUP(G1553,'insumos terrapl'!$C$3:$K$47,6,0)</f>
        <v>00</v>
      </c>
      <c r="M1553" s="29" t="str">
        <f>VLOOKUP(G1553,'insumos terrapl'!$C$3:$K$47,7,0)</f>
        <v>00</v>
      </c>
      <c r="N1553" s="29" t="str">
        <f>VLOOKUP(G1553,'insumos terrapl'!$C$3:$K$47,8,0)</f>
        <v>00</v>
      </c>
      <c r="O1553" s="97" t="str">
        <f>VLOOKUP(G1553,'insumos terrapl'!$C$3:$K$47,9,0)</f>
        <v>00</v>
      </c>
    </row>
    <row r="1554" spans="1:15">
      <c r="A1554" s="134"/>
      <c r="B1554" s="137"/>
      <c r="C1554" s="132"/>
      <c r="D1554" s="116"/>
      <c r="E1554" s="115"/>
      <c r="F1554" s="10"/>
      <c r="G1554" s="20"/>
      <c r="H1554" s="29"/>
      <c r="I1554" s="29"/>
      <c r="J1554" s="29"/>
      <c r="K1554" s="29"/>
      <c r="L1554" s="29"/>
      <c r="M1554" s="29"/>
      <c r="N1554" s="29"/>
      <c r="O1554" s="97"/>
    </row>
    <row r="1555" spans="1:15">
      <c r="A1555" s="134"/>
      <c r="B1555" s="137"/>
      <c r="C1555" s="124" t="s">
        <v>257</v>
      </c>
      <c r="D1555" s="114" t="str">
        <f>$A$1095</f>
        <v>2.6.8</v>
      </c>
      <c r="E1555" s="114" t="s">
        <v>515</v>
      </c>
      <c r="F1555" s="12" t="s">
        <v>257</v>
      </c>
      <c r="G1555" s="19"/>
      <c r="H1555" s="28"/>
      <c r="I1555" s="28"/>
      <c r="J1555" s="28"/>
      <c r="K1555" s="28"/>
      <c r="L1555" s="28"/>
      <c r="M1555" s="28"/>
      <c r="N1555" s="28"/>
      <c r="O1555" s="99"/>
    </row>
    <row r="1556" spans="1:15" ht="30">
      <c r="A1556" s="134"/>
      <c r="B1556" s="137"/>
      <c r="C1556" s="125"/>
      <c r="D1556" s="115"/>
      <c r="E1556" s="115"/>
      <c r="F1556" s="11" t="s">
        <v>659</v>
      </c>
      <c r="G1556" s="20" t="s">
        <v>660</v>
      </c>
      <c r="H1556" s="29" t="str">
        <f>VLOOKUP(G1556,'insumos terrapl'!$C$3:$K$47,2,0)</f>
        <v>2Q  66  10  02  00  00  00</v>
      </c>
      <c r="I1556" s="29" t="str">
        <f>VLOOKUP(G1556,'insumos terrapl'!$C$3:$K$47,3,0)</f>
        <v>2Q</v>
      </c>
      <c r="J1556" s="29">
        <f>VLOOKUP(G1556,'insumos terrapl'!$C$3:$K$47,4,0)</f>
        <v>66</v>
      </c>
      <c r="K1556" s="29" t="str">
        <f>VLOOKUP(G1556,'insumos terrapl'!$C$3:$K$47,5,0)</f>
        <v>10</v>
      </c>
      <c r="L1556" s="29" t="str">
        <f>VLOOKUP(G1556,'insumos terrapl'!$C$3:$K$47,6,0)</f>
        <v>02</v>
      </c>
      <c r="M1556" s="29" t="str">
        <f>VLOOKUP(G1556,'insumos terrapl'!$C$3:$K$47,7,0)</f>
        <v>00</v>
      </c>
      <c r="N1556" s="29" t="str">
        <f>VLOOKUP(G1556,'insumos terrapl'!$C$3:$K$47,8,0)</f>
        <v>00</v>
      </c>
      <c r="O1556" s="97" t="str">
        <f>VLOOKUP(G1556,'insumos terrapl'!$C$3:$K$47,9,0)</f>
        <v>00</v>
      </c>
    </row>
    <row r="1557" spans="1:15" ht="30">
      <c r="A1557" s="134"/>
      <c r="B1557" s="137"/>
      <c r="C1557" s="125"/>
      <c r="D1557" s="115"/>
      <c r="E1557" s="115"/>
      <c r="F1557" s="11" t="s">
        <v>661</v>
      </c>
      <c r="G1557" s="20" t="s">
        <v>662</v>
      </c>
      <c r="H1557" s="29" t="str">
        <f>VLOOKUP(G1557,'insumos terrapl'!$C$3:$K$47,2,0)</f>
        <v>2Q  62  10  06  00  00  00</v>
      </c>
      <c r="I1557" s="29" t="str">
        <f>VLOOKUP(G1557,'insumos terrapl'!$C$3:$K$47,3,0)</f>
        <v>2Q</v>
      </c>
      <c r="J1557" s="29">
        <f>VLOOKUP(G1557,'insumos terrapl'!$C$3:$K$47,4,0)</f>
        <v>62</v>
      </c>
      <c r="K1557" s="29" t="str">
        <f>VLOOKUP(G1557,'insumos terrapl'!$C$3:$K$47,5,0)</f>
        <v>10</v>
      </c>
      <c r="L1557" s="29" t="str">
        <f>VLOOKUP(G1557,'insumos terrapl'!$C$3:$K$47,6,0)</f>
        <v>06</v>
      </c>
      <c r="M1557" s="29" t="str">
        <f>VLOOKUP(G1557,'insumos terrapl'!$C$3:$K$47,7,0)</f>
        <v>00</v>
      </c>
      <c r="N1557" s="29" t="str">
        <f>VLOOKUP(G1557,'insumos terrapl'!$C$3:$K$47,8,0)</f>
        <v>00</v>
      </c>
      <c r="O1557" s="97" t="str">
        <f>VLOOKUP(G1557,'insumos terrapl'!$C$3:$K$47,9,0)</f>
        <v>00</v>
      </c>
    </row>
    <row r="1558" spans="1:15" ht="30">
      <c r="A1558" s="134"/>
      <c r="B1558" s="137"/>
      <c r="C1558" s="125"/>
      <c r="D1558" s="115"/>
      <c r="E1558" s="115"/>
      <c r="F1558" s="11" t="s">
        <v>607</v>
      </c>
      <c r="G1558" s="20" t="s">
        <v>608</v>
      </c>
      <c r="H1558" s="29" t="str">
        <f>VLOOKUP(G1558,'insumos terrapl'!$C$3:$K$47,2,0)</f>
        <v>2Q  42  06  18  02  02  00</v>
      </c>
      <c r="I1558" s="29" t="str">
        <f>VLOOKUP(G1558,'insumos terrapl'!$C$3:$K$47,3,0)</f>
        <v>2Q</v>
      </c>
      <c r="J1558" s="29">
        <f>VLOOKUP(G1558,'insumos terrapl'!$C$3:$K$47,4,0)</f>
        <v>42</v>
      </c>
      <c r="K1558" s="29" t="str">
        <f>VLOOKUP(G1558,'insumos terrapl'!$C$3:$K$47,5,0)</f>
        <v>06</v>
      </c>
      <c r="L1558" s="29">
        <f>VLOOKUP(G1558,'insumos terrapl'!$C$3:$K$47,6,0)</f>
        <v>18</v>
      </c>
      <c r="M1558" s="29" t="str">
        <f>VLOOKUP(G1558,'insumos terrapl'!$C$3:$K$47,7,0)</f>
        <v>02</v>
      </c>
      <c r="N1558" s="29" t="str">
        <f>VLOOKUP(G1558,'insumos terrapl'!$C$3:$K$47,8,0)</f>
        <v>02</v>
      </c>
      <c r="O1558" s="97" t="str">
        <f>VLOOKUP(G1558,'insumos terrapl'!$C$3:$K$47,9,0)</f>
        <v>00</v>
      </c>
    </row>
    <row r="1559" spans="1:15" ht="45">
      <c r="A1559" s="134"/>
      <c r="B1559" s="137"/>
      <c r="C1559" s="125"/>
      <c r="D1559" s="115"/>
      <c r="E1559" s="115"/>
      <c r="F1559" s="11" t="s">
        <v>609</v>
      </c>
      <c r="G1559" s="20" t="s">
        <v>610</v>
      </c>
      <c r="H1559" s="29" t="str">
        <f>VLOOKUP(G1559,'insumos terrapl'!$C$3:$K$47,2,0)</f>
        <v>2Q  42  06  02  14  02  00</v>
      </c>
      <c r="I1559" s="29" t="str">
        <f>VLOOKUP(G1559,'insumos terrapl'!$C$3:$K$47,3,0)</f>
        <v>2Q</v>
      </c>
      <c r="J1559" s="29">
        <f>VLOOKUP(G1559,'insumos terrapl'!$C$3:$K$47,4,0)</f>
        <v>42</v>
      </c>
      <c r="K1559" s="29" t="str">
        <f>VLOOKUP(G1559,'insumos terrapl'!$C$3:$K$47,5,0)</f>
        <v>06</v>
      </c>
      <c r="L1559" s="29" t="str">
        <f>VLOOKUP(G1559,'insumos terrapl'!$C$3:$K$47,6,0)</f>
        <v>02</v>
      </c>
      <c r="M1559" s="29" t="str">
        <f>VLOOKUP(G1559,'insumos terrapl'!$C$3:$K$47,7,0)</f>
        <v>14</v>
      </c>
      <c r="N1559" s="29" t="str">
        <f>VLOOKUP(G1559,'insumos terrapl'!$C$3:$K$47,8,0)</f>
        <v>02</v>
      </c>
      <c r="O1559" s="97" t="str">
        <f>VLOOKUP(G1559,'insumos terrapl'!$C$3:$K$47,9,0)</f>
        <v>00</v>
      </c>
    </row>
    <row r="1560" spans="1:15">
      <c r="A1560" s="134"/>
      <c r="B1560" s="137"/>
      <c r="C1560" s="125"/>
      <c r="D1560" s="115"/>
      <c r="E1560" s="115"/>
      <c r="F1560" s="11" t="s">
        <v>633</v>
      </c>
      <c r="G1560" s="20" t="s">
        <v>634</v>
      </c>
      <c r="H1560" s="29" t="str">
        <f>VLOOKUP(G1560,'insumos terrapl'!$C$3:$K$47,2,0)</f>
        <v>2Q  58  10  10  02  06  00</v>
      </c>
      <c r="I1560" s="29" t="str">
        <f>VLOOKUP(G1560,'insumos terrapl'!$C$3:$K$47,3,0)</f>
        <v>2Q</v>
      </c>
      <c r="J1560" s="29">
        <f>VLOOKUP(G1560,'insumos terrapl'!$C$3:$K$47,4,0)</f>
        <v>58</v>
      </c>
      <c r="K1560" s="29" t="str">
        <f>VLOOKUP(G1560,'insumos terrapl'!$C$3:$K$47,5,0)</f>
        <v>10</v>
      </c>
      <c r="L1560" s="29" t="str">
        <f>VLOOKUP(G1560,'insumos terrapl'!$C$3:$K$47,6,0)</f>
        <v>10</v>
      </c>
      <c r="M1560" s="29" t="str">
        <f>VLOOKUP(G1560,'insumos terrapl'!$C$3:$K$47,7,0)</f>
        <v>02</v>
      </c>
      <c r="N1560" s="29" t="str">
        <f>VLOOKUP(G1560,'insumos terrapl'!$C$3:$K$47,8,0)</f>
        <v>06</v>
      </c>
      <c r="O1560" s="97" t="str">
        <f>VLOOKUP(G1560,'insumos terrapl'!$C$3:$K$47,9,0)</f>
        <v>00</v>
      </c>
    </row>
    <row r="1561" spans="1:15">
      <c r="A1561" s="134"/>
      <c r="B1561" s="137"/>
      <c r="C1561" s="125"/>
      <c r="D1561" s="115"/>
      <c r="E1561" s="115"/>
      <c r="F1561" s="11" t="s">
        <v>586</v>
      </c>
      <c r="G1561" s="20" t="s">
        <v>587</v>
      </c>
      <c r="H1561" s="29" t="str">
        <f>VLOOKUP(G1561,'insumos terrapl'!$C$3:$K$47,2,0)</f>
        <v>2Q  62  30  02  14  00  00</v>
      </c>
      <c r="I1561" s="29" t="str">
        <f>VLOOKUP(G1561,'insumos terrapl'!$C$3:$K$47,3,0)</f>
        <v>2Q</v>
      </c>
      <c r="J1561" s="29">
        <f>VLOOKUP(G1561,'insumos terrapl'!$C$3:$K$47,4,0)</f>
        <v>62</v>
      </c>
      <c r="K1561" s="29">
        <f>VLOOKUP(G1561,'insumos terrapl'!$C$3:$K$47,5,0)</f>
        <v>30</v>
      </c>
      <c r="L1561" s="29" t="str">
        <f>VLOOKUP(G1561,'insumos terrapl'!$C$3:$K$47,6,0)</f>
        <v>02</v>
      </c>
      <c r="M1561" s="29" t="str">
        <f>VLOOKUP(G1561,'insumos terrapl'!$C$3:$K$47,7,0)</f>
        <v>14</v>
      </c>
      <c r="N1561" s="29" t="str">
        <f>VLOOKUP(G1561,'insumos terrapl'!$C$3:$K$47,8,0)</f>
        <v>00</v>
      </c>
      <c r="O1561" s="97" t="str">
        <f>VLOOKUP(G1561,'insumos terrapl'!$C$3:$K$47,9,0)</f>
        <v>00</v>
      </c>
    </row>
    <row r="1562" spans="1:15">
      <c r="A1562" s="134"/>
      <c r="B1562" s="137"/>
      <c r="C1562" s="125"/>
      <c r="D1562" s="115"/>
      <c r="E1562" s="115"/>
      <c r="F1562" s="11" t="s">
        <v>613</v>
      </c>
      <c r="G1562" s="20" t="s">
        <v>614</v>
      </c>
      <c r="H1562" s="29" t="str">
        <f>VLOOKUP(G1562,'insumos terrapl'!$C$3:$K$47,2,0)</f>
        <v>2N  20  14  02  00  00  00</v>
      </c>
      <c r="I1562" s="29" t="str">
        <f>VLOOKUP(G1562,'insumos terrapl'!$C$3:$K$47,3,0)</f>
        <v>2N</v>
      </c>
      <c r="J1562" s="29">
        <f>VLOOKUP(G1562,'insumos terrapl'!$C$3:$K$47,4,0)</f>
        <v>20</v>
      </c>
      <c r="K1562" s="29" t="str">
        <f>VLOOKUP(G1562,'insumos terrapl'!$C$3:$K$47,5,0)</f>
        <v>14</v>
      </c>
      <c r="L1562" s="29" t="str">
        <f>VLOOKUP(G1562,'insumos terrapl'!$C$3:$K$47,6,0)</f>
        <v>02</v>
      </c>
      <c r="M1562" s="29" t="str">
        <f>VLOOKUP(G1562,'insumos terrapl'!$C$3:$K$47,7,0)</f>
        <v>00</v>
      </c>
      <c r="N1562" s="29" t="str">
        <f>VLOOKUP(G1562,'insumos terrapl'!$C$3:$K$47,8,0)</f>
        <v>00</v>
      </c>
      <c r="O1562" s="97" t="str">
        <f>VLOOKUP(G1562,'insumos terrapl'!$C$3:$K$47,9,0)</f>
        <v>00</v>
      </c>
    </row>
    <row r="1563" spans="1:15">
      <c r="A1563" s="134"/>
      <c r="B1563" s="137"/>
      <c r="C1563" s="125"/>
      <c r="D1563" s="115"/>
      <c r="E1563" s="115"/>
      <c r="F1563" s="11" t="s">
        <v>615</v>
      </c>
      <c r="G1563" s="20" t="s">
        <v>616</v>
      </c>
      <c r="H1563" s="29" t="str">
        <f>VLOOKUP(G1563,'insumos terrapl'!$C$3:$K$47,2,0)</f>
        <v>2N  20  14  02  00  00  00</v>
      </c>
      <c r="I1563" s="29" t="str">
        <f>VLOOKUP(G1563,'insumos terrapl'!$C$3:$K$47,3,0)</f>
        <v>2N</v>
      </c>
      <c r="J1563" s="29">
        <f>VLOOKUP(G1563,'insumos terrapl'!$C$3:$K$47,4,0)</f>
        <v>20</v>
      </c>
      <c r="K1563" s="29" t="str">
        <f>VLOOKUP(G1563,'insumos terrapl'!$C$3:$K$47,5,0)</f>
        <v>14</v>
      </c>
      <c r="L1563" s="29" t="str">
        <f>VLOOKUP(G1563,'insumos terrapl'!$C$3:$K$47,6,0)</f>
        <v>02</v>
      </c>
      <c r="M1563" s="29" t="str">
        <f>VLOOKUP(G1563,'insumos terrapl'!$C$3:$K$47,7,0)</f>
        <v>00</v>
      </c>
      <c r="N1563" s="29" t="str">
        <f>VLOOKUP(G1563,'insumos terrapl'!$C$3:$K$47,8,0)</f>
        <v>00</v>
      </c>
      <c r="O1563" s="97" t="str">
        <f>VLOOKUP(G1563,'insumos terrapl'!$C$3:$K$47,9,0)</f>
        <v>00</v>
      </c>
    </row>
    <row r="1564" spans="1:15" ht="30">
      <c r="A1564" s="134"/>
      <c r="B1564" s="137"/>
      <c r="C1564" s="125"/>
      <c r="D1564" s="115"/>
      <c r="E1564" s="115"/>
      <c r="F1564" s="11" t="s">
        <v>635</v>
      </c>
      <c r="G1564" s="20" t="s">
        <v>636</v>
      </c>
      <c r="H1564" s="29" t="str">
        <f>VLOOKUP(G1564,'insumos terrapl'!$C$3:$K$47,2,0)</f>
        <v>2N  58  06  00  00  00  00</v>
      </c>
      <c r="I1564" s="29" t="str">
        <f>VLOOKUP(G1564,'insumos terrapl'!$C$3:$K$47,3,0)</f>
        <v>2N</v>
      </c>
      <c r="J1564" s="29">
        <f>VLOOKUP(G1564,'insumos terrapl'!$C$3:$K$47,4,0)</f>
        <v>58</v>
      </c>
      <c r="K1564" s="29" t="str">
        <f>VLOOKUP(G1564,'insumos terrapl'!$C$3:$K$47,5,0)</f>
        <v>06</v>
      </c>
      <c r="L1564" s="29" t="str">
        <f>VLOOKUP(G1564,'insumos terrapl'!$C$3:$K$47,6,0)</f>
        <v>00</v>
      </c>
      <c r="M1564" s="29" t="str">
        <f>VLOOKUP(G1564,'insumos terrapl'!$C$3:$K$47,7,0)</f>
        <v>00</v>
      </c>
      <c r="N1564" s="29" t="str">
        <f>VLOOKUP(G1564,'insumos terrapl'!$C$3:$K$47,8,0)</f>
        <v>00</v>
      </c>
      <c r="O1564" s="97" t="str">
        <f>VLOOKUP(G1564,'insumos terrapl'!$C$3:$K$47,9,0)</f>
        <v>00</v>
      </c>
    </row>
    <row r="1565" spans="1:15">
      <c r="A1565" s="134"/>
      <c r="B1565" s="137"/>
      <c r="C1565" s="125"/>
      <c r="D1565" s="115"/>
      <c r="E1565" s="115"/>
      <c r="F1565" s="11" t="s">
        <v>617</v>
      </c>
      <c r="G1565" s="20" t="s">
        <v>618</v>
      </c>
      <c r="H1565" s="29" t="str">
        <f>VLOOKUP(G1565,'insumos terrapl'!$C$3:$K$47,2,0)</f>
        <v>2Q  58  06  02  28  00  00</v>
      </c>
      <c r="I1565" s="29" t="str">
        <f>VLOOKUP(G1565,'insumos terrapl'!$C$3:$K$47,3,0)</f>
        <v>2Q</v>
      </c>
      <c r="J1565" s="29">
        <f>VLOOKUP(G1565,'insumos terrapl'!$C$3:$K$47,4,0)</f>
        <v>58</v>
      </c>
      <c r="K1565" s="29" t="str">
        <f>VLOOKUP(G1565,'insumos terrapl'!$C$3:$K$47,5,0)</f>
        <v>06</v>
      </c>
      <c r="L1565" s="29" t="str">
        <f>VLOOKUP(G1565,'insumos terrapl'!$C$3:$K$47,6,0)</f>
        <v>02</v>
      </c>
      <c r="M1565" s="29" t="str">
        <f>VLOOKUP(G1565,'insumos terrapl'!$C$3:$K$47,7,0)</f>
        <v>28</v>
      </c>
      <c r="N1565" s="29" t="str">
        <f>VLOOKUP(G1565,'insumos terrapl'!$C$3:$K$47,8,0)</f>
        <v>00</v>
      </c>
      <c r="O1565" s="97" t="str">
        <f>VLOOKUP(G1565,'insumos terrapl'!$C$3:$K$47,9,0)</f>
        <v>00</v>
      </c>
    </row>
    <row r="1566" spans="1:15" ht="30">
      <c r="A1566" s="134"/>
      <c r="B1566" s="137"/>
      <c r="C1566" s="125"/>
      <c r="D1566" s="115"/>
      <c r="E1566" s="115"/>
      <c r="F1566" s="11" t="s">
        <v>637</v>
      </c>
      <c r="G1566" s="20" t="s">
        <v>638</v>
      </c>
      <c r="H1566" s="29" t="str">
        <f>VLOOKUP(G1566,'insumos terrapl'!$C$3:$K$47,2,0)</f>
        <v>2N  58  06  00  00  00  00</v>
      </c>
      <c r="I1566" s="29" t="str">
        <f>VLOOKUP(G1566,'insumos terrapl'!$C$3:$K$47,3,0)</f>
        <v>2N</v>
      </c>
      <c r="J1566" s="29">
        <f>VLOOKUP(G1566,'insumos terrapl'!$C$3:$K$47,4,0)</f>
        <v>58</v>
      </c>
      <c r="K1566" s="29" t="str">
        <f>VLOOKUP(G1566,'insumos terrapl'!$C$3:$K$47,5,0)</f>
        <v>06</v>
      </c>
      <c r="L1566" s="29" t="str">
        <f>VLOOKUP(G1566,'insumos terrapl'!$C$3:$K$47,6,0)</f>
        <v>00</v>
      </c>
      <c r="M1566" s="29" t="str">
        <f>VLOOKUP(G1566,'insumos terrapl'!$C$3:$K$47,7,0)</f>
        <v>00</v>
      </c>
      <c r="N1566" s="29" t="str">
        <f>VLOOKUP(G1566,'insumos terrapl'!$C$3:$K$47,8,0)</f>
        <v>00</v>
      </c>
      <c r="O1566" s="97" t="str">
        <f>VLOOKUP(G1566,'insumos terrapl'!$C$3:$K$47,9,0)</f>
        <v>00</v>
      </c>
    </row>
    <row r="1567" spans="1:15" ht="30">
      <c r="A1567" s="134"/>
      <c r="B1567" s="137"/>
      <c r="C1567" s="125"/>
      <c r="D1567" s="115"/>
      <c r="E1567" s="115"/>
      <c r="F1567" s="11" t="s">
        <v>639</v>
      </c>
      <c r="G1567" s="20" t="s">
        <v>640</v>
      </c>
      <c r="H1567" s="29" t="str">
        <f>VLOOKUP(G1567,'insumos terrapl'!$C$3:$K$47,2,0)</f>
        <v>2N  58  06  00  00  00  00</v>
      </c>
      <c r="I1567" s="29" t="str">
        <f>VLOOKUP(G1567,'insumos terrapl'!$C$3:$K$47,3,0)</f>
        <v>2N</v>
      </c>
      <c r="J1567" s="29">
        <f>VLOOKUP(G1567,'insumos terrapl'!$C$3:$K$47,4,0)</f>
        <v>58</v>
      </c>
      <c r="K1567" s="29" t="str">
        <f>VLOOKUP(G1567,'insumos terrapl'!$C$3:$K$47,5,0)</f>
        <v>06</v>
      </c>
      <c r="L1567" s="29" t="str">
        <f>VLOOKUP(G1567,'insumos terrapl'!$C$3:$K$47,6,0)</f>
        <v>00</v>
      </c>
      <c r="M1567" s="29" t="str">
        <f>VLOOKUP(G1567,'insumos terrapl'!$C$3:$K$47,7,0)</f>
        <v>00</v>
      </c>
      <c r="N1567" s="29" t="str">
        <f>VLOOKUP(G1567,'insumos terrapl'!$C$3:$K$47,8,0)</f>
        <v>00</v>
      </c>
      <c r="O1567" s="97" t="str">
        <f>VLOOKUP(G1567,'insumos terrapl'!$C$3:$K$47,9,0)</f>
        <v>00</v>
      </c>
    </row>
    <row r="1568" spans="1:15">
      <c r="A1568" s="134"/>
      <c r="B1568" s="137"/>
      <c r="C1568" s="125"/>
      <c r="D1568" s="115"/>
      <c r="E1568" s="115"/>
      <c r="F1568" s="11" t="s">
        <v>641</v>
      </c>
      <c r="G1568" s="20" t="s">
        <v>642</v>
      </c>
      <c r="H1568" s="29" t="str">
        <f>VLOOKUP(G1568,'insumos terrapl'!$C$3:$K$47,2,0)</f>
        <v>2N  58  06  00  00  00  00</v>
      </c>
      <c r="I1568" s="29" t="str">
        <f>VLOOKUP(G1568,'insumos terrapl'!$C$3:$K$47,3,0)</f>
        <v>2N</v>
      </c>
      <c r="J1568" s="29">
        <f>VLOOKUP(G1568,'insumos terrapl'!$C$3:$K$47,4,0)</f>
        <v>58</v>
      </c>
      <c r="K1568" s="29" t="str">
        <f>VLOOKUP(G1568,'insumos terrapl'!$C$3:$K$47,5,0)</f>
        <v>06</v>
      </c>
      <c r="L1568" s="29" t="str">
        <f>VLOOKUP(G1568,'insumos terrapl'!$C$3:$K$47,6,0)</f>
        <v>00</v>
      </c>
      <c r="M1568" s="29" t="str">
        <f>VLOOKUP(G1568,'insumos terrapl'!$C$3:$K$47,7,0)</f>
        <v>00</v>
      </c>
      <c r="N1568" s="29" t="str">
        <f>VLOOKUP(G1568,'insumos terrapl'!$C$3:$K$47,8,0)</f>
        <v>00</v>
      </c>
      <c r="O1568" s="97" t="str">
        <f>VLOOKUP(G1568,'insumos terrapl'!$C$3:$K$47,9,0)</f>
        <v>00</v>
      </c>
    </row>
    <row r="1569" spans="1:15">
      <c r="A1569" s="134"/>
      <c r="B1569" s="137"/>
      <c r="C1569" s="125"/>
      <c r="D1569" s="115"/>
      <c r="E1569" s="115"/>
      <c r="F1569" s="11" t="s">
        <v>619</v>
      </c>
      <c r="G1569" s="20" t="s">
        <v>620</v>
      </c>
      <c r="H1569" s="29"/>
      <c r="I1569" s="29"/>
      <c r="J1569" s="29"/>
      <c r="K1569" s="29"/>
      <c r="L1569" s="29"/>
      <c r="M1569" s="29"/>
      <c r="N1569" s="29"/>
      <c r="O1569" s="97"/>
    </row>
    <row r="1570" spans="1:15">
      <c r="A1570" s="134"/>
      <c r="B1570" s="137"/>
      <c r="C1570" s="125"/>
      <c r="D1570" s="115"/>
      <c r="E1570" s="115"/>
      <c r="F1570" s="11" t="s">
        <v>643</v>
      </c>
      <c r="G1570" s="20" t="s">
        <v>644</v>
      </c>
      <c r="H1570" s="29" t="str">
        <f>VLOOKUP(G1570,'insumos terrapl'!$C$3:$K$47,2,0)</f>
        <v>2N  58  06  00  00  00  00</v>
      </c>
      <c r="I1570" s="29" t="str">
        <f>VLOOKUP(G1570,'insumos terrapl'!$C$3:$K$47,3,0)</f>
        <v>2N</v>
      </c>
      <c r="J1570" s="29">
        <f>VLOOKUP(G1570,'insumos terrapl'!$C$3:$K$47,4,0)</f>
        <v>58</v>
      </c>
      <c r="K1570" s="29" t="str">
        <f>VLOOKUP(G1570,'insumos terrapl'!$C$3:$K$47,5,0)</f>
        <v>06</v>
      </c>
      <c r="L1570" s="29" t="str">
        <f>VLOOKUP(G1570,'insumos terrapl'!$C$3:$K$47,6,0)</f>
        <v>00</v>
      </c>
      <c r="M1570" s="29" t="str">
        <f>VLOOKUP(G1570,'insumos terrapl'!$C$3:$K$47,7,0)</f>
        <v>00</v>
      </c>
      <c r="N1570" s="29" t="str">
        <f>VLOOKUP(G1570,'insumos terrapl'!$C$3:$K$47,8,0)</f>
        <v>00</v>
      </c>
      <c r="O1570" s="97" t="str">
        <f>VLOOKUP(G1570,'insumos terrapl'!$C$3:$K$47,9,0)</f>
        <v>00</v>
      </c>
    </row>
    <row r="1571" spans="1:15">
      <c r="A1571" s="134"/>
      <c r="B1571" s="137"/>
      <c r="C1571" s="125"/>
      <c r="D1571" s="115"/>
      <c r="E1571" s="115"/>
      <c r="F1571" s="11" t="s">
        <v>645</v>
      </c>
      <c r="G1571" s="20" t="s">
        <v>646</v>
      </c>
      <c r="H1571" s="29" t="str">
        <f>VLOOKUP(G1571,'insumos terrapl'!$C$3:$K$47,2,0)</f>
        <v>2N  58  06  00  00  00  00</v>
      </c>
      <c r="I1571" s="29" t="str">
        <f>VLOOKUP(G1571,'insumos terrapl'!$C$3:$K$47,3,0)</f>
        <v>2N</v>
      </c>
      <c r="J1571" s="29">
        <f>VLOOKUP(G1571,'insumos terrapl'!$C$3:$K$47,4,0)</f>
        <v>58</v>
      </c>
      <c r="K1571" s="29" t="str">
        <f>VLOOKUP(G1571,'insumos terrapl'!$C$3:$K$47,5,0)</f>
        <v>06</v>
      </c>
      <c r="L1571" s="29" t="str">
        <f>VLOOKUP(G1571,'insumos terrapl'!$C$3:$K$47,6,0)</f>
        <v>00</v>
      </c>
      <c r="M1571" s="29" t="str">
        <f>VLOOKUP(G1571,'insumos terrapl'!$C$3:$K$47,7,0)</f>
        <v>00</v>
      </c>
      <c r="N1571" s="29" t="str">
        <f>VLOOKUP(G1571,'insumos terrapl'!$C$3:$K$47,8,0)</f>
        <v>00</v>
      </c>
      <c r="O1571" s="97" t="str">
        <f>VLOOKUP(G1571,'insumos terrapl'!$C$3:$K$47,9,0)</f>
        <v>00</v>
      </c>
    </row>
    <row r="1572" spans="1:15" ht="30">
      <c r="A1572" s="134"/>
      <c r="B1572" s="137"/>
      <c r="C1572" s="125"/>
      <c r="D1572" s="115"/>
      <c r="E1572" s="115"/>
      <c r="F1572" s="11" t="s">
        <v>647</v>
      </c>
      <c r="G1572" s="20" t="s">
        <v>648</v>
      </c>
      <c r="H1572" s="29" t="str">
        <f>VLOOKUP(G1572,'insumos terrapl'!$C$3:$K$47,2,0)</f>
        <v>2N  58  06  00  00  00  00</v>
      </c>
      <c r="I1572" s="29" t="str">
        <f>VLOOKUP(G1572,'insumos terrapl'!$C$3:$K$47,3,0)</f>
        <v>2N</v>
      </c>
      <c r="J1572" s="29">
        <f>VLOOKUP(G1572,'insumos terrapl'!$C$3:$K$47,4,0)</f>
        <v>58</v>
      </c>
      <c r="K1572" s="29" t="str">
        <f>VLOOKUP(G1572,'insumos terrapl'!$C$3:$K$47,5,0)</f>
        <v>06</v>
      </c>
      <c r="L1572" s="29" t="str">
        <f>VLOOKUP(G1572,'insumos terrapl'!$C$3:$K$47,6,0)</f>
        <v>00</v>
      </c>
      <c r="M1572" s="29" t="str">
        <f>VLOOKUP(G1572,'insumos terrapl'!$C$3:$K$47,7,0)</f>
        <v>00</v>
      </c>
      <c r="N1572" s="29" t="str">
        <f>VLOOKUP(G1572,'insumos terrapl'!$C$3:$K$47,8,0)</f>
        <v>00</v>
      </c>
      <c r="O1572" s="97" t="str">
        <f>VLOOKUP(G1572,'insumos terrapl'!$C$3:$K$47,9,0)</f>
        <v>00</v>
      </c>
    </row>
    <row r="1573" spans="1:15">
      <c r="A1573" s="134"/>
      <c r="B1573" s="137"/>
      <c r="C1573" s="125"/>
      <c r="D1573" s="115"/>
      <c r="E1573" s="115"/>
      <c r="F1573" s="11" t="s">
        <v>621</v>
      </c>
      <c r="G1573" s="20" t="s">
        <v>622</v>
      </c>
      <c r="H1573" s="29" t="str">
        <f>VLOOKUP(G1573,'insumos terrapl'!$C$3:$K$47,2,0)</f>
        <v>2N  58  06  00  00  00  00</v>
      </c>
      <c r="I1573" s="29" t="str">
        <f>VLOOKUP(G1573,'insumos terrapl'!$C$3:$K$47,3,0)</f>
        <v>2N</v>
      </c>
      <c r="J1573" s="29">
        <f>VLOOKUP(G1573,'insumos terrapl'!$C$3:$K$47,4,0)</f>
        <v>58</v>
      </c>
      <c r="K1573" s="29" t="str">
        <f>VLOOKUP(G1573,'insumos terrapl'!$C$3:$K$47,5,0)</f>
        <v>06</v>
      </c>
      <c r="L1573" s="29" t="str">
        <f>VLOOKUP(G1573,'insumos terrapl'!$C$3:$K$47,6,0)</f>
        <v>00</v>
      </c>
      <c r="M1573" s="29" t="str">
        <f>VLOOKUP(G1573,'insumos terrapl'!$C$3:$K$47,7,0)</f>
        <v>00</v>
      </c>
      <c r="N1573" s="29" t="str">
        <f>VLOOKUP(G1573,'insumos terrapl'!$C$3:$K$47,8,0)</f>
        <v>00</v>
      </c>
      <c r="O1573" s="97" t="str">
        <f>VLOOKUP(G1573,'insumos terrapl'!$C$3:$K$47,9,0)</f>
        <v>00</v>
      </c>
    </row>
    <row r="1574" spans="1:15">
      <c r="A1574" s="134"/>
      <c r="B1574" s="137"/>
      <c r="C1574" s="132"/>
      <c r="D1574" s="116"/>
      <c r="E1574" s="116"/>
      <c r="F1574" s="13"/>
      <c r="G1574" s="21"/>
      <c r="H1574" s="31"/>
      <c r="I1574" s="31"/>
      <c r="J1574" s="31"/>
      <c r="K1574" s="31"/>
      <c r="L1574" s="31"/>
      <c r="M1574" s="31"/>
      <c r="N1574" s="31"/>
      <c r="O1574" s="98"/>
    </row>
    <row r="1575" spans="1:15">
      <c r="A1575" s="134"/>
      <c r="B1575" s="137"/>
      <c r="C1575" s="124" t="s">
        <v>258</v>
      </c>
      <c r="D1575" s="114" t="str">
        <f>$A$1095</f>
        <v>2.6.8</v>
      </c>
      <c r="E1575" s="115" t="s">
        <v>516</v>
      </c>
      <c r="F1575" s="11" t="s">
        <v>258</v>
      </c>
      <c r="G1575" s="20"/>
      <c r="H1575" s="29"/>
      <c r="I1575" s="29"/>
      <c r="J1575" s="29"/>
      <c r="K1575" s="29"/>
      <c r="L1575" s="29"/>
      <c r="M1575" s="29"/>
      <c r="N1575" s="29"/>
      <c r="O1575" s="97"/>
    </row>
    <row r="1576" spans="1:15" ht="30">
      <c r="A1576" s="134"/>
      <c r="B1576" s="137"/>
      <c r="C1576" s="125"/>
      <c r="D1576" s="115"/>
      <c r="E1576" s="115"/>
      <c r="F1576" s="11" t="s">
        <v>659</v>
      </c>
      <c r="G1576" s="20" t="s">
        <v>660</v>
      </c>
      <c r="H1576" s="29" t="str">
        <f>VLOOKUP(G1576,'insumos terrapl'!$C$3:$K$47,2,0)</f>
        <v>2Q  66  10  02  00  00  00</v>
      </c>
      <c r="I1576" s="29" t="str">
        <f>VLOOKUP(G1576,'insumos terrapl'!$C$3:$K$47,3,0)</f>
        <v>2Q</v>
      </c>
      <c r="J1576" s="29">
        <f>VLOOKUP(G1576,'insumos terrapl'!$C$3:$K$47,4,0)</f>
        <v>66</v>
      </c>
      <c r="K1576" s="29" t="str">
        <f>VLOOKUP(G1576,'insumos terrapl'!$C$3:$K$47,5,0)</f>
        <v>10</v>
      </c>
      <c r="L1576" s="29" t="str">
        <f>VLOOKUP(G1576,'insumos terrapl'!$C$3:$K$47,6,0)</f>
        <v>02</v>
      </c>
      <c r="M1576" s="29" t="str">
        <f>VLOOKUP(G1576,'insumos terrapl'!$C$3:$K$47,7,0)</f>
        <v>00</v>
      </c>
      <c r="N1576" s="29" t="str">
        <f>VLOOKUP(G1576,'insumos terrapl'!$C$3:$K$47,8,0)</f>
        <v>00</v>
      </c>
      <c r="O1576" s="97" t="str">
        <f>VLOOKUP(G1576,'insumos terrapl'!$C$3:$K$47,9,0)</f>
        <v>00</v>
      </c>
    </row>
    <row r="1577" spans="1:15" ht="30">
      <c r="A1577" s="134"/>
      <c r="B1577" s="137"/>
      <c r="C1577" s="125"/>
      <c r="D1577" s="115"/>
      <c r="E1577" s="115"/>
      <c r="F1577" s="11" t="s">
        <v>661</v>
      </c>
      <c r="G1577" s="20" t="s">
        <v>662</v>
      </c>
      <c r="H1577" s="29" t="str">
        <f>VLOOKUP(G1577,'insumos terrapl'!$C$3:$K$47,2,0)</f>
        <v>2Q  62  10  06  00  00  00</v>
      </c>
      <c r="I1577" s="29" t="str">
        <f>VLOOKUP(G1577,'insumos terrapl'!$C$3:$K$47,3,0)</f>
        <v>2Q</v>
      </c>
      <c r="J1577" s="29">
        <f>VLOOKUP(G1577,'insumos terrapl'!$C$3:$K$47,4,0)</f>
        <v>62</v>
      </c>
      <c r="K1577" s="29" t="str">
        <f>VLOOKUP(G1577,'insumos terrapl'!$C$3:$K$47,5,0)</f>
        <v>10</v>
      </c>
      <c r="L1577" s="29" t="str">
        <f>VLOOKUP(G1577,'insumos terrapl'!$C$3:$K$47,6,0)</f>
        <v>06</v>
      </c>
      <c r="M1577" s="29" t="str">
        <f>VLOOKUP(G1577,'insumos terrapl'!$C$3:$K$47,7,0)</f>
        <v>00</v>
      </c>
      <c r="N1577" s="29" t="str">
        <f>VLOOKUP(G1577,'insumos terrapl'!$C$3:$K$47,8,0)</f>
        <v>00</v>
      </c>
      <c r="O1577" s="97" t="str">
        <f>VLOOKUP(G1577,'insumos terrapl'!$C$3:$K$47,9,0)</f>
        <v>00</v>
      </c>
    </row>
    <row r="1578" spans="1:15" ht="30">
      <c r="A1578" s="134"/>
      <c r="B1578" s="137"/>
      <c r="C1578" s="125"/>
      <c r="D1578" s="115"/>
      <c r="E1578" s="115"/>
      <c r="F1578" s="11" t="s">
        <v>607</v>
      </c>
      <c r="G1578" s="20" t="s">
        <v>608</v>
      </c>
      <c r="H1578" s="29" t="str">
        <f>VLOOKUP(G1578,'insumos terrapl'!$C$3:$K$47,2,0)</f>
        <v>2Q  42  06  18  02  02  00</v>
      </c>
      <c r="I1578" s="29" t="str">
        <f>VLOOKUP(G1578,'insumos terrapl'!$C$3:$K$47,3,0)</f>
        <v>2Q</v>
      </c>
      <c r="J1578" s="29">
        <f>VLOOKUP(G1578,'insumos terrapl'!$C$3:$K$47,4,0)</f>
        <v>42</v>
      </c>
      <c r="K1578" s="29" t="str">
        <f>VLOOKUP(G1578,'insumos terrapl'!$C$3:$K$47,5,0)</f>
        <v>06</v>
      </c>
      <c r="L1578" s="29">
        <f>VLOOKUP(G1578,'insumos terrapl'!$C$3:$K$47,6,0)</f>
        <v>18</v>
      </c>
      <c r="M1578" s="29" t="str">
        <f>VLOOKUP(G1578,'insumos terrapl'!$C$3:$K$47,7,0)</f>
        <v>02</v>
      </c>
      <c r="N1578" s="29" t="str">
        <f>VLOOKUP(G1578,'insumos terrapl'!$C$3:$K$47,8,0)</f>
        <v>02</v>
      </c>
      <c r="O1578" s="97" t="str">
        <f>VLOOKUP(G1578,'insumos terrapl'!$C$3:$K$47,9,0)</f>
        <v>00</v>
      </c>
    </row>
    <row r="1579" spans="1:15" ht="45">
      <c r="A1579" s="134"/>
      <c r="B1579" s="137"/>
      <c r="C1579" s="125"/>
      <c r="D1579" s="115"/>
      <c r="E1579" s="115"/>
      <c r="F1579" s="11" t="s">
        <v>609</v>
      </c>
      <c r="G1579" s="20" t="s">
        <v>610</v>
      </c>
      <c r="H1579" s="29" t="str">
        <f>VLOOKUP(G1579,'insumos terrapl'!$C$3:$K$47,2,0)</f>
        <v>2Q  42  06  02  14  02  00</v>
      </c>
      <c r="I1579" s="29" t="str">
        <f>VLOOKUP(G1579,'insumos terrapl'!$C$3:$K$47,3,0)</f>
        <v>2Q</v>
      </c>
      <c r="J1579" s="29">
        <f>VLOOKUP(G1579,'insumos terrapl'!$C$3:$K$47,4,0)</f>
        <v>42</v>
      </c>
      <c r="K1579" s="29" t="str">
        <f>VLOOKUP(G1579,'insumos terrapl'!$C$3:$K$47,5,0)</f>
        <v>06</v>
      </c>
      <c r="L1579" s="29" t="str">
        <f>VLOOKUP(G1579,'insumos terrapl'!$C$3:$K$47,6,0)</f>
        <v>02</v>
      </c>
      <c r="M1579" s="29" t="str">
        <f>VLOOKUP(G1579,'insumos terrapl'!$C$3:$K$47,7,0)</f>
        <v>14</v>
      </c>
      <c r="N1579" s="29" t="str">
        <f>VLOOKUP(G1579,'insumos terrapl'!$C$3:$K$47,8,0)</f>
        <v>02</v>
      </c>
      <c r="O1579" s="97" t="str">
        <f>VLOOKUP(G1579,'insumos terrapl'!$C$3:$K$47,9,0)</f>
        <v>00</v>
      </c>
    </row>
    <row r="1580" spans="1:15">
      <c r="A1580" s="134"/>
      <c r="B1580" s="137"/>
      <c r="C1580" s="125"/>
      <c r="D1580" s="115"/>
      <c r="E1580" s="115"/>
      <c r="F1580" s="11" t="s">
        <v>633</v>
      </c>
      <c r="G1580" s="20" t="s">
        <v>634</v>
      </c>
      <c r="H1580" s="29" t="str">
        <f>VLOOKUP(G1580,'insumos terrapl'!$C$3:$K$47,2,0)</f>
        <v>2Q  58  10  10  02  06  00</v>
      </c>
      <c r="I1580" s="29" t="str">
        <f>VLOOKUP(G1580,'insumos terrapl'!$C$3:$K$47,3,0)</f>
        <v>2Q</v>
      </c>
      <c r="J1580" s="29">
        <f>VLOOKUP(G1580,'insumos terrapl'!$C$3:$K$47,4,0)</f>
        <v>58</v>
      </c>
      <c r="K1580" s="29" t="str">
        <f>VLOOKUP(G1580,'insumos terrapl'!$C$3:$K$47,5,0)</f>
        <v>10</v>
      </c>
      <c r="L1580" s="29" t="str">
        <f>VLOOKUP(G1580,'insumos terrapl'!$C$3:$K$47,6,0)</f>
        <v>10</v>
      </c>
      <c r="M1580" s="29" t="str">
        <f>VLOOKUP(G1580,'insumos terrapl'!$C$3:$K$47,7,0)</f>
        <v>02</v>
      </c>
      <c r="N1580" s="29" t="str">
        <f>VLOOKUP(G1580,'insumos terrapl'!$C$3:$K$47,8,0)</f>
        <v>06</v>
      </c>
      <c r="O1580" s="97" t="str">
        <f>VLOOKUP(G1580,'insumos terrapl'!$C$3:$K$47,9,0)</f>
        <v>00</v>
      </c>
    </row>
    <row r="1581" spans="1:15">
      <c r="A1581" s="134"/>
      <c r="B1581" s="137"/>
      <c r="C1581" s="125"/>
      <c r="D1581" s="115"/>
      <c r="E1581" s="115"/>
      <c r="F1581" s="11" t="s">
        <v>586</v>
      </c>
      <c r="G1581" s="20" t="s">
        <v>587</v>
      </c>
      <c r="H1581" s="29" t="str">
        <f>VLOOKUP(G1581,'insumos terrapl'!$C$3:$K$47,2,0)</f>
        <v>2Q  62  30  02  14  00  00</v>
      </c>
      <c r="I1581" s="29" t="str">
        <f>VLOOKUP(G1581,'insumos terrapl'!$C$3:$K$47,3,0)</f>
        <v>2Q</v>
      </c>
      <c r="J1581" s="29">
        <f>VLOOKUP(G1581,'insumos terrapl'!$C$3:$K$47,4,0)</f>
        <v>62</v>
      </c>
      <c r="K1581" s="29">
        <f>VLOOKUP(G1581,'insumos terrapl'!$C$3:$K$47,5,0)</f>
        <v>30</v>
      </c>
      <c r="L1581" s="29" t="str">
        <f>VLOOKUP(G1581,'insumos terrapl'!$C$3:$K$47,6,0)</f>
        <v>02</v>
      </c>
      <c r="M1581" s="29" t="str">
        <f>VLOOKUP(G1581,'insumos terrapl'!$C$3:$K$47,7,0)</f>
        <v>14</v>
      </c>
      <c r="N1581" s="29" t="str">
        <f>VLOOKUP(G1581,'insumos terrapl'!$C$3:$K$47,8,0)</f>
        <v>00</v>
      </c>
      <c r="O1581" s="97" t="str">
        <f>VLOOKUP(G1581,'insumos terrapl'!$C$3:$K$47,9,0)</f>
        <v>00</v>
      </c>
    </row>
    <row r="1582" spans="1:15">
      <c r="A1582" s="134"/>
      <c r="B1582" s="137"/>
      <c r="C1582" s="125"/>
      <c r="D1582" s="115"/>
      <c r="E1582" s="115"/>
      <c r="F1582" s="11" t="s">
        <v>613</v>
      </c>
      <c r="G1582" s="20" t="s">
        <v>614</v>
      </c>
      <c r="H1582" s="29" t="str">
        <f>VLOOKUP(G1582,'insumos terrapl'!$C$3:$K$47,2,0)</f>
        <v>2N  20  14  02  00  00  00</v>
      </c>
      <c r="I1582" s="29" t="str">
        <f>VLOOKUP(G1582,'insumos terrapl'!$C$3:$K$47,3,0)</f>
        <v>2N</v>
      </c>
      <c r="J1582" s="29">
        <f>VLOOKUP(G1582,'insumos terrapl'!$C$3:$K$47,4,0)</f>
        <v>20</v>
      </c>
      <c r="K1582" s="29" t="str">
        <f>VLOOKUP(G1582,'insumos terrapl'!$C$3:$K$47,5,0)</f>
        <v>14</v>
      </c>
      <c r="L1582" s="29" t="str">
        <f>VLOOKUP(G1582,'insumos terrapl'!$C$3:$K$47,6,0)</f>
        <v>02</v>
      </c>
      <c r="M1582" s="29" t="str">
        <f>VLOOKUP(G1582,'insumos terrapl'!$C$3:$K$47,7,0)</f>
        <v>00</v>
      </c>
      <c r="N1582" s="29" t="str">
        <f>VLOOKUP(G1582,'insumos terrapl'!$C$3:$K$47,8,0)</f>
        <v>00</v>
      </c>
      <c r="O1582" s="97" t="str">
        <f>VLOOKUP(G1582,'insumos terrapl'!$C$3:$K$47,9,0)</f>
        <v>00</v>
      </c>
    </row>
    <row r="1583" spans="1:15">
      <c r="A1583" s="134"/>
      <c r="B1583" s="137"/>
      <c r="C1583" s="125"/>
      <c r="D1583" s="115"/>
      <c r="E1583" s="115"/>
      <c r="F1583" s="11" t="s">
        <v>615</v>
      </c>
      <c r="G1583" s="20" t="s">
        <v>616</v>
      </c>
      <c r="H1583" s="29" t="str">
        <f>VLOOKUP(G1583,'insumos terrapl'!$C$3:$K$47,2,0)</f>
        <v>2N  20  14  02  00  00  00</v>
      </c>
      <c r="I1583" s="29" t="str">
        <f>VLOOKUP(G1583,'insumos terrapl'!$C$3:$K$47,3,0)</f>
        <v>2N</v>
      </c>
      <c r="J1583" s="29">
        <f>VLOOKUP(G1583,'insumos terrapl'!$C$3:$K$47,4,0)</f>
        <v>20</v>
      </c>
      <c r="K1583" s="29" t="str">
        <f>VLOOKUP(G1583,'insumos terrapl'!$C$3:$K$47,5,0)</f>
        <v>14</v>
      </c>
      <c r="L1583" s="29" t="str">
        <f>VLOOKUP(G1583,'insumos terrapl'!$C$3:$K$47,6,0)</f>
        <v>02</v>
      </c>
      <c r="M1583" s="29" t="str">
        <f>VLOOKUP(G1583,'insumos terrapl'!$C$3:$K$47,7,0)</f>
        <v>00</v>
      </c>
      <c r="N1583" s="29" t="str">
        <f>VLOOKUP(G1583,'insumos terrapl'!$C$3:$K$47,8,0)</f>
        <v>00</v>
      </c>
      <c r="O1583" s="97" t="str">
        <f>VLOOKUP(G1583,'insumos terrapl'!$C$3:$K$47,9,0)</f>
        <v>00</v>
      </c>
    </row>
    <row r="1584" spans="1:15" ht="30">
      <c r="A1584" s="134"/>
      <c r="B1584" s="137"/>
      <c r="C1584" s="125"/>
      <c r="D1584" s="115"/>
      <c r="E1584" s="115"/>
      <c r="F1584" s="11" t="s">
        <v>635</v>
      </c>
      <c r="G1584" s="20" t="s">
        <v>636</v>
      </c>
      <c r="H1584" s="29" t="str">
        <f>VLOOKUP(G1584,'insumos terrapl'!$C$3:$K$47,2,0)</f>
        <v>2N  58  06  00  00  00  00</v>
      </c>
      <c r="I1584" s="29" t="str">
        <f>VLOOKUP(G1584,'insumos terrapl'!$C$3:$K$47,3,0)</f>
        <v>2N</v>
      </c>
      <c r="J1584" s="29">
        <f>VLOOKUP(G1584,'insumos terrapl'!$C$3:$K$47,4,0)</f>
        <v>58</v>
      </c>
      <c r="K1584" s="29" t="str">
        <f>VLOOKUP(G1584,'insumos terrapl'!$C$3:$K$47,5,0)</f>
        <v>06</v>
      </c>
      <c r="L1584" s="29" t="str">
        <f>VLOOKUP(G1584,'insumos terrapl'!$C$3:$K$47,6,0)</f>
        <v>00</v>
      </c>
      <c r="M1584" s="29" t="str">
        <f>VLOOKUP(G1584,'insumos terrapl'!$C$3:$K$47,7,0)</f>
        <v>00</v>
      </c>
      <c r="N1584" s="29" t="str">
        <f>VLOOKUP(G1584,'insumos terrapl'!$C$3:$K$47,8,0)</f>
        <v>00</v>
      </c>
      <c r="O1584" s="97" t="str">
        <f>VLOOKUP(G1584,'insumos terrapl'!$C$3:$K$47,9,0)</f>
        <v>00</v>
      </c>
    </row>
    <row r="1585" spans="1:15">
      <c r="A1585" s="134"/>
      <c r="B1585" s="137"/>
      <c r="C1585" s="125"/>
      <c r="D1585" s="115"/>
      <c r="E1585" s="115"/>
      <c r="F1585" s="11" t="s">
        <v>617</v>
      </c>
      <c r="G1585" s="20" t="s">
        <v>618</v>
      </c>
      <c r="H1585" s="29" t="str">
        <f>VLOOKUP(G1585,'insumos terrapl'!$C$3:$K$47,2,0)</f>
        <v>2Q  58  06  02  28  00  00</v>
      </c>
      <c r="I1585" s="29" t="str">
        <f>VLOOKUP(G1585,'insumos terrapl'!$C$3:$K$47,3,0)</f>
        <v>2Q</v>
      </c>
      <c r="J1585" s="29">
        <f>VLOOKUP(G1585,'insumos terrapl'!$C$3:$K$47,4,0)</f>
        <v>58</v>
      </c>
      <c r="K1585" s="29" t="str">
        <f>VLOOKUP(G1585,'insumos terrapl'!$C$3:$K$47,5,0)</f>
        <v>06</v>
      </c>
      <c r="L1585" s="29" t="str">
        <f>VLOOKUP(G1585,'insumos terrapl'!$C$3:$K$47,6,0)</f>
        <v>02</v>
      </c>
      <c r="M1585" s="29" t="str">
        <f>VLOOKUP(G1585,'insumos terrapl'!$C$3:$K$47,7,0)</f>
        <v>28</v>
      </c>
      <c r="N1585" s="29" t="str">
        <f>VLOOKUP(G1585,'insumos terrapl'!$C$3:$K$47,8,0)</f>
        <v>00</v>
      </c>
      <c r="O1585" s="97" t="str">
        <f>VLOOKUP(G1585,'insumos terrapl'!$C$3:$K$47,9,0)</f>
        <v>00</v>
      </c>
    </row>
    <row r="1586" spans="1:15" ht="30">
      <c r="A1586" s="134"/>
      <c r="B1586" s="137"/>
      <c r="C1586" s="125"/>
      <c r="D1586" s="115"/>
      <c r="E1586" s="115"/>
      <c r="F1586" s="11" t="s">
        <v>637</v>
      </c>
      <c r="G1586" s="20" t="s">
        <v>638</v>
      </c>
      <c r="H1586" s="29" t="str">
        <f>VLOOKUP(G1586,'insumos terrapl'!$C$3:$K$47,2,0)</f>
        <v>2N  58  06  00  00  00  00</v>
      </c>
      <c r="I1586" s="29" t="str">
        <f>VLOOKUP(G1586,'insumos terrapl'!$C$3:$K$47,3,0)</f>
        <v>2N</v>
      </c>
      <c r="J1586" s="29">
        <f>VLOOKUP(G1586,'insumos terrapl'!$C$3:$K$47,4,0)</f>
        <v>58</v>
      </c>
      <c r="K1586" s="29" t="str">
        <f>VLOOKUP(G1586,'insumos terrapl'!$C$3:$K$47,5,0)</f>
        <v>06</v>
      </c>
      <c r="L1586" s="29" t="str">
        <f>VLOOKUP(G1586,'insumos terrapl'!$C$3:$K$47,6,0)</f>
        <v>00</v>
      </c>
      <c r="M1586" s="29" t="str">
        <f>VLOOKUP(G1586,'insumos terrapl'!$C$3:$K$47,7,0)</f>
        <v>00</v>
      </c>
      <c r="N1586" s="29" t="str">
        <f>VLOOKUP(G1586,'insumos terrapl'!$C$3:$K$47,8,0)</f>
        <v>00</v>
      </c>
      <c r="O1586" s="97" t="str">
        <f>VLOOKUP(G1586,'insumos terrapl'!$C$3:$K$47,9,0)</f>
        <v>00</v>
      </c>
    </row>
    <row r="1587" spans="1:15" ht="30">
      <c r="A1587" s="134"/>
      <c r="B1587" s="137"/>
      <c r="C1587" s="125"/>
      <c r="D1587" s="115"/>
      <c r="E1587" s="115"/>
      <c r="F1587" s="11" t="s">
        <v>639</v>
      </c>
      <c r="G1587" s="20" t="s">
        <v>640</v>
      </c>
      <c r="H1587" s="29" t="str">
        <f>VLOOKUP(G1587,'insumos terrapl'!$C$3:$K$47,2,0)</f>
        <v>2N  58  06  00  00  00  00</v>
      </c>
      <c r="I1587" s="29" t="str">
        <f>VLOOKUP(G1587,'insumos terrapl'!$C$3:$K$47,3,0)</f>
        <v>2N</v>
      </c>
      <c r="J1587" s="29">
        <f>VLOOKUP(G1587,'insumos terrapl'!$C$3:$K$47,4,0)</f>
        <v>58</v>
      </c>
      <c r="K1587" s="29" t="str">
        <f>VLOOKUP(G1587,'insumos terrapl'!$C$3:$K$47,5,0)</f>
        <v>06</v>
      </c>
      <c r="L1587" s="29" t="str">
        <f>VLOOKUP(G1587,'insumos terrapl'!$C$3:$K$47,6,0)</f>
        <v>00</v>
      </c>
      <c r="M1587" s="29" t="str">
        <f>VLOOKUP(G1587,'insumos terrapl'!$C$3:$K$47,7,0)</f>
        <v>00</v>
      </c>
      <c r="N1587" s="29" t="str">
        <f>VLOOKUP(G1587,'insumos terrapl'!$C$3:$K$47,8,0)</f>
        <v>00</v>
      </c>
      <c r="O1587" s="97" t="str">
        <f>VLOOKUP(G1587,'insumos terrapl'!$C$3:$K$47,9,0)</f>
        <v>00</v>
      </c>
    </row>
    <row r="1588" spans="1:15">
      <c r="A1588" s="134"/>
      <c r="B1588" s="137"/>
      <c r="C1588" s="125"/>
      <c r="D1588" s="115"/>
      <c r="E1588" s="115"/>
      <c r="F1588" s="11" t="s">
        <v>641</v>
      </c>
      <c r="G1588" s="20" t="s">
        <v>642</v>
      </c>
      <c r="H1588" s="29" t="str">
        <f>VLOOKUP(G1588,'insumos terrapl'!$C$3:$K$47,2,0)</f>
        <v>2N  58  06  00  00  00  00</v>
      </c>
      <c r="I1588" s="29" t="str">
        <f>VLOOKUP(G1588,'insumos terrapl'!$C$3:$K$47,3,0)</f>
        <v>2N</v>
      </c>
      <c r="J1588" s="29">
        <f>VLOOKUP(G1588,'insumos terrapl'!$C$3:$K$47,4,0)</f>
        <v>58</v>
      </c>
      <c r="K1588" s="29" t="str">
        <f>VLOOKUP(G1588,'insumos terrapl'!$C$3:$K$47,5,0)</f>
        <v>06</v>
      </c>
      <c r="L1588" s="29" t="str">
        <f>VLOOKUP(G1588,'insumos terrapl'!$C$3:$K$47,6,0)</f>
        <v>00</v>
      </c>
      <c r="M1588" s="29" t="str">
        <f>VLOOKUP(G1588,'insumos terrapl'!$C$3:$K$47,7,0)</f>
        <v>00</v>
      </c>
      <c r="N1588" s="29" t="str">
        <f>VLOOKUP(G1588,'insumos terrapl'!$C$3:$K$47,8,0)</f>
        <v>00</v>
      </c>
      <c r="O1588" s="97" t="str">
        <f>VLOOKUP(G1588,'insumos terrapl'!$C$3:$K$47,9,0)</f>
        <v>00</v>
      </c>
    </row>
    <row r="1589" spans="1:15">
      <c r="A1589" s="134"/>
      <c r="B1589" s="137"/>
      <c r="C1589" s="125"/>
      <c r="D1589" s="115"/>
      <c r="E1589" s="115"/>
      <c r="F1589" s="11" t="s">
        <v>619</v>
      </c>
      <c r="G1589" s="20" t="s">
        <v>620</v>
      </c>
      <c r="H1589" s="29"/>
      <c r="I1589" s="29"/>
      <c r="J1589" s="29"/>
      <c r="K1589" s="29"/>
      <c r="L1589" s="29"/>
      <c r="M1589" s="29"/>
      <c r="N1589" s="29"/>
      <c r="O1589" s="97"/>
    </row>
    <row r="1590" spans="1:15">
      <c r="A1590" s="134"/>
      <c r="B1590" s="137"/>
      <c r="C1590" s="125"/>
      <c r="D1590" s="115"/>
      <c r="E1590" s="115"/>
      <c r="F1590" s="11" t="s">
        <v>643</v>
      </c>
      <c r="G1590" s="20" t="s">
        <v>644</v>
      </c>
      <c r="H1590" s="29" t="str">
        <f>VLOOKUP(G1590,'insumos terrapl'!$C$3:$K$47,2,0)</f>
        <v>2N  58  06  00  00  00  00</v>
      </c>
      <c r="I1590" s="29" t="str">
        <f>VLOOKUP(G1590,'insumos terrapl'!$C$3:$K$47,3,0)</f>
        <v>2N</v>
      </c>
      <c r="J1590" s="29">
        <f>VLOOKUP(G1590,'insumos terrapl'!$C$3:$K$47,4,0)</f>
        <v>58</v>
      </c>
      <c r="K1590" s="29" t="str">
        <f>VLOOKUP(G1590,'insumos terrapl'!$C$3:$K$47,5,0)</f>
        <v>06</v>
      </c>
      <c r="L1590" s="29" t="str">
        <f>VLOOKUP(G1590,'insumos terrapl'!$C$3:$K$47,6,0)</f>
        <v>00</v>
      </c>
      <c r="M1590" s="29" t="str">
        <f>VLOOKUP(G1590,'insumos terrapl'!$C$3:$K$47,7,0)</f>
        <v>00</v>
      </c>
      <c r="N1590" s="29" t="str">
        <f>VLOOKUP(G1590,'insumos terrapl'!$C$3:$K$47,8,0)</f>
        <v>00</v>
      </c>
      <c r="O1590" s="97" t="str">
        <f>VLOOKUP(G1590,'insumos terrapl'!$C$3:$K$47,9,0)</f>
        <v>00</v>
      </c>
    </row>
    <row r="1591" spans="1:15">
      <c r="A1591" s="134"/>
      <c r="B1591" s="137"/>
      <c r="C1591" s="125"/>
      <c r="D1591" s="115"/>
      <c r="E1591" s="115"/>
      <c r="F1591" s="11" t="s">
        <v>645</v>
      </c>
      <c r="G1591" s="20" t="s">
        <v>646</v>
      </c>
      <c r="H1591" s="29" t="str">
        <f>VLOOKUP(G1591,'insumos terrapl'!$C$3:$K$47,2,0)</f>
        <v>2N  58  06  00  00  00  00</v>
      </c>
      <c r="I1591" s="29" t="str">
        <f>VLOOKUP(G1591,'insumos terrapl'!$C$3:$K$47,3,0)</f>
        <v>2N</v>
      </c>
      <c r="J1591" s="29">
        <f>VLOOKUP(G1591,'insumos terrapl'!$C$3:$K$47,4,0)</f>
        <v>58</v>
      </c>
      <c r="K1591" s="29" t="str">
        <f>VLOOKUP(G1591,'insumos terrapl'!$C$3:$K$47,5,0)</f>
        <v>06</v>
      </c>
      <c r="L1591" s="29" t="str">
        <f>VLOOKUP(G1591,'insumos terrapl'!$C$3:$K$47,6,0)</f>
        <v>00</v>
      </c>
      <c r="M1591" s="29" t="str">
        <f>VLOOKUP(G1591,'insumos terrapl'!$C$3:$K$47,7,0)</f>
        <v>00</v>
      </c>
      <c r="N1591" s="29" t="str">
        <f>VLOOKUP(G1591,'insumos terrapl'!$C$3:$K$47,8,0)</f>
        <v>00</v>
      </c>
      <c r="O1591" s="97" t="str">
        <f>VLOOKUP(G1591,'insumos terrapl'!$C$3:$K$47,9,0)</f>
        <v>00</v>
      </c>
    </row>
    <row r="1592" spans="1:15" ht="30">
      <c r="A1592" s="134"/>
      <c r="B1592" s="137"/>
      <c r="C1592" s="125"/>
      <c r="D1592" s="115"/>
      <c r="E1592" s="115"/>
      <c r="F1592" s="11" t="s">
        <v>647</v>
      </c>
      <c r="G1592" s="20" t="s">
        <v>648</v>
      </c>
      <c r="H1592" s="29" t="str">
        <f>VLOOKUP(G1592,'insumos terrapl'!$C$3:$K$47,2,0)</f>
        <v>2N  58  06  00  00  00  00</v>
      </c>
      <c r="I1592" s="29" t="str">
        <f>VLOOKUP(G1592,'insumos terrapl'!$C$3:$K$47,3,0)</f>
        <v>2N</v>
      </c>
      <c r="J1592" s="29">
        <f>VLOOKUP(G1592,'insumos terrapl'!$C$3:$K$47,4,0)</f>
        <v>58</v>
      </c>
      <c r="K1592" s="29" t="str">
        <f>VLOOKUP(G1592,'insumos terrapl'!$C$3:$K$47,5,0)</f>
        <v>06</v>
      </c>
      <c r="L1592" s="29" t="str">
        <f>VLOOKUP(G1592,'insumos terrapl'!$C$3:$K$47,6,0)</f>
        <v>00</v>
      </c>
      <c r="M1592" s="29" t="str">
        <f>VLOOKUP(G1592,'insumos terrapl'!$C$3:$K$47,7,0)</f>
        <v>00</v>
      </c>
      <c r="N1592" s="29" t="str">
        <f>VLOOKUP(G1592,'insumos terrapl'!$C$3:$K$47,8,0)</f>
        <v>00</v>
      </c>
      <c r="O1592" s="97" t="str">
        <f>VLOOKUP(G1592,'insumos terrapl'!$C$3:$K$47,9,0)</f>
        <v>00</v>
      </c>
    </row>
    <row r="1593" spans="1:15">
      <c r="A1593" s="134"/>
      <c r="B1593" s="137"/>
      <c r="C1593" s="125"/>
      <c r="D1593" s="115"/>
      <c r="E1593" s="115"/>
      <c r="F1593" s="11" t="s">
        <v>621</v>
      </c>
      <c r="G1593" s="20" t="s">
        <v>622</v>
      </c>
      <c r="H1593" s="29" t="str">
        <f>VLOOKUP(G1593,'insumos terrapl'!$C$3:$K$47,2,0)</f>
        <v>2N  58  06  00  00  00  00</v>
      </c>
      <c r="I1593" s="29" t="str">
        <f>VLOOKUP(G1593,'insumos terrapl'!$C$3:$K$47,3,0)</f>
        <v>2N</v>
      </c>
      <c r="J1593" s="29">
        <f>VLOOKUP(G1593,'insumos terrapl'!$C$3:$K$47,4,0)</f>
        <v>58</v>
      </c>
      <c r="K1593" s="29" t="str">
        <f>VLOOKUP(G1593,'insumos terrapl'!$C$3:$K$47,5,0)</f>
        <v>06</v>
      </c>
      <c r="L1593" s="29" t="str">
        <f>VLOOKUP(G1593,'insumos terrapl'!$C$3:$K$47,6,0)</f>
        <v>00</v>
      </c>
      <c r="M1593" s="29" t="str">
        <f>VLOOKUP(G1593,'insumos terrapl'!$C$3:$K$47,7,0)</f>
        <v>00</v>
      </c>
      <c r="N1593" s="29" t="str">
        <f>VLOOKUP(G1593,'insumos terrapl'!$C$3:$K$47,8,0)</f>
        <v>00</v>
      </c>
      <c r="O1593" s="97" t="str">
        <f>VLOOKUP(G1593,'insumos terrapl'!$C$3:$K$47,9,0)</f>
        <v>00</v>
      </c>
    </row>
    <row r="1594" spans="1:15">
      <c r="A1594" s="134"/>
      <c r="B1594" s="137"/>
      <c r="C1594" s="132"/>
      <c r="D1594" s="116"/>
      <c r="E1594" s="115"/>
      <c r="F1594" s="10"/>
      <c r="G1594" s="20"/>
      <c r="H1594" s="29"/>
      <c r="I1594" s="29"/>
      <c r="J1594" s="29"/>
      <c r="K1594" s="29"/>
      <c r="L1594" s="29"/>
      <c r="M1594" s="29"/>
      <c r="N1594" s="29"/>
      <c r="O1594" s="97"/>
    </row>
    <row r="1595" spans="1:15">
      <c r="A1595" s="134"/>
      <c r="B1595" s="137"/>
      <c r="C1595" s="124" t="s">
        <v>259</v>
      </c>
      <c r="D1595" s="114" t="str">
        <f>$A$1095</f>
        <v>2.6.8</v>
      </c>
      <c r="E1595" s="114" t="s">
        <v>517</v>
      </c>
      <c r="F1595" s="12" t="s">
        <v>259</v>
      </c>
      <c r="G1595" s="19"/>
      <c r="H1595" s="28"/>
      <c r="I1595" s="28"/>
      <c r="J1595" s="28"/>
      <c r="K1595" s="28"/>
      <c r="L1595" s="28"/>
      <c r="M1595" s="28"/>
      <c r="N1595" s="28"/>
      <c r="O1595" s="99"/>
    </row>
    <row r="1596" spans="1:15" ht="30">
      <c r="A1596" s="134"/>
      <c r="B1596" s="137"/>
      <c r="C1596" s="125"/>
      <c r="D1596" s="115"/>
      <c r="E1596" s="115"/>
      <c r="F1596" s="11" t="s">
        <v>659</v>
      </c>
      <c r="G1596" s="20" t="s">
        <v>660</v>
      </c>
      <c r="H1596" s="29" t="str">
        <f>VLOOKUP(G1596,'insumos terrapl'!$C$3:$K$47,2,0)</f>
        <v>2Q  66  10  02  00  00  00</v>
      </c>
      <c r="I1596" s="29" t="str">
        <f>VLOOKUP(G1596,'insumos terrapl'!$C$3:$K$47,3,0)</f>
        <v>2Q</v>
      </c>
      <c r="J1596" s="29">
        <f>VLOOKUP(G1596,'insumos terrapl'!$C$3:$K$47,4,0)</f>
        <v>66</v>
      </c>
      <c r="K1596" s="29" t="str">
        <f>VLOOKUP(G1596,'insumos terrapl'!$C$3:$K$47,5,0)</f>
        <v>10</v>
      </c>
      <c r="L1596" s="29" t="str">
        <f>VLOOKUP(G1596,'insumos terrapl'!$C$3:$K$47,6,0)</f>
        <v>02</v>
      </c>
      <c r="M1596" s="29" t="str">
        <f>VLOOKUP(G1596,'insumos terrapl'!$C$3:$K$47,7,0)</f>
        <v>00</v>
      </c>
      <c r="N1596" s="29" t="str">
        <f>VLOOKUP(G1596,'insumos terrapl'!$C$3:$K$47,8,0)</f>
        <v>00</v>
      </c>
      <c r="O1596" s="97" t="str">
        <f>VLOOKUP(G1596,'insumos terrapl'!$C$3:$K$47,9,0)</f>
        <v>00</v>
      </c>
    </row>
    <row r="1597" spans="1:15" ht="30">
      <c r="A1597" s="134"/>
      <c r="B1597" s="137"/>
      <c r="C1597" s="125"/>
      <c r="D1597" s="115"/>
      <c r="E1597" s="115"/>
      <c r="F1597" s="11" t="s">
        <v>661</v>
      </c>
      <c r="G1597" s="20" t="s">
        <v>662</v>
      </c>
      <c r="H1597" s="29" t="str">
        <f>VLOOKUP(G1597,'insumos terrapl'!$C$3:$K$47,2,0)</f>
        <v>2Q  62  10  06  00  00  00</v>
      </c>
      <c r="I1597" s="29" t="str">
        <f>VLOOKUP(G1597,'insumos terrapl'!$C$3:$K$47,3,0)</f>
        <v>2Q</v>
      </c>
      <c r="J1597" s="29">
        <f>VLOOKUP(G1597,'insumos terrapl'!$C$3:$K$47,4,0)</f>
        <v>62</v>
      </c>
      <c r="K1597" s="29" t="str">
        <f>VLOOKUP(G1597,'insumos terrapl'!$C$3:$K$47,5,0)</f>
        <v>10</v>
      </c>
      <c r="L1597" s="29" t="str">
        <f>VLOOKUP(G1597,'insumos terrapl'!$C$3:$K$47,6,0)</f>
        <v>06</v>
      </c>
      <c r="M1597" s="29" t="str">
        <f>VLOOKUP(G1597,'insumos terrapl'!$C$3:$K$47,7,0)</f>
        <v>00</v>
      </c>
      <c r="N1597" s="29" t="str">
        <f>VLOOKUP(G1597,'insumos terrapl'!$C$3:$K$47,8,0)</f>
        <v>00</v>
      </c>
      <c r="O1597" s="97" t="str">
        <f>VLOOKUP(G1597,'insumos terrapl'!$C$3:$K$47,9,0)</f>
        <v>00</v>
      </c>
    </row>
    <row r="1598" spans="1:15" ht="30">
      <c r="A1598" s="134"/>
      <c r="B1598" s="137"/>
      <c r="C1598" s="125"/>
      <c r="D1598" s="115"/>
      <c r="E1598" s="115"/>
      <c r="F1598" s="11" t="s">
        <v>607</v>
      </c>
      <c r="G1598" s="20" t="s">
        <v>608</v>
      </c>
      <c r="H1598" s="29" t="str">
        <f>VLOOKUP(G1598,'insumos terrapl'!$C$3:$K$47,2,0)</f>
        <v>2Q  42  06  18  02  02  00</v>
      </c>
      <c r="I1598" s="29" t="str">
        <f>VLOOKUP(G1598,'insumos terrapl'!$C$3:$K$47,3,0)</f>
        <v>2Q</v>
      </c>
      <c r="J1598" s="29">
        <f>VLOOKUP(G1598,'insumos terrapl'!$C$3:$K$47,4,0)</f>
        <v>42</v>
      </c>
      <c r="K1598" s="29" t="str">
        <f>VLOOKUP(G1598,'insumos terrapl'!$C$3:$K$47,5,0)</f>
        <v>06</v>
      </c>
      <c r="L1598" s="29">
        <f>VLOOKUP(G1598,'insumos terrapl'!$C$3:$K$47,6,0)</f>
        <v>18</v>
      </c>
      <c r="M1598" s="29" t="str">
        <f>VLOOKUP(G1598,'insumos terrapl'!$C$3:$K$47,7,0)</f>
        <v>02</v>
      </c>
      <c r="N1598" s="29" t="str">
        <f>VLOOKUP(G1598,'insumos terrapl'!$C$3:$K$47,8,0)</f>
        <v>02</v>
      </c>
      <c r="O1598" s="97" t="str">
        <f>VLOOKUP(G1598,'insumos terrapl'!$C$3:$K$47,9,0)</f>
        <v>00</v>
      </c>
    </row>
    <row r="1599" spans="1:15" ht="45">
      <c r="A1599" s="134"/>
      <c r="B1599" s="137"/>
      <c r="C1599" s="125"/>
      <c r="D1599" s="115"/>
      <c r="E1599" s="115"/>
      <c r="F1599" s="11" t="s">
        <v>609</v>
      </c>
      <c r="G1599" s="20" t="s">
        <v>610</v>
      </c>
      <c r="H1599" s="29" t="str">
        <f>VLOOKUP(G1599,'insumos terrapl'!$C$3:$K$47,2,0)</f>
        <v>2Q  42  06  02  14  02  00</v>
      </c>
      <c r="I1599" s="29" t="str">
        <f>VLOOKUP(G1599,'insumos terrapl'!$C$3:$K$47,3,0)</f>
        <v>2Q</v>
      </c>
      <c r="J1599" s="29">
        <f>VLOOKUP(G1599,'insumos terrapl'!$C$3:$K$47,4,0)</f>
        <v>42</v>
      </c>
      <c r="K1599" s="29" t="str">
        <f>VLOOKUP(G1599,'insumos terrapl'!$C$3:$K$47,5,0)</f>
        <v>06</v>
      </c>
      <c r="L1599" s="29" t="str">
        <f>VLOOKUP(G1599,'insumos terrapl'!$C$3:$K$47,6,0)</f>
        <v>02</v>
      </c>
      <c r="M1599" s="29" t="str">
        <f>VLOOKUP(G1599,'insumos terrapl'!$C$3:$K$47,7,0)</f>
        <v>14</v>
      </c>
      <c r="N1599" s="29" t="str">
        <f>VLOOKUP(G1599,'insumos terrapl'!$C$3:$K$47,8,0)</f>
        <v>02</v>
      </c>
      <c r="O1599" s="97" t="str">
        <f>VLOOKUP(G1599,'insumos terrapl'!$C$3:$K$47,9,0)</f>
        <v>00</v>
      </c>
    </row>
    <row r="1600" spans="1:15">
      <c r="A1600" s="134"/>
      <c r="B1600" s="137"/>
      <c r="C1600" s="125"/>
      <c r="D1600" s="115"/>
      <c r="E1600" s="115"/>
      <c r="F1600" s="11" t="s">
        <v>633</v>
      </c>
      <c r="G1600" s="20" t="s">
        <v>634</v>
      </c>
      <c r="H1600" s="29" t="str">
        <f>VLOOKUP(G1600,'insumos terrapl'!$C$3:$K$47,2,0)</f>
        <v>2Q  58  10  10  02  06  00</v>
      </c>
      <c r="I1600" s="29" t="str">
        <f>VLOOKUP(G1600,'insumos terrapl'!$C$3:$K$47,3,0)</f>
        <v>2Q</v>
      </c>
      <c r="J1600" s="29">
        <f>VLOOKUP(G1600,'insumos terrapl'!$C$3:$K$47,4,0)</f>
        <v>58</v>
      </c>
      <c r="K1600" s="29" t="str">
        <f>VLOOKUP(G1600,'insumos terrapl'!$C$3:$K$47,5,0)</f>
        <v>10</v>
      </c>
      <c r="L1600" s="29" t="str">
        <f>VLOOKUP(G1600,'insumos terrapl'!$C$3:$K$47,6,0)</f>
        <v>10</v>
      </c>
      <c r="M1600" s="29" t="str">
        <f>VLOOKUP(G1600,'insumos terrapl'!$C$3:$K$47,7,0)</f>
        <v>02</v>
      </c>
      <c r="N1600" s="29" t="str">
        <f>VLOOKUP(G1600,'insumos terrapl'!$C$3:$K$47,8,0)</f>
        <v>06</v>
      </c>
      <c r="O1600" s="97" t="str">
        <f>VLOOKUP(G1600,'insumos terrapl'!$C$3:$K$47,9,0)</f>
        <v>00</v>
      </c>
    </row>
    <row r="1601" spans="1:15">
      <c r="A1601" s="134"/>
      <c r="B1601" s="137"/>
      <c r="C1601" s="125"/>
      <c r="D1601" s="115"/>
      <c r="E1601" s="115"/>
      <c r="F1601" s="11" t="s">
        <v>586</v>
      </c>
      <c r="G1601" s="20" t="s">
        <v>587</v>
      </c>
      <c r="H1601" s="29" t="str">
        <f>VLOOKUP(G1601,'insumos terrapl'!$C$3:$K$47,2,0)</f>
        <v>2Q  62  30  02  14  00  00</v>
      </c>
      <c r="I1601" s="29" t="str">
        <f>VLOOKUP(G1601,'insumos terrapl'!$C$3:$K$47,3,0)</f>
        <v>2Q</v>
      </c>
      <c r="J1601" s="29">
        <f>VLOOKUP(G1601,'insumos terrapl'!$C$3:$K$47,4,0)</f>
        <v>62</v>
      </c>
      <c r="K1601" s="29">
        <f>VLOOKUP(G1601,'insumos terrapl'!$C$3:$K$47,5,0)</f>
        <v>30</v>
      </c>
      <c r="L1601" s="29" t="str">
        <f>VLOOKUP(G1601,'insumos terrapl'!$C$3:$K$47,6,0)</f>
        <v>02</v>
      </c>
      <c r="M1601" s="29" t="str">
        <f>VLOOKUP(G1601,'insumos terrapl'!$C$3:$K$47,7,0)</f>
        <v>14</v>
      </c>
      <c r="N1601" s="29" t="str">
        <f>VLOOKUP(G1601,'insumos terrapl'!$C$3:$K$47,8,0)</f>
        <v>00</v>
      </c>
      <c r="O1601" s="97" t="str">
        <f>VLOOKUP(G1601,'insumos terrapl'!$C$3:$K$47,9,0)</f>
        <v>00</v>
      </c>
    </row>
    <row r="1602" spans="1:15">
      <c r="A1602" s="134"/>
      <c r="B1602" s="137"/>
      <c r="C1602" s="125"/>
      <c r="D1602" s="115"/>
      <c r="E1602" s="115"/>
      <c r="F1602" s="11" t="s">
        <v>613</v>
      </c>
      <c r="G1602" s="20" t="s">
        <v>614</v>
      </c>
      <c r="H1602" s="29" t="str">
        <f>VLOOKUP(G1602,'insumos terrapl'!$C$3:$K$47,2,0)</f>
        <v>2N  20  14  02  00  00  00</v>
      </c>
      <c r="I1602" s="29" t="str">
        <f>VLOOKUP(G1602,'insumos terrapl'!$C$3:$K$47,3,0)</f>
        <v>2N</v>
      </c>
      <c r="J1602" s="29">
        <f>VLOOKUP(G1602,'insumos terrapl'!$C$3:$K$47,4,0)</f>
        <v>20</v>
      </c>
      <c r="K1602" s="29" t="str">
        <f>VLOOKUP(G1602,'insumos terrapl'!$C$3:$K$47,5,0)</f>
        <v>14</v>
      </c>
      <c r="L1602" s="29" t="str">
        <f>VLOOKUP(G1602,'insumos terrapl'!$C$3:$K$47,6,0)</f>
        <v>02</v>
      </c>
      <c r="M1602" s="29" t="str">
        <f>VLOOKUP(G1602,'insumos terrapl'!$C$3:$K$47,7,0)</f>
        <v>00</v>
      </c>
      <c r="N1602" s="29" t="str">
        <f>VLOOKUP(G1602,'insumos terrapl'!$C$3:$K$47,8,0)</f>
        <v>00</v>
      </c>
      <c r="O1602" s="97" t="str">
        <f>VLOOKUP(G1602,'insumos terrapl'!$C$3:$K$47,9,0)</f>
        <v>00</v>
      </c>
    </row>
    <row r="1603" spans="1:15">
      <c r="A1603" s="134"/>
      <c r="B1603" s="137"/>
      <c r="C1603" s="125"/>
      <c r="D1603" s="115"/>
      <c r="E1603" s="115"/>
      <c r="F1603" s="11" t="s">
        <v>615</v>
      </c>
      <c r="G1603" s="20" t="s">
        <v>616</v>
      </c>
      <c r="H1603" s="29" t="str">
        <f>VLOOKUP(G1603,'insumos terrapl'!$C$3:$K$47,2,0)</f>
        <v>2N  20  14  02  00  00  00</v>
      </c>
      <c r="I1603" s="29" t="str">
        <f>VLOOKUP(G1603,'insumos terrapl'!$C$3:$K$47,3,0)</f>
        <v>2N</v>
      </c>
      <c r="J1603" s="29">
        <f>VLOOKUP(G1603,'insumos terrapl'!$C$3:$K$47,4,0)</f>
        <v>20</v>
      </c>
      <c r="K1603" s="29" t="str">
        <f>VLOOKUP(G1603,'insumos terrapl'!$C$3:$K$47,5,0)</f>
        <v>14</v>
      </c>
      <c r="L1603" s="29" t="str">
        <f>VLOOKUP(G1603,'insumos terrapl'!$C$3:$K$47,6,0)</f>
        <v>02</v>
      </c>
      <c r="M1603" s="29" t="str">
        <f>VLOOKUP(G1603,'insumos terrapl'!$C$3:$K$47,7,0)</f>
        <v>00</v>
      </c>
      <c r="N1603" s="29" t="str">
        <f>VLOOKUP(G1603,'insumos terrapl'!$C$3:$K$47,8,0)</f>
        <v>00</v>
      </c>
      <c r="O1603" s="97" t="str">
        <f>VLOOKUP(G1603,'insumos terrapl'!$C$3:$K$47,9,0)</f>
        <v>00</v>
      </c>
    </row>
    <row r="1604" spans="1:15" ht="30">
      <c r="A1604" s="134"/>
      <c r="B1604" s="137"/>
      <c r="C1604" s="125"/>
      <c r="D1604" s="115"/>
      <c r="E1604" s="115"/>
      <c r="F1604" s="11" t="s">
        <v>635</v>
      </c>
      <c r="G1604" s="20" t="s">
        <v>636</v>
      </c>
      <c r="H1604" s="29" t="str">
        <f>VLOOKUP(G1604,'insumos terrapl'!$C$3:$K$47,2,0)</f>
        <v>2N  58  06  00  00  00  00</v>
      </c>
      <c r="I1604" s="29" t="str">
        <f>VLOOKUP(G1604,'insumos terrapl'!$C$3:$K$47,3,0)</f>
        <v>2N</v>
      </c>
      <c r="J1604" s="29">
        <f>VLOOKUP(G1604,'insumos terrapl'!$C$3:$K$47,4,0)</f>
        <v>58</v>
      </c>
      <c r="K1604" s="29" t="str">
        <f>VLOOKUP(G1604,'insumos terrapl'!$C$3:$K$47,5,0)</f>
        <v>06</v>
      </c>
      <c r="L1604" s="29" t="str">
        <f>VLOOKUP(G1604,'insumos terrapl'!$C$3:$K$47,6,0)</f>
        <v>00</v>
      </c>
      <c r="M1604" s="29" t="str">
        <f>VLOOKUP(G1604,'insumos terrapl'!$C$3:$K$47,7,0)</f>
        <v>00</v>
      </c>
      <c r="N1604" s="29" t="str">
        <f>VLOOKUP(G1604,'insumos terrapl'!$C$3:$K$47,8,0)</f>
        <v>00</v>
      </c>
      <c r="O1604" s="97" t="str">
        <f>VLOOKUP(G1604,'insumos terrapl'!$C$3:$K$47,9,0)</f>
        <v>00</v>
      </c>
    </row>
    <row r="1605" spans="1:15">
      <c r="A1605" s="134"/>
      <c r="B1605" s="137"/>
      <c r="C1605" s="125"/>
      <c r="D1605" s="115"/>
      <c r="E1605" s="115"/>
      <c r="F1605" s="11" t="s">
        <v>617</v>
      </c>
      <c r="G1605" s="20" t="s">
        <v>618</v>
      </c>
      <c r="H1605" s="29" t="str">
        <f>VLOOKUP(G1605,'insumos terrapl'!$C$3:$K$47,2,0)</f>
        <v>2Q  58  06  02  28  00  00</v>
      </c>
      <c r="I1605" s="29" t="str">
        <f>VLOOKUP(G1605,'insumos terrapl'!$C$3:$K$47,3,0)</f>
        <v>2Q</v>
      </c>
      <c r="J1605" s="29">
        <f>VLOOKUP(G1605,'insumos terrapl'!$C$3:$K$47,4,0)</f>
        <v>58</v>
      </c>
      <c r="K1605" s="29" t="str">
        <f>VLOOKUP(G1605,'insumos terrapl'!$C$3:$K$47,5,0)</f>
        <v>06</v>
      </c>
      <c r="L1605" s="29" t="str">
        <f>VLOOKUP(G1605,'insumos terrapl'!$C$3:$K$47,6,0)</f>
        <v>02</v>
      </c>
      <c r="M1605" s="29" t="str">
        <f>VLOOKUP(G1605,'insumos terrapl'!$C$3:$K$47,7,0)</f>
        <v>28</v>
      </c>
      <c r="N1605" s="29" t="str">
        <f>VLOOKUP(G1605,'insumos terrapl'!$C$3:$K$47,8,0)</f>
        <v>00</v>
      </c>
      <c r="O1605" s="97" t="str">
        <f>VLOOKUP(G1605,'insumos terrapl'!$C$3:$K$47,9,0)</f>
        <v>00</v>
      </c>
    </row>
    <row r="1606" spans="1:15" ht="30">
      <c r="A1606" s="134"/>
      <c r="B1606" s="137"/>
      <c r="C1606" s="125"/>
      <c r="D1606" s="115"/>
      <c r="E1606" s="115"/>
      <c r="F1606" s="11" t="s">
        <v>637</v>
      </c>
      <c r="G1606" s="20" t="s">
        <v>638</v>
      </c>
      <c r="H1606" s="29" t="str">
        <f>VLOOKUP(G1606,'insumos terrapl'!$C$3:$K$47,2,0)</f>
        <v>2N  58  06  00  00  00  00</v>
      </c>
      <c r="I1606" s="29" t="str">
        <f>VLOOKUP(G1606,'insumos terrapl'!$C$3:$K$47,3,0)</f>
        <v>2N</v>
      </c>
      <c r="J1606" s="29">
        <f>VLOOKUP(G1606,'insumos terrapl'!$C$3:$K$47,4,0)</f>
        <v>58</v>
      </c>
      <c r="K1606" s="29" t="str">
        <f>VLOOKUP(G1606,'insumos terrapl'!$C$3:$K$47,5,0)</f>
        <v>06</v>
      </c>
      <c r="L1606" s="29" t="str">
        <f>VLOOKUP(G1606,'insumos terrapl'!$C$3:$K$47,6,0)</f>
        <v>00</v>
      </c>
      <c r="M1606" s="29" t="str">
        <f>VLOOKUP(G1606,'insumos terrapl'!$C$3:$K$47,7,0)</f>
        <v>00</v>
      </c>
      <c r="N1606" s="29" t="str">
        <f>VLOOKUP(G1606,'insumos terrapl'!$C$3:$K$47,8,0)</f>
        <v>00</v>
      </c>
      <c r="O1606" s="97" t="str">
        <f>VLOOKUP(G1606,'insumos terrapl'!$C$3:$K$47,9,0)</f>
        <v>00</v>
      </c>
    </row>
    <row r="1607" spans="1:15" ht="30">
      <c r="A1607" s="134"/>
      <c r="B1607" s="137"/>
      <c r="C1607" s="125"/>
      <c r="D1607" s="115"/>
      <c r="E1607" s="115"/>
      <c r="F1607" s="11" t="s">
        <v>639</v>
      </c>
      <c r="G1607" s="20" t="s">
        <v>640</v>
      </c>
      <c r="H1607" s="29" t="str">
        <f>VLOOKUP(G1607,'insumos terrapl'!$C$3:$K$47,2,0)</f>
        <v>2N  58  06  00  00  00  00</v>
      </c>
      <c r="I1607" s="29" t="str">
        <f>VLOOKUP(G1607,'insumos terrapl'!$C$3:$K$47,3,0)</f>
        <v>2N</v>
      </c>
      <c r="J1607" s="29">
        <f>VLOOKUP(G1607,'insumos terrapl'!$C$3:$K$47,4,0)</f>
        <v>58</v>
      </c>
      <c r="K1607" s="29" t="str">
        <f>VLOOKUP(G1607,'insumos terrapl'!$C$3:$K$47,5,0)</f>
        <v>06</v>
      </c>
      <c r="L1607" s="29" t="str">
        <f>VLOOKUP(G1607,'insumos terrapl'!$C$3:$K$47,6,0)</f>
        <v>00</v>
      </c>
      <c r="M1607" s="29" t="str">
        <f>VLOOKUP(G1607,'insumos terrapl'!$C$3:$K$47,7,0)</f>
        <v>00</v>
      </c>
      <c r="N1607" s="29" t="str">
        <f>VLOOKUP(G1607,'insumos terrapl'!$C$3:$K$47,8,0)</f>
        <v>00</v>
      </c>
      <c r="O1607" s="97" t="str">
        <f>VLOOKUP(G1607,'insumos terrapl'!$C$3:$K$47,9,0)</f>
        <v>00</v>
      </c>
    </row>
    <row r="1608" spans="1:15">
      <c r="A1608" s="134"/>
      <c r="B1608" s="137"/>
      <c r="C1608" s="125"/>
      <c r="D1608" s="115"/>
      <c r="E1608" s="115"/>
      <c r="F1608" s="11" t="s">
        <v>641</v>
      </c>
      <c r="G1608" s="20" t="s">
        <v>642</v>
      </c>
      <c r="H1608" s="29" t="str">
        <f>VLOOKUP(G1608,'insumos terrapl'!$C$3:$K$47,2,0)</f>
        <v>2N  58  06  00  00  00  00</v>
      </c>
      <c r="I1608" s="29" t="str">
        <f>VLOOKUP(G1608,'insumos terrapl'!$C$3:$K$47,3,0)</f>
        <v>2N</v>
      </c>
      <c r="J1608" s="29">
        <f>VLOOKUP(G1608,'insumos terrapl'!$C$3:$K$47,4,0)</f>
        <v>58</v>
      </c>
      <c r="K1608" s="29" t="str">
        <f>VLOOKUP(G1608,'insumos terrapl'!$C$3:$K$47,5,0)</f>
        <v>06</v>
      </c>
      <c r="L1608" s="29" t="str">
        <f>VLOOKUP(G1608,'insumos terrapl'!$C$3:$K$47,6,0)</f>
        <v>00</v>
      </c>
      <c r="M1608" s="29" t="str">
        <f>VLOOKUP(G1608,'insumos terrapl'!$C$3:$K$47,7,0)</f>
        <v>00</v>
      </c>
      <c r="N1608" s="29" t="str">
        <f>VLOOKUP(G1608,'insumos terrapl'!$C$3:$K$47,8,0)</f>
        <v>00</v>
      </c>
      <c r="O1608" s="97" t="str">
        <f>VLOOKUP(G1608,'insumos terrapl'!$C$3:$K$47,9,0)</f>
        <v>00</v>
      </c>
    </row>
    <row r="1609" spans="1:15">
      <c r="A1609" s="134"/>
      <c r="B1609" s="137"/>
      <c r="C1609" s="125"/>
      <c r="D1609" s="115"/>
      <c r="E1609" s="115"/>
      <c r="F1609" s="11" t="s">
        <v>619</v>
      </c>
      <c r="G1609" s="20" t="s">
        <v>620</v>
      </c>
      <c r="H1609" s="29"/>
      <c r="I1609" s="29"/>
      <c r="J1609" s="29"/>
      <c r="K1609" s="29"/>
      <c r="L1609" s="29"/>
      <c r="M1609" s="29"/>
      <c r="N1609" s="29"/>
      <c r="O1609" s="97"/>
    </row>
    <row r="1610" spans="1:15">
      <c r="A1610" s="134"/>
      <c r="B1610" s="137"/>
      <c r="C1610" s="125"/>
      <c r="D1610" s="115"/>
      <c r="E1610" s="115"/>
      <c r="F1610" s="11" t="s">
        <v>643</v>
      </c>
      <c r="G1610" s="20" t="s">
        <v>644</v>
      </c>
      <c r="H1610" s="29" t="str">
        <f>VLOOKUP(G1610,'insumos terrapl'!$C$3:$K$47,2,0)</f>
        <v>2N  58  06  00  00  00  00</v>
      </c>
      <c r="I1610" s="29" t="str">
        <f>VLOOKUP(G1610,'insumos terrapl'!$C$3:$K$47,3,0)</f>
        <v>2N</v>
      </c>
      <c r="J1610" s="29">
        <f>VLOOKUP(G1610,'insumos terrapl'!$C$3:$K$47,4,0)</f>
        <v>58</v>
      </c>
      <c r="K1610" s="29" t="str">
        <f>VLOOKUP(G1610,'insumos terrapl'!$C$3:$K$47,5,0)</f>
        <v>06</v>
      </c>
      <c r="L1610" s="29" t="str">
        <f>VLOOKUP(G1610,'insumos terrapl'!$C$3:$K$47,6,0)</f>
        <v>00</v>
      </c>
      <c r="M1610" s="29" t="str">
        <f>VLOOKUP(G1610,'insumos terrapl'!$C$3:$K$47,7,0)</f>
        <v>00</v>
      </c>
      <c r="N1610" s="29" t="str">
        <f>VLOOKUP(G1610,'insumos terrapl'!$C$3:$K$47,8,0)</f>
        <v>00</v>
      </c>
      <c r="O1610" s="97" t="str">
        <f>VLOOKUP(G1610,'insumos terrapl'!$C$3:$K$47,9,0)</f>
        <v>00</v>
      </c>
    </row>
    <row r="1611" spans="1:15">
      <c r="A1611" s="134"/>
      <c r="B1611" s="137"/>
      <c r="C1611" s="125"/>
      <c r="D1611" s="115"/>
      <c r="E1611" s="115"/>
      <c r="F1611" s="11" t="s">
        <v>645</v>
      </c>
      <c r="G1611" s="20" t="s">
        <v>646</v>
      </c>
      <c r="H1611" s="29" t="str">
        <f>VLOOKUP(G1611,'insumos terrapl'!$C$3:$K$47,2,0)</f>
        <v>2N  58  06  00  00  00  00</v>
      </c>
      <c r="I1611" s="29" t="str">
        <f>VLOOKUP(G1611,'insumos terrapl'!$C$3:$K$47,3,0)</f>
        <v>2N</v>
      </c>
      <c r="J1611" s="29">
        <f>VLOOKUP(G1611,'insumos terrapl'!$C$3:$K$47,4,0)</f>
        <v>58</v>
      </c>
      <c r="K1611" s="29" t="str">
        <f>VLOOKUP(G1611,'insumos terrapl'!$C$3:$K$47,5,0)</f>
        <v>06</v>
      </c>
      <c r="L1611" s="29" t="str">
        <f>VLOOKUP(G1611,'insumos terrapl'!$C$3:$K$47,6,0)</f>
        <v>00</v>
      </c>
      <c r="M1611" s="29" t="str">
        <f>VLOOKUP(G1611,'insumos terrapl'!$C$3:$K$47,7,0)</f>
        <v>00</v>
      </c>
      <c r="N1611" s="29" t="str">
        <f>VLOOKUP(G1611,'insumos terrapl'!$C$3:$K$47,8,0)</f>
        <v>00</v>
      </c>
      <c r="O1611" s="97" t="str">
        <f>VLOOKUP(G1611,'insumos terrapl'!$C$3:$K$47,9,0)</f>
        <v>00</v>
      </c>
    </row>
    <row r="1612" spans="1:15" ht="30">
      <c r="A1612" s="134"/>
      <c r="B1612" s="137"/>
      <c r="C1612" s="125"/>
      <c r="D1612" s="115"/>
      <c r="E1612" s="115"/>
      <c r="F1612" s="11" t="s">
        <v>647</v>
      </c>
      <c r="G1612" s="20" t="s">
        <v>648</v>
      </c>
      <c r="H1612" s="29" t="str">
        <f>VLOOKUP(G1612,'insumos terrapl'!$C$3:$K$47,2,0)</f>
        <v>2N  58  06  00  00  00  00</v>
      </c>
      <c r="I1612" s="29" t="str">
        <f>VLOOKUP(G1612,'insumos terrapl'!$C$3:$K$47,3,0)</f>
        <v>2N</v>
      </c>
      <c r="J1612" s="29">
        <f>VLOOKUP(G1612,'insumos terrapl'!$C$3:$K$47,4,0)</f>
        <v>58</v>
      </c>
      <c r="K1612" s="29" t="str">
        <f>VLOOKUP(G1612,'insumos terrapl'!$C$3:$K$47,5,0)</f>
        <v>06</v>
      </c>
      <c r="L1612" s="29" t="str">
        <f>VLOOKUP(G1612,'insumos terrapl'!$C$3:$K$47,6,0)</f>
        <v>00</v>
      </c>
      <c r="M1612" s="29" t="str">
        <f>VLOOKUP(G1612,'insumos terrapl'!$C$3:$K$47,7,0)</f>
        <v>00</v>
      </c>
      <c r="N1612" s="29" t="str">
        <f>VLOOKUP(G1612,'insumos terrapl'!$C$3:$K$47,8,0)</f>
        <v>00</v>
      </c>
      <c r="O1612" s="97" t="str">
        <f>VLOOKUP(G1612,'insumos terrapl'!$C$3:$K$47,9,0)</f>
        <v>00</v>
      </c>
    </row>
    <row r="1613" spans="1:15">
      <c r="A1613" s="134"/>
      <c r="B1613" s="137"/>
      <c r="C1613" s="125"/>
      <c r="D1613" s="115"/>
      <c r="E1613" s="115"/>
      <c r="F1613" s="11" t="s">
        <v>621</v>
      </c>
      <c r="G1613" s="20" t="s">
        <v>622</v>
      </c>
      <c r="H1613" s="29" t="str">
        <f>VLOOKUP(G1613,'insumos terrapl'!$C$3:$K$47,2,0)</f>
        <v>2N  58  06  00  00  00  00</v>
      </c>
      <c r="I1613" s="29" t="str">
        <f>VLOOKUP(G1613,'insumos terrapl'!$C$3:$K$47,3,0)</f>
        <v>2N</v>
      </c>
      <c r="J1613" s="29">
        <f>VLOOKUP(G1613,'insumos terrapl'!$C$3:$K$47,4,0)</f>
        <v>58</v>
      </c>
      <c r="K1613" s="29" t="str">
        <f>VLOOKUP(G1613,'insumos terrapl'!$C$3:$K$47,5,0)</f>
        <v>06</v>
      </c>
      <c r="L1613" s="29" t="str">
        <f>VLOOKUP(G1613,'insumos terrapl'!$C$3:$K$47,6,0)</f>
        <v>00</v>
      </c>
      <c r="M1613" s="29" t="str">
        <f>VLOOKUP(G1613,'insumos terrapl'!$C$3:$K$47,7,0)</f>
        <v>00</v>
      </c>
      <c r="N1613" s="29" t="str">
        <f>VLOOKUP(G1613,'insumos terrapl'!$C$3:$K$47,8,0)</f>
        <v>00</v>
      </c>
      <c r="O1613" s="97" t="str">
        <f>VLOOKUP(G1613,'insumos terrapl'!$C$3:$K$47,9,0)</f>
        <v>00</v>
      </c>
    </row>
    <row r="1614" spans="1:15">
      <c r="A1614" s="134"/>
      <c r="B1614" s="137"/>
      <c r="C1614" s="132"/>
      <c r="D1614" s="116"/>
      <c r="E1614" s="115"/>
      <c r="F1614" s="11"/>
      <c r="G1614" s="20"/>
      <c r="H1614" s="29"/>
      <c r="I1614" s="29"/>
      <c r="J1614" s="29"/>
      <c r="K1614" s="29"/>
      <c r="L1614" s="29"/>
      <c r="M1614" s="29"/>
      <c r="N1614" s="29"/>
      <c r="O1614" s="97"/>
    </row>
    <row r="1615" spans="1:15">
      <c r="A1615" s="134"/>
      <c r="B1615" s="137"/>
      <c r="C1615" s="124" t="s">
        <v>260</v>
      </c>
      <c r="D1615" s="114" t="str">
        <f>$A$1095</f>
        <v>2.6.8</v>
      </c>
      <c r="E1615" s="114" t="s">
        <v>518</v>
      </c>
      <c r="F1615" s="12" t="s">
        <v>260</v>
      </c>
      <c r="G1615" s="19"/>
      <c r="H1615" s="28"/>
      <c r="I1615" s="28"/>
      <c r="J1615" s="28"/>
      <c r="K1615" s="28"/>
      <c r="L1615" s="28"/>
      <c r="M1615" s="28"/>
      <c r="N1615" s="28"/>
      <c r="O1615" s="99"/>
    </row>
    <row r="1616" spans="1:15" ht="30">
      <c r="A1616" s="134"/>
      <c r="B1616" s="137"/>
      <c r="C1616" s="125"/>
      <c r="D1616" s="115"/>
      <c r="E1616" s="115"/>
      <c r="F1616" s="11" t="s">
        <v>659</v>
      </c>
      <c r="G1616" s="20" t="s">
        <v>660</v>
      </c>
      <c r="H1616" s="29" t="str">
        <f>VLOOKUP(G1616,'insumos terrapl'!$C$3:$K$47,2,0)</f>
        <v>2Q  66  10  02  00  00  00</v>
      </c>
      <c r="I1616" s="29" t="str">
        <f>VLOOKUP(G1616,'insumos terrapl'!$C$3:$K$47,3,0)</f>
        <v>2Q</v>
      </c>
      <c r="J1616" s="29">
        <f>VLOOKUP(G1616,'insumos terrapl'!$C$3:$K$47,4,0)</f>
        <v>66</v>
      </c>
      <c r="K1616" s="29" t="str">
        <f>VLOOKUP(G1616,'insumos terrapl'!$C$3:$K$47,5,0)</f>
        <v>10</v>
      </c>
      <c r="L1616" s="29" t="str">
        <f>VLOOKUP(G1616,'insumos terrapl'!$C$3:$K$47,6,0)</f>
        <v>02</v>
      </c>
      <c r="M1616" s="29" t="str">
        <f>VLOOKUP(G1616,'insumos terrapl'!$C$3:$K$47,7,0)</f>
        <v>00</v>
      </c>
      <c r="N1616" s="29" t="str">
        <f>VLOOKUP(G1616,'insumos terrapl'!$C$3:$K$47,8,0)</f>
        <v>00</v>
      </c>
      <c r="O1616" s="97" t="str">
        <f>VLOOKUP(G1616,'insumos terrapl'!$C$3:$K$47,9,0)</f>
        <v>00</v>
      </c>
    </row>
    <row r="1617" spans="1:15" ht="30">
      <c r="A1617" s="134"/>
      <c r="B1617" s="137"/>
      <c r="C1617" s="125"/>
      <c r="D1617" s="115"/>
      <c r="E1617" s="115"/>
      <c r="F1617" s="11" t="s">
        <v>661</v>
      </c>
      <c r="G1617" s="20" t="s">
        <v>662</v>
      </c>
      <c r="H1617" s="29" t="str">
        <f>VLOOKUP(G1617,'insumos terrapl'!$C$3:$K$47,2,0)</f>
        <v>2Q  62  10  06  00  00  00</v>
      </c>
      <c r="I1617" s="29" t="str">
        <f>VLOOKUP(G1617,'insumos terrapl'!$C$3:$K$47,3,0)</f>
        <v>2Q</v>
      </c>
      <c r="J1617" s="29">
        <f>VLOOKUP(G1617,'insumos terrapl'!$C$3:$K$47,4,0)</f>
        <v>62</v>
      </c>
      <c r="K1617" s="29" t="str">
        <f>VLOOKUP(G1617,'insumos terrapl'!$C$3:$K$47,5,0)</f>
        <v>10</v>
      </c>
      <c r="L1617" s="29" t="str">
        <f>VLOOKUP(G1617,'insumos terrapl'!$C$3:$K$47,6,0)</f>
        <v>06</v>
      </c>
      <c r="M1617" s="29" t="str">
        <f>VLOOKUP(G1617,'insumos terrapl'!$C$3:$K$47,7,0)</f>
        <v>00</v>
      </c>
      <c r="N1617" s="29" t="str">
        <f>VLOOKUP(G1617,'insumos terrapl'!$C$3:$K$47,8,0)</f>
        <v>00</v>
      </c>
      <c r="O1617" s="97" t="str">
        <f>VLOOKUP(G1617,'insumos terrapl'!$C$3:$K$47,9,0)</f>
        <v>00</v>
      </c>
    </row>
    <row r="1618" spans="1:15" ht="30">
      <c r="A1618" s="134"/>
      <c r="B1618" s="137"/>
      <c r="C1618" s="125"/>
      <c r="D1618" s="115"/>
      <c r="E1618" s="115"/>
      <c r="F1618" s="11" t="s">
        <v>607</v>
      </c>
      <c r="G1618" s="20" t="s">
        <v>608</v>
      </c>
      <c r="H1618" s="29" t="str">
        <f>VLOOKUP(G1618,'insumos terrapl'!$C$3:$K$47,2,0)</f>
        <v>2Q  42  06  18  02  02  00</v>
      </c>
      <c r="I1618" s="29" t="str">
        <f>VLOOKUP(G1618,'insumos terrapl'!$C$3:$K$47,3,0)</f>
        <v>2Q</v>
      </c>
      <c r="J1618" s="29">
        <f>VLOOKUP(G1618,'insumos terrapl'!$C$3:$K$47,4,0)</f>
        <v>42</v>
      </c>
      <c r="K1618" s="29" t="str">
        <f>VLOOKUP(G1618,'insumos terrapl'!$C$3:$K$47,5,0)</f>
        <v>06</v>
      </c>
      <c r="L1618" s="29">
        <f>VLOOKUP(G1618,'insumos terrapl'!$C$3:$K$47,6,0)</f>
        <v>18</v>
      </c>
      <c r="M1618" s="29" t="str">
        <f>VLOOKUP(G1618,'insumos terrapl'!$C$3:$K$47,7,0)</f>
        <v>02</v>
      </c>
      <c r="N1618" s="29" t="str">
        <f>VLOOKUP(G1618,'insumos terrapl'!$C$3:$K$47,8,0)</f>
        <v>02</v>
      </c>
      <c r="O1618" s="97" t="str">
        <f>VLOOKUP(G1618,'insumos terrapl'!$C$3:$K$47,9,0)</f>
        <v>00</v>
      </c>
    </row>
    <row r="1619" spans="1:15" ht="45">
      <c r="A1619" s="134"/>
      <c r="B1619" s="137"/>
      <c r="C1619" s="125"/>
      <c r="D1619" s="115"/>
      <c r="E1619" s="115"/>
      <c r="F1619" s="11" t="s">
        <v>609</v>
      </c>
      <c r="G1619" s="20" t="s">
        <v>610</v>
      </c>
      <c r="H1619" s="29" t="str">
        <f>VLOOKUP(G1619,'insumos terrapl'!$C$3:$K$47,2,0)</f>
        <v>2Q  42  06  02  14  02  00</v>
      </c>
      <c r="I1619" s="29" t="str">
        <f>VLOOKUP(G1619,'insumos terrapl'!$C$3:$K$47,3,0)</f>
        <v>2Q</v>
      </c>
      <c r="J1619" s="29">
        <f>VLOOKUP(G1619,'insumos terrapl'!$C$3:$K$47,4,0)</f>
        <v>42</v>
      </c>
      <c r="K1619" s="29" t="str">
        <f>VLOOKUP(G1619,'insumos terrapl'!$C$3:$K$47,5,0)</f>
        <v>06</v>
      </c>
      <c r="L1619" s="29" t="str">
        <f>VLOOKUP(G1619,'insumos terrapl'!$C$3:$K$47,6,0)</f>
        <v>02</v>
      </c>
      <c r="M1619" s="29" t="str">
        <f>VLOOKUP(G1619,'insumos terrapl'!$C$3:$K$47,7,0)</f>
        <v>14</v>
      </c>
      <c r="N1619" s="29" t="str">
        <f>VLOOKUP(G1619,'insumos terrapl'!$C$3:$K$47,8,0)</f>
        <v>02</v>
      </c>
      <c r="O1619" s="97" t="str">
        <f>VLOOKUP(G1619,'insumos terrapl'!$C$3:$K$47,9,0)</f>
        <v>00</v>
      </c>
    </row>
    <row r="1620" spans="1:15">
      <c r="A1620" s="134"/>
      <c r="B1620" s="137"/>
      <c r="C1620" s="125"/>
      <c r="D1620" s="115"/>
      <c r="E1620" s="115"/>
      <c r="F1620" s="11" t="s">
        <v>633</v>
      </c>
      <c r="G1620" s="20" t="s">
        <v>634</v>
      </c>
      <c r="H1620" s="29" t="str">
        <f>VLOOKUP(G1620,'insumos terrapl'!$C$3:$K$47,2,0)</f>
        <v>2Q  58  10  10  02  06  00</v>
      </c>
      <c r="I1620" s="29" t="str">
        <f>VLOOKUP(G1620,'insumos terrapl'!$C$3:$K$47,3,0)</f>
        <v>2Q</v>
      </c>
      <c r="J1620" s="29">
        <f>VLOOKUP(G1620,'insumos terrapl'!$C$3:$K$47,4,0)</f>
        <v>58</v>
      </c>
      <c r="K1620" s="29" t="str">
        <f>VLOOKUP(G1620,'insumos terrapl'!$C$3:$K$47,5,0)</f>
        <v>10</v>
      </c>
      <c r="L1620" s="29" t="str">
        <f>VLOOKUP(G1620,'insumos terrapl'!$C$3:$K$47,6,0)</f>
        <v>10</v>
      </c>
      <c r="M1620" s="29" t="str">
        <f>VLOOKUP(G1620,'insumos terrapl'!$C$3:$K$47,7,0)</f>
        <v>02</v>
      </c>
      <c r="N1620" s="29" t="str">
        <f>VLOOKUP(G1620,'insumos terrapl'!$C$3:$K$47,8,0)</f>
        <v>06</v>
      </c>
      <c r="O1620" s="97" t="str">
        <f>VLOOKUP(G1620,'insumos terrapl'!$C$3:$K$47,9,0)</f>
        <v>00</v>
      </c>
    </row>
    <row r="1621" spans="1:15">
      <c r="A1621" s="134"/>
      <c r="B1621" s="137"/>
      <c r="C1621" s="125"/>
      <c r="D1621" s="115"/>
      <c r="E1621" s="115"/>
      <c r="F1621" s="11" t="s">
        <v>586</v>
      </c>
      <c r="G1621" s="20" t="s">
        <v>587</v>
      </c>
      <c r="H1621" s="29" t="str">
        <f>VLOOKUP(G1621,'insumos terrapl'!$C$3:$K$47,2,0)</f>
        <v>2Q  62  30  02  14  00  00</v>
      </c>
      <c r="I1621" s="29" t="str">
        <f>VLOOKUP(G1621,'insumos terrapl'!$C$3:$K$47,3,0)</f>
        <v>2Q</v>
      </c>
      <c r="J1621" s="29">
        <f>VLOOKUP(G1621,'insumos terrapl'!$C$3:$K$47,4,0)</f>
        <v>62</v>
      </c>
      <c r="K1621" s="29">
        <f>VLOOKUP(G1621,'insumos terrapl'!$C$3:$K$47,5,0)</f>
        <v>30</v>
      </c>
      <c r="L1621" s="29" t="str">
        <f>VLOOKUP(G1621,'insumos terrapl'!$C$3:$K$47,6,0)</f>
        <v>02</v>
      </c>
      <c r="M1621" s="29" t="str">
        <f>VLOOKUP(G1621,'insumos terrapl'!$C$3:$K$47,7,0)</f>
        <v>14</v>
      </c>
      <c r="N1621" s="29" t="str">
        <f>VLOOKUP(G1621,'insumos terrapl'!$C$3:$K$47,8,0)</f>
        <v>00</v>
      </c>
      <c r="O1621" s="97" t="str">
        <f>VLOOKUP(G1621,'insumos terrapl'!$C$3:$K$47,9,0)</f>
        <v>00</v>
      </c>
    </row>
    <row r="1622" spans="1:15">
      <c r="A1622" s="134"/>
      <c r="B1622" s="137"/>
      <c r="C1622" s="125"/>
      <c r="D1622" s="115"/>
      <c r="E1622" s="115"/>
      <c r="F1622" s="11" t="s">
        <v>613</v>
      </c>
      <c r="G1622" s="20" t="s">
        <v>614</v>
      </c>
      <c r="H1622" s="29" t="str">
        <f>VLOOKUP(G1622,'insumos terrapl'!$C$3:$K$47,2,0)</f>
        <v>2N  20  14  02  00  00  00</v>
      </c>
      <c r="I1622" s="29" t="str">
        <f>VLOOKUP(G1622,'insumos terrapl'!$C$3:$K$47,3,0)</f>
        <v>2N</v>
      </c>
      <c r="J1622" s="29">
        <f>VLOOKUP(G1622,'insumos terrapl'!$C$3:$K$47,4,0)</f>
        <v>20</v>
      </c>
      <c r="K1622" s="29" t="str">
        <f>VLOOKUP(G1622,'insumos terrapl'!$C$3:$K$47,5,0)</f>
        <v>14</v>
      </c>
      <c r="L1622" s="29" t="str">
        <f>VLOOKUP(G1622,'insumos terrapl'!$C$3:$K$47,6,0)</f>
        <v>02</v>
      </c>
      <c r="M1622" s="29" t="str">
        <f>VLOOKUP(G1622,'insumos terrapl'!$C$3:$K$47,7,0)</f>
        <v>00</v>
      </c>
      <c r="N1622" s="29" t="str">
        <f>VLOOKUP(G1622,'insumos terrapl'!$C$3:$K$47,8,0)</f>
        <v>00</v>
      </c>
      <c r="O1622" s="97" t="str">
        <f>VLOOKUP(G1622,'insumos terrapl'!$C$3:$K$47,9,0)</f>
        <v>00</v>
      </c>
    </row>
    <row r="1623" spans="1:15">
      <c r="A1623" s="134"/>
      <c r="B1623" s="137"/>
      <c r="C1623" s="125"/>
      <c r="D1623" s="115"/>
      <c r="E1623" s="115"/>
      <c r="F1623" s="11" t="s">
        <v>615</v>
      </c>
      <c r="G1623" s="20" t="s">
        <v>616</v>
      </c>
      <c r="H1623" s="29" t="str">
        <f>VLOOKUP(G1623,'insumos terrapl'!$C$3:$K$47,2,0)</f>
        <v>2N  20  14  02  00  00  00</v>
      </c>
      <c r="I1623" s="29" t="str">
        <f>VLOOKUP(G1623,'insumos terrapl'!$C$3:$K$47,3,0)</f>
        <v>2N</v>
      </c>
      <c r="J1623" s="29">
        <f>VLOOKUP(G1623,'insumos terrapl'!$C$3:$K$47,4,0)</f>
        <v>20</v>
      </c>
      <c r="K1623" s="29" t="str">
        <f>VLOOKUP(G1623,'insumos terrapl'!$C$3:$K$47,5,0)</f>
        <v>14</v>
      </c>
      <c r="L1623" s="29" t="str">
        <f>VLOOKUP(G1623,'insumos terrapl'!$C$3:$K$47,6,0)</f>
        <v>02</v>
      </c>
      <c r="M1623" s="29" t="str">
        <f>VLOOKUP(G1623,'insumos terrapl'!$C$3:$K$47,7,0)</f>
        <v>00</v>
      </c>
      <c r="N1623" s="29" t="str">
        <f>VLOOKUP(G1623,'insumos terrapl'!$C$3:$K$47,8,0)</f>
        <v>00</v>
      </c>
      <c r="O1623" s="97" t="str">
        <f>VLOOKUP(G1623,'insumos terrapl'!$C$3:$K$47,9,0)</f>
        <v>00</v>
      </c>
    </row>
    <row r="1624" spans="1:15" ht="30">
      <c r="A1624" s="134"/>
      <c r="B1624" s="137"/>
      <c r="C1624" s="125"/>
      <c r="D1624" s="115"/>
      <c r="E1624" s="115"/>
      <c r="F1624" s="11" t="s">
        <v>635</v>
      </c>
      <c r="G1624" s="20" t="s">
        <v>636</v>
      </c>
      <c r="H1624" s="29" t="str">
        <f>VLOOKUP(G1624,'insumos terrapl'!$C$3:$K$47,2,0)</f>
        <v>2N  58  06  00  00  00  00</v>
      </c>
      <c r="I1624" s="29" t="str">
        <f>VLOOKUP(G1624,'insumos terrapl'!$C$3:$K$47,3,0)</f>
        <v>2N</v>
      </c>
      <c r="J1624" s="29">
        <f>VLOOKUP(G1624,'insumos terrapl'!$C$3:$K$47,4,0)</f>
        <v>58</v>
      </c>
      <c r="K1624" s="29" t="str">
        <f>VLOOKUP(G1624,'insumos terrapl'!$C$3:$K$47,5,0)</f>
        <v>06</v>
      </c>
      <c r="L1624" s="29" t="str">
        <f>VLOOKUP(G1624,'insumos terrapl'!$C$3:$K$47,6,0)</f>
        <v>00</v>
      </c>
      <c r="M1624" s="29" t="str">
        <f>VLOOKUP(G1624,'insumos terrapl'!$C$3:$K$47,7,0)</f>
        <v>00</v>
      </c>
      <c r="N1624" s="29" t="str">
        <f>VLOOKUP(G1624,'insumos terrapl'!$C$3:$K$47,8,0)</f>
        <v>00</v>
      </c>
      <c r="O1624" s="97" t="str">
        <f>VLOOKUP(G1624,'insumos terrapl'!$C$3:$K$47,9,0)</f>
        <v>00</v>
      </c>
    </row>
    <row r="1625" spans="1:15">
      <c r="A1625" s="134"/>
      <c r="B1625" s="137"/>
      <c r="C1625" s="125"/>
      <c r="D1625" s="115"/>
      <c r="E1625" s="115"/>
      <c r="F1625" s="11" t="s">
        <v>617</v>
      </c>
      <c r="G1625" s="20" t="s">
        <v>618</v>
      </c>
      <c r="H1625" s="29" t="str">
        <f>VLOOKUP(G1625,'insumos terrapl'!$C$3:$K$47,2,0)</f>
        <v>2Q  58  06  02  28  00  00</v>
      </c>
      <c r="I1625" s="29" t="str">
        <f>VLOOKUP(G1625,'insumos terrapl'!$C$3:$K$47,3,0)</f>
        <v>2Q</v>
      </c>
      <c r="J1625" s="29">
        <f>VLOOKUP(G1625,'insumos terrapl'!$C$3:$K$47,4,0)</f>
        <v>58</v>
      </c>
      <c r="K1625" s="29" t="str">
        <f>VLOOKUP(G1625,'insumos terrapl'!$C$3:$K$47,5,0)</f>
        <v>06</v>
      </c>
      <c r="L1625" s="29" t="str">
        <f>VLOOKUP(G1625,'insumos terrapl'!$C$3:$K$47,6,0)</f>
        <v>02</v>
      </c>
      <c r="M1625" s="29" t="str">
        <f>VLOOKUP(G1625,'insumos terrapl'!$C$3:$K$47,7,0)</f>
        <v>28</v>
      </c>
      <c r="N1625" s="29" t="str">
        <f>VLOOKUP(G1625,'insumos terrapl'!$C$3:$K$47,8,0)</f>
        <v>00</v>
      </c>
      <c r="O1625" s="97" t="str">
        <f>VLOOKUP(G1625,'insumos terrapl'!$C$3:$K$47,9,0)</f>
        <v>00</v>
      </c>
    </row>
    <row r="1626" spans="1:15" ht="30">
      <c r="A1626" s="134"/>
      <c r="B1626" s="137"/>
      <c r="C1626" s="125"/>
      <c r="D1626" s="115"/>
      <c r="E1626" s="115"/>
      <c r="F1626" s="11" t="s">
        <v>637</v>
      </c>
      <c r="G1626" s="20" t="s">
        <v>638</v>
      </c>
      <c r="H1626" s="29" t="str">
        <f>VLOOKUP(G1626,'insumos terrapl'!$C$3:$K$47,2,0)</f>
        <v>2N  58  06  00  00  00  00</v>
      </c>
      <c r="I1626" s="29" t="str">
        <f>VLOOKUP(G1626,'insumos terrapl'!$C$3:$K$47,3,0)</f>
        <v>2N</v>
      </c>
      <c r="J1626" s="29">
        <f>VLOOKUP(G1626,'insumos terrapl'!$C$3:$K$47,4,0)</f>
        <v>58</v>
      </c>
      <c r="K1626" s="29" t="str">
        <f>VLOOKUP(G1626,'insumos terrapl'!$C$3:$K$47,5,0)</f>
        <v>06</v>
      </c>
      <c r="L1626" s="29" t="str">
        <f>VLOOKUP(G1626,'insumos terrapl'!$C$3:$K$47,6,0)</f>
        <v>00</v>
      </c>
      <c r="M1626" s="29" t="str">
        <f>VLOOKUP(G1626,'insumos terrapl'!$C$3:$K$47,7,0)</f>
        <v>00</v>
      </c>
      <c r="N1626" s="29" t="str">
        <f>VLOOKUP(G1626,'insumos terrapl'!$C$3:$K$47,8,0)</f>
        <v>00</v>
      </c>
      <c r="O1626" s="97" t="str">
        <f>VLOOKUP(G1626,'insumos terrapl'!$C$3:$K$47,9,0)</f>
        <v>00</v>
      </c>
    </row>
    <row r="1627" spans="1:15" ht="30">
      <c r="A1627" s="134"/>
      <c r="B1627" s="137"/>
      <c r="C1627" s="125"/>
      <c r="D1627" s="115"/>
      <c r="E1627" s="115"/>
      <c r="F1627" s="11" t="s">
        <v>639</v>
      </c>
      <c r="G1627" s="20" t="s">
        <v>640</v>
      </c>
      <c r="H1627" s="29" t="str">
        <f>VLOOKUP(G1627,'insumos terrapl'!$C$3:$K$47,2,0)</f>
        <v>2N  58  06  00  00  00  00</v>
      </c>
      <c r="I1627" s="29" t="str">
        <f>VLOOKUP(G1627,'insumos terrapl'!$C$3:$K$47,3,0)</f>
        <v>2N</v>
      </c>
      <c r="J1627" s="29">
        <f>VLOOKUP(G1627,'insumos terrapl'!$C$3:$K$47,4,0)</f>
        <v>58</v>
      </c>
      <c r="K1627" s="29" t="str">
        <f>VLOOKUP(G1627,'insumos terrapl'!$C$3:$K$47,5,0)</f>
        <v>06</v>
      </c>
      <c r="L1627" s="29" t="str">
        <f>VLOOKUP(G1627,'insumos terrapl'!$C$3:$K$47,6,0)</f>
        <v>00</v>
      </c>
      <c r="M1627" s="29" t="str">
        <f>VLOOKUP(G1627,'insumos terrapl'!$C$3:$K$47,7,0)</f>
        <v>00</v>
      </c>
      <c r="N1627" s="29" t="str">
        <f>VLOOKUP(G1627,'insumos terrapl'!$C$3:$K$47,8,0)</f>
        <v>00</v>
      </c>
      <c r="O1627" s="97" t="str">
        <f>VLOOKUP(G1627,'insumos terrapl'!$C$3:$K$47,9,0)</f>
        <v>00</v>
      </c>
    </row>
    <row r="1628" spans="1:15">
      <c r="A1628" s="134"/>
      <c r="B1628" s="137"/>
      <c r="C1628" s="125"/>
      <c r="D1628" s="115"/>
      <c r="E1628" s="115"/>
      <c r="F1628" s="11" t="s">
        <v>641</v>
      </c>
      <c r="G1628" s="20" t="s">
        <v>642</v>
      </c>
      <c r="H1628" s="29" t="str">
        <f>VLOOKUP(G1628,'insumos terrapl'!$C$3:$K$47,2,0)</f>
        <v>2N  58  06  00  00  00  00</v>
      </c>
      <c r="I1628" s="29" t="str">
        <f>VLOOKUP(G1628,'insumos terrapl'!$C$3:$K$47,3,0)</f>
        <v>2N</v>
      </c>
      <c r="J1628" s="29">
        <f>VLOOKUP(G1628,'insumos terrapl'!$C$3:$K$47,4,0)</f>
        <v>58</v>
      </c>
      <c r="K1628" s="29" t="str">
        <f>VLOOKUP(G1628,'insumos terrapl'!$C$3:$K$47,5,0)</f>
        <v>06</v>
      </c>
      <c r="L1628" s="29" t="str">
        <f>VLOOKUP(G1628,'insumos terrapl'!$C$3:$K$47,6,0)</f>
        <v>00</v>
      </c>
      <c r="M1628" s="29" t="str">
        <f>VLOOKUP(G1628,'insumos terrapl'!$C$3:$K$47,7,0)</f>
        <v>00</v>
      </c>
      <c r="N1628" s="29" t="str">
        <f>VLOOKUP(G1628,'insumos terrapl'!$C$3:$K$47,8,0)</f>
        <v>00</v>
      </c>
      <c r="O1628" s="97" t="str">
        <f>VLOOKUP(G1628,'insumos terrapl'!$C$3:$K$47,9,0)</f>
        <v>00</v>
      </c>
    </row>
    <row r="1629" spans="1:15">
      <c r="A1629" s="134"/>
      <c r="B1629" s="137"/>
      <c r="C1629" s="125"/>
      <c r="D1629" s="115"/>
      <c r="E1629" s="115"/>
      <c r="F1629" s="11" t="s">
        <v>619</v>
      </c>
      <c r="G1629" s="20" t="s">
        <v>620</v>
      </c>
      <c r="H1629" s="29"/>
      <c r="I1629" s="29"/>
      <c r="J1629" s="29"/>
      <c r="K1629" s="29"/>
      <c r="L1629" s="29"/>
      <c r="M1629" s="29"/>
      <c r="N1629" s="29"/>
      <c r="O1629" s="97"/>
    </row>
    <row r="1630" spans="1:15">
      <c r="A1630" s="134"/>
      <c r="B1630" s="137"/>
      <c r="C1630" s="125"/>
      <c r="D1630" s="115"/>
      <c r="E1630" s="115"/>
      <c r="F1630" s="11" t="s">
        <v>643</v>
      </c>
      <c r="G1630" s="20" t="s">
        <v>644</v>
      </c>
      <c r="H1630" s="29" t="str">
        <f>VLOOKUP(G1630,'insumos terrapl'!$C$3:$K$47,2,0)</f>
        <v>2N  58  06  00  00  00  00</v>
      </c>
      <c r="I1630" s="29" t="str">
        <f>VLOOKUP(G1630,'insumos terrapl'!$C$3:$K$47,3,0)</f>
        <v>2N</v>
      </c>
      <c r="J1630" s="29">
        <f>VLOOKUP(G1630,'insumos terrapl'!$C$3:$K$47,4,0)</f>
        <v>58</v>
      </c>
      <c r="K1630" s="29" t="str">
        <f>VLOOKUP(G1630,'insumos terrapl'!$C$3:$K$47,5,0)</f>
        <v>06</v>
      </c>
      <c r="L1630" s="29" t="str">
        <f>VLOOKUP(G1630,'insumos terrapl'!$C$3:$K$47,6,0)</f>
        <v>00</v>
      </c>
      <c r="M1630" s="29" t="str">
        <f>VLOOKUP(G1630,'insumos terrapl'!$C$3:$K$47,7,0)</f>
        <v>00</v>
      </c>
      <c r="N1630" s="29" t="str">
        <f>VLOOKUP(G1630,'insumos terrapl'!$C$3:$K$47,8,0)</f>
        <v>00</v>
      </c>
      <c r="O1630" s="97" t="str">
        <f>VLOOKUP(G1630,'insumos terrapl'!$C$3:$K$47,9,0)</f>
        <v>00</v>
      </c>
    </row>
    <row r="1631" spans="1:15">
      <c r="A1631" s="134"/>
      <c r="B1631" s="137"/>
      <c r="C1631" s="125"/>
      <c r="D1631" s="115"/>
      <c r="E1631" s="115"/>
      <c r="F1631" s="11" t="s">
        <v>645</v>
      </c>
      <c r="G1631" s="20" t="s">
        <v>646</v>
      </c>
      <c r="H1631" s="29" t="str">
        <f>VLOOKUP(G1631,'insumos terrapl'!$C$3:$K$47,2,0)</f>
        <v>2N  58  06  00  00  00  00</v>
      </c>
      <c r="I1631" s="29" t="str">
        <f>VLOOKUP(G1631,'insumos terrapl'!$C$3:$K$47,3,0)</f>
        <v>2N</v>
      </c>
      <c r="J1631" s="29">
        <f>VLOOKUP(G1631,'insumos terrapl'!$C$3:$K$47,4,0)</f>
        <v>58</v>
      </c>
      <c r="K1631" s="29" t="str">
        <f>VLOOKUP(G1631,'insumos terrapl'!$C$3:$K$47,5,0)</f>
        <v>06</v>
      </c>
      <c r="L1631" s="29" t="str">
        <f>VLOOKUP(G1631,'insumos terrapl'!$C$3:$K$47,6,0)</f>
        <v>00</v>
      </c>
      <c r="M1631" s="29" t="str">
        <f>VLOOKUP(G1631,'insumos terrapl'!$C$3:$K$47,7,0)</f>
        <v>00</v>
      </c>
      <c r="N1631" s="29" t="str">
        <f>VLOOKUP(G1631,'insumos terrapl'!$C$3:$K$47,8,0)</f>
        <v>00</v>
      </c>
      <c r="O1631" s="97" t="str">
        <f>VLOOKUP(G1631,'insumos terrapl'!$C$3:$K$47,9,0)</f>
        <v>00</v>
      </c>
    </row>
    <row r="1632" spans="1:15" ht="30">
      <c r="A1632" s="134"/>
      <c r="B1632" s="137"/>
      <c r="C1632" s="125"/>
      <c r="D1632" s="115"/>
      <c r="E1632" s="115"/>
      <c r="F1632" s="11" t="s">
        <v>647</v>
      </c>
      <c r="G1632" s="20" t="s">
        <v>648</v>
      </c>
      <c r="H1632" s="29" t="str">
        <f>VLOOKUP(G1632,'insumos terrapl'!$C$3:$K$47,2,0)</f>
        <v>2N  58  06  00  00  00  00</v>
      </c>
      <c r="I1632" s="29" t="str">
        <f>VLOOKUP(G1632,'insumos terrapl'!$C$3:$K$47,3,0)</f>
        <v>2N</v>
      </c>
      <c r="J1632" s="29">
        <f>VLOOKUP(G1632,'insumos terrapl'!$C$3:$K$47,4,0)</f>
        <v>58</v>
      </c>
      <c r="K1632" s="29" t="str">
        <f>VLOOKUP(G1632,'insumos terrapl'!$C$3:$K$47,5,0)</f>
        <v>06</v>
      </c>
      <c r="L1632" s="29" t="str">
        <f>VLOOKUP(G1632,'insumos terrapl'!$C$3:$K$47,6,0)</f>
        <v>00</v>
      </c>
      <c r="M1632" s="29" t="str">
        <f>VLOOKUP(G1632,'insumos terrapl'!$C$3:$K$47,7,0)</f>
        <v>00</v>
      </c>
      <c r="N1632" s="29" t="str">
        <f>VLOOKUP(G1632,'insumos terrapl'!$C$3:$K$47,8,0)</f>
        <v>00</v>
      </c>
      <c r="O1632" s="97" t="str">
        <f>VLOOKUP(G1632,'insumos terrapl'!$C$3:$K$47,9,0)</f>
        <v>00</v>
      </c>
    </row>
    <row r="1633" spans="1:15">
      <c r="A1633" s="134"/>
      <c r="B1633" s="137"/>
      <c r="C1633" s="125"/>
      <c r="D1633" s="115"/>
      <c r="E1633" s="115"/>
      <c r="F1633" s="11" t="s">
        <v>621</v>
      </c>
      <c r="G1633" s="20" t="s">
        <v>622</v>
      </c>
      <c r="H1633" s="29" t="str">
        <f>VLOOKUP(G1633,'insumos terrapl'!$C$3:$K$47,2,0)</f>
        <v>2N  58  06  00  00  00  00</v>
      </c>
      <c r="I1633" s="29" t="str">
        <f>VLOOKUP(G1633,'insumos terrapl'!$C$3:$K$47,3,0)</f>
        <v>2N</v>
      </c>
      <c r="J1633" s="29">
        <f>VLOOKUP(G1633,'insumos terrapl'!$C$3:$K$47,4,0)</f>
        <v>58</v>
      </c>
      <c r="K1633" s="29" t="str">
        <f>VLOOKUP(G1633,'insumos terrapl'!$C$3:$K$47,5,0)</f>
        <v>06</v>
      </c>
      <c r="L1633" s="29" t="str">
        <f>VLOOKUP(G1633,'insumos terrapl'!$C$3:$K$47,6,0)</f>
        <v>00</v>
      </c>
      <c r="M1633" s="29" t="str">
        <f>VLOOKUP(G1633,'insumos terrapl'!$C$3:$K$47,7,0)</f>
        <v>00</v>
      </c>
      <c r="N1633" s="29" t="str">
        <f>VLOOKUP(G1633,'insumos terrapl'!$C$3:$K$47,8,0)</f>
        <v>00</v>
      </c>
      <c r="O1633" s="97" t="str">
        <f>VLOOKUP(G1633,'insumos terrapl'!$C$3:$K$47,9,0)</f>
        <v>00</v>
      </c>
    </row>
    <row r="1634" spans="1:15">
      <c r="A1634" s="134"/>
      <c r="B1634" s="137"/>
      <c r="C1634" s="132"/>
      <c r="D1634" s="116"/>
      <c r="E1634" s="116"/>
      <c r="F1634" s="13"/>
      <c r="G1634" s="21"/>
      <c r="H1634" s="31"/>
      <c r="I1634" s="31"/>
      <c r="J1634" s="31"/>
      <c r="K1634" s="31"/>
      <c r="L1634" s="31"/>
      <c r="M1634" s="31"/>
      <c r="N1634" s="31"/>
      <c r="O1634" s="98"/>
    </row>
    <row r="1635" spans="1:15">
      <c r="A1635" s="134"/>
      <c r="B1635" s="137"/>
      <c r="C1635" s="124" t="s">
        <v>261</v>
      </c>
      <c r="D1635" s="114" t="str">
        <f>$A$1095</f>
        <v>2.6.8</v>
      </c>
      <c r="E1635" s="114" t="s">
        <v>519</v>
      </c>
      <c r="F1635" s="12" t="s">
        <v>261</v>
      </c>
      <c r="G1635" s="19"/>
      <c r="H1635" s="28"/>
      <c r="I1635" s="28"/>
      <c r="J1635" s="28"/>
      <c r="K1635" s="28"/>
      <c r="L1635" s="28"/>
      <c r="M1635" s="28"/>
      <c r="N1635" s="28"/>
      <c r="O1635" s="99"/>
    </row>
    <row r="1636" spans="1:15" ht="30">
      <c r="A1636" s="134"/>
      <c r="B1636" s="137"/>
      <c r="C1636" s="125"/>
      <c r="D1636" s="115"/>
      <c r="E1636" s="115"/>
      <c r="F1636" s="11" t="s">
        <v>659</v>
      </c>
      <c r="G1636" s="20" t="s">
        <v>660</v>
      </c>
      <c r="H1636" s="29" t="str">
        <f>VLOOKUP(G1636,'insumos terrapl'!$C$3:$K$47,2,0)</f>
        <v>2Q  66  10  02  00  00  00</v>
      </c>
      <c r="I1636" s="29" t="str">
        <f>VLOOKUP(G1636,'insumos terrapl'!$C$3:$K$47,3,0)</f>
        <v>2Q</v>
      </c>
      <c r="J1636" s="29">
        <f>VLOOKUP(G1636,'insumos terrapl'!$C$3:$K$47,4,0)</f>
        <v>66</v>
      </c>
      <c r="K1636" s="29" t="str">
        <f>VLOOKUP(G1636,'insumos terrapl'!$C$3:$K$47,5,0)</f>
        <v>10</v>
      </c>
      <c r="L1636" s="29" t="str">
        <f>VLOOKUP(G1636,'insumos terrapl'!$C$3:$K$47,6,0)</f>
        <v>02</v>
      </c>
      <c r="M1636" s="29" t="str">
        <f>VLOOKUP(G1636,'insumos terrapl'!$C$3:$K$47,7,0)</f>
        <v>00</v>
      </c>
      <c r="N1636" s="29" t="str">
        <f>VLOOKUP(G1636,'insumos terrapl'!$C$3:$K$47,8,0)</f>
        <v>00</v>
      </c>
      <c r="O1636" s="97" t="str">
        <f>VLOOKUP(G1636,'insumos terrapl'!$C$3:$K$47,9,0)</f>
        <v>00</v>
      </c>
    </row>
    <row r="1637" spans="1:15" ht="30">
      <c r="A1637" s="134"/>
      <c r="B1637" s="137"/>
      <c r="C1637" s="125"/>
      <c r="D1637" s="115"/>
      <c r="E1637" s="115"/>
      <c r="F1637" s="11" t="s">
        <v>661</v>
      </c>
      <c r="G1637" s="20" t="s">
        <v>662</v>
      </c>
      <c r="H1637" s="29" t="str">
        <f>VLOOKUP(G1637,'insumos terrapl'!$C$3:$K$47,2,0)</f>
        <v>2Q  62  10  06  00  00  00</v>
      </c>
      <c r="I1637" s="29" t="str">
        <f>VLOOKUP(G1637,'insumos terrapl'!$C$3:$K$47,3,0)</f>
        <v>2Q</v>
      </c>
      <c r="J1637" s="29">
        <f>VLOOKUP(G1637,'insumos terrapl'!$C$3:$K$47,4,0)</f>
        <v>62</v>
      </c>
      <c r="K1637" s="29" t="str">
        <f>VLOOKUP(G1637,'insumos terrapl'!$C$3:$K$47,5,0)</f>
        <v>10</v>
      </c>
      <c r="L1637" s="29" t="str">
        <f>VLOOKUP(G1637,'insumos terrapl'!$C$3:$K$47,6,0)</f>
        <v>06</v>
      </c>
      <c r="M1637" s="29" t="str">
        <f>VLOOKUP(G1637,'insumos terrapl'!$C$3:$K$47,7,0)</f>
        <v>00</v>
      </c>
      <c r="N1637" s="29" t="str">
        <f>VLOOKUP(G1637,'insumos terrapl'!$C$3:$K$47,8,0)</f>
        <v>00</v>
      </c>
      <c r="O1637" s="97" t="str">
        <f>VLOOKUP(G1637,'insumos terrapl'!$C$3:$K$47,9,0)</f>
        <v>00</v>
      </c>
    </row>
    <row r="1638" spans="1:15" ht="30">
      <c r="A1638" s="134"/>
      <c r="B1638" s="137"/>
      <c r="C1638" s="125"/>
      <c r="D1638" s="115"/>
      <c r="E1638" s="115"/>
      <c r="F1638" s="11" t="s">
        <v>607</v>
      </c>
      <c r="G1638" s="20" t="s">
        <v>608</v>
      </c>
      <c r="H1638" s="29" t="str">
        <f>VLOOKUP(G1638,'insumos terrapl'!$C$3:$K$47,2,0)</f>
        <v>2Q  42  06  18  02  02  00</v>
      </c>
      <c r="I1638" s="29" t="str">
        <f>VLOOKUP(G1638,'insumos terrapl'!$C$3:$K$47,3,0)</f>
        <v>2Q</v>
      </c>
      <c r="J1638" s="29">
        <f>VLOOKUP(G1638,'insumos terrapl'!$C$3:$K$47,4,0)</f>
        <v>42</v>
      </c>
      <c r="K1638" s="29" t="str">
        <f>VLOOKUP(G1638,'insumos terrapl'!$C$3:$K$47,5,0)</f>
        <v>06</v>
      </c>
      <c r="L1638" s="29">
        <f>VLOOKUP(G1638,'insumos terrapl'!$C$3:$K$47,6,0)</f>
        <v>18</v>
      </c>
      <c r="M1638" s="29" t="str">
        <f>VLOOKUP(G1638,'insumos terrapl'!$C$3:$K$47,7,0)</f>
        <v>02</v>
      </c>
      <c r="N1638" s="29" t="str">
        <f>VLOOKUP(G1638,'insumos terrapl'!$C$3:$K$47,8,0)</f>
        <v>02</v>
      </c>
      <c r="O1638" s="97" t="str">
        <f>VLOOKUP(G1638,'insumos terrapl'!$C$3:$K$47,9,0)</f>
        <v>00</v>
      </c>
    </row>
    <row r="1639" spans="1:15" ht="45">
      <c r="A1639" s="134"/>
      <c r="B1639" s="137"/>
      <c r="C1639" s="125"/>
      <c r="D1639" s="115"/>
      <c r="E1639" s="115"/>
      <c r="F1639" s="11" t="s">
        <v>609</v>
      </c>
      <c r="G1639" s="20" t="s">
        <v>610</v>
      </c>
      <c r="H1639" s="29" t="str">
        <f>VLOOKUP(G1639,'insumos terrapl'!$C$3:$K$47,2,0)</f>
        <v>2Q  42  06  02  14  02  00</v>
      </c>
      <c r="I1639" s="29" t="str">
        <f>VLOOKUP(G1639,'insumos terrapl'!$C$3:$K$47,3,0)</f>
        <v>2Q</v>
      </c>
      <c r="J1639" s="29">
        <f>VLOOKUP(G1639,'insumos terrapl'!$C$3:$K$47,4,0)</f>
        <v>42</v>
      </c>
      <c r="K1639" s="29" t="str">
        <f>VLOOKUP(G1639,'insumos terrapl'!$C$3:$K$47,5,0)</f>
        <v>06</v>
      </c>
      <c r="L1639" s="29" t="str">
        <f>VLOOKUP(G1639,'insumos terrapl'!$C$3:$K$47,6,0)</f>
        <v>02</v>
      </c>
      <c r="M1639" s="29" t="str">
        <f>VLOOKUP(G1639,'insumos terrapl'!$C$3:$K$47,7,0)</f>
        <v>14</v>
      </c>
      <c r="N1639" s="29" t="str">
        <f>VLOOKUP(G1639,'insumos terrapl'!$C$3:$K$47,8,0)</f>
        <v>02</v>
      </c>
      <c r="O1639" s="97" t="str">
        <f>VLOOKUP(G1639,'insumos terrapl'!$C$3:$K$47,9,0)</f>
        <v>00</v>
      </c>
    </row>
    <row r="1640" spans="1:15">
      <c r="A1640" s="134"/>
      <c r="B1640" s="137"/>
      <c r="C1640" s="125"/>
      <c r="D1640" s="115"/>
      <c r="E1640" s="115"/>
      <c r="F1640" s="11" t="s">
        <v>633</v>
      </c>
      <c r="G1640" s="20" t="s">
        <v>634</v>
      </c>
      <c r="H1640" s="29" t="str">
        <f>VLOOKUP(G1640,'insumos terrapl'!$C$3:$K$47,2,0)</f>
        <v>2Q  58  10  10  02  06  00</v>
      </c>
      <c r="I1640" s="29" t="str">
        <f>VLOOKUP(G1640,'insumos terrapl'!$C$3:$K$47,3,0)</f>
        <v>2Q</v>
      </c>
      <c r="J1640" s="29">
        <f>VLOOKUP(G1640,'insumos terrapl'!$C$3:$K$47,4,0)</f>
        <v>58</v>
      </c>
      <c r="K1640" s="29" t="str">
        <f>VLOOKUP(G1640,'insumos terrapl'!$C$3:$K$47,5,0)</f>
        <v>10</v>
      </c>
      <c r="L1640" s="29" t="str">
        <f>VLOOKUP(G1640,'insumos terrapl'!$C$3:$K$47,6,0)</f>
        <v>10</v>
      </c>
      <c r="M1640" s="29" t="str">
        <f>VLOOKUP(G1640,'insumos terrapl'!$C$3:$K$47,7,0)</f>
        <v>02</v>
      </c>
      <c r="N1640" s="29" t="str">
        <f>VLOOKUP(G1640,'insumos terrapl'!$C$3:$K$47,8,0)</f>
        <v>06</v>
      </c>
      <c r="O1640" s="97" t="str">
        <f>VLOOKUP(G1640,'insumos terrapl'!$C$3:$K$47,9,0)</f>
        <v>00</v>
      </c>
    </row>
    <row r="1641" spans="1:15">
      <c r="A1641" s="134"/>
      <c r="B1641" s="137"/>
      <c r="C1641" s="125"/>
      <c r="D1641" s="115"/>
      <c r="E1641" s="115"/>
      <c r="F1641" s="11" t="s">
        <v>586</v>
      </c>
      <c r="G1641" s="20" t="s">
        <v>587</v>
      </c>
      <c r="H1641" s="29" t="str">
        <f>VLOOKUP(G1641,'insumos terrapl'!$C$3:$K$47,2,0)</f>
        <v>2Q  62  30  02  14  00  00</v>
      </c>
      <c r="I1641" s="29" t="str">
        <f>VLOOKUP(G1641,'insumos terrapl'!$C$3:$K$47,3,0)</f>
        <v>2Q</v>
      </c>
      <c r="J1641" s="29">
        <f>VLOOKUP(G1641,'insumos terrapl'!$C$3:$K$47,4,0)</f>
        <v>62</v>
      </c>
      <c r="K1641" s="29">
        <f>VLOOKUP(G1641,'insumos terrapl'!$C$3:$K$47,5,0)</f>
        <v>30</v>
      </c>
      <c r="L1641" s="29" t="str">
        <f>VLOOKUP(G1641,'insumos terrapl'!$C$3:$K$47,6,0)</f>
        <v>02</v>
      </c>
      <c r="M1641" s="29" t="str">
        <f>VLOOKUP(G1641,'insumos terrapl'!$C$3:$K$47,7,0)</f>
        <v>14</v>
      </c>
      <c r="N1641" s="29" t="str">
        <f>VLOOKUP(G1641,'insumos terrapl'!$C$3:$K$47,8,0)</f>
        <v>00</v>
      </c>
      <c r="O1641" s="97" t="str">
        <f>VLOOKUP(G1641,'insumos terrapl'!$C$3:$K$47,9,0)</f>
        <v>00</v>
      </c>
    </row>
    <row r="1642" spans="1:15">
      <c r="A1642" s="134"/>
      <c r="B1642" s="137"/>
      <c r="C1642" s="125"/>
      <c r="D1642" s="115"/>
      <c r="E1642" s="115"/>
      <c r="F1642" s="11" t="s">
        <v>613</v>
      </c>
      <c r="G1642" s="20" t="s">
        <v>614</v>
      </c>
      <c r="H1642" s="29" t="str">
        <f>VLOOKUP(G1642,'insumos terrapl'!$C$3:$K$47,2,0)</f>
        <v>2N  20  14  02  00  00  00</v>
      </c>
      <c r="I1642" s="29" t="str">
        <f>VLOOKUP(G1642,'insumos terrapl'!$C$3:$K$47,3,0)</f>
        <v>2N</v>
      </c>
      <c r="J1642" s="29">
        <f>VLOOKUP(G1642,'insumos terrapl'!$C$3:$K$47,4,0)</f>
        <v>20</v>
      </c>
      <c r="K1642" s="29" t="str">
        <f>VLOOKUP(G1642,'insumos terrapl'!$C$3:$K$47,5,0)</f>
        <v>14</v>
      </c>
      <c r="L1642" s="29" t="str">
        <f>VLOOKUP(G1642,'insumos terrapl'!$C$3:$K$47,6,0)</f>
        <v>02</v>
      </c>
      <c r="M1642" s="29" t="str">
        <f>VLOOKUP(G1642,'insumos terrapl'!$C$3:$K$47,7,0)</f>
        <v>00</v>
      </c>
      <c r="N1642" s="29" t="str">
        <f>VLOOKUP(G1642,'insumos terrapl'!$C$3:$K$47,8,0)</f>
        <v>00</v>
      </c>
      <c r="O1642" s="97" t="str">
        <f>VLOOKUP(G1642,'insumos terrapl'!$C$3:$K$47,9,0)</f>
        <v>00</v>
      </c>
    </row>
    <row r="1643" spans="1:15">
      <c r="A1643" s="134"/>
      <c r="B1643" s="137"/>
      <c r="C1643" s="125"/>
      <c r="D1643" s="115"/>
      <c r="E1643" s="115"/>
      <c r="F1643" s="11" t="s">
        <v>615</v>
      </c>
      <c r="G1643" s="20" t="s">
        <v>616</v>
      </c>
      <c r="H1643" s="29" t="str">
        <f>VLOOKUP(G1643,'insumos terrapl'!$C$3:$K$47,2,0)</f>
        <v>2N  20  14  02  00  00  00</v>
      </c>
      <c r="I1643" s="29" t="str">
        <f>VLOOKUP(G1643,'insumos terrapl'!$C$3:$K$47,3,0)</f>
        <v>2N</v>
      </c>
      <c r="J1643" s="29">
        <f>VLOOKUP(G1643,'insumos terrapl'!$C$3:$K$47,4,0)</f>
        <v>20</v>
      </c>
      <c r="K1643" s="29" t="str">
        <f>VLOOKUP(G1643,'insumos terrapl'!$C$3:$K$47,5,0)</f>
        <v>14</v>
      </c>
      <c r="L1643" s="29" t="str">
        <f>VLOOKUP(G1643,'insumos terrapl'!$C$3:$K$47,6,0)</f>
        <v>02</v>
      </c>
      <c r="M1643" s="29" t="str">
        <f>VLOOKUP(G1643,'insumos terrapl'!$C$3:$K$47,7,0)</f>
        <v>00</v>
      </c>
      <c r="N1643" s="29" t="str">
        <f>VLOOKUP(G1643,'insumos terrapl'!$C$3:$K$47,8,0)</f>
        <v>00</v>
      </c>
      <c r="O1643" s="97" t="str">
        <f>VLOOKUP(G1643,'insumos terrapl'!$C$3:$K$47,9,0)</f>
        <v>00</v>
      </c>
    </row>
    <row r="1644" spans="1:15" ht="30">
      <c r="A1644" s="134"/>
      <c r="B1644" s="137"/>
      <c r="C1644" s="125"/>
      <c r="D1644" s="115"/>
      <c r="E1644" s="115"/>
      <c r="F1644" s="11" t="s">
        <v>635</v>
      </c>
      <c r="G1644" s="20" t="s">
        <v>636</v>
      </c>
      <c r="H1644" s="29" t="str">
        <f>VLOOKUP(G1644,'insumos terrapl'!$C$3:$K$47,2,0)</f>
        <v>2N  58  06  00  00  00  00</v>
      </c>
      <c r="I1644" s="29" t="str">
        <f>VLOOKUP(G1644,'insumos terrapl'!$C$3:$K$47,3,0)</f>
        <v>2N</v>
      </c>
      <c r="J1644" s="29">
        <f>VLOOKUP(G1644,'insumos terrapl'!$C$3:$K$47,4,0)</f>
        <v>58</v>
      </c>
      <c r="K1644" s="29" t="str">
        <f>VLOOKUP(G1644,'insumos terrapl'!$C$3:$K$47,5,0)</f>
        <v>06</v>
      </c>
      <c r="L1644" s="29" t="str">
        <f>VLOOKUP(G1644,'insumos terrapl'!$C$3:$K$47,6,0)</f>
        <v>00</v>
      </c>
      <c r="M1644" s="29" t="str">
        <f>VLOOKUP(G1644,'insumos terrapl'!$C$3:$K$47,7,0)</f>
        <v>00</v>
      </c>
      <c r="N1644" s="29" t="str">
        <f>VLOOKUP(G1644,'insumos terrapl'!$C$3:$K$47,8,0)</f>
        <v>00</v>
      </c>
      <c r="O1644" s="97" t="str">
        <f>VLOOKUP(G1644,'insumos terrapl'!$C$3:$K$47,9,0)</f>
        <v>00</v>
      </c>
    </row>
    <row r="1645" spans="1:15">
      <c r="A1645" s="134"/>
      <c r="B1645" s="137"/>
      <c r="C1645" s="125"/>
      <c r="D1645" s="115"/>
      <c r="E1645" s="115"/>
      <c r="F1645" s="11" t="s">
        <v>617</v>
      </c>
      <c r="G1645" s="20" t="s">
        <v>618</v>
      </c>
      <c r="H1645" s="29" t="str">
        <f>VLOOKUP(G1645,'insumos terrapl'!$C$3:$K$47,2,0)</f>
        <v>2Q  58  06  02  28  00  00</v>
      </c>
      <c r="I1645" s="29" t="str">
        <f>VLOOKUP(G1645,'insumos terrapl'!$C$3:$K$47,3,0)</f>
        <v>2Q</v>
      </c>
      <c r="J1645" s="29">
        <f>VLOOKUP(G1645,'insumos terrapl'!$C$3:$K$47,4,0)</f>
        <v>58</v>
      </c>
      <c r="K1645" s="29" t="str">
        <f>VLOOKUP(G1645,'insumos terrapl'!$C$3:$K$47,5,0)</f>
        <v>06</v>
      </c>
      <c r="L1645" s="29" t="str">
        <f>VLOOKUP(G1645,'insumos terrapl'!$C$3:$K$47,6,0)</f>
        <v>02</v>
      </c>
      <c r="M1645" s="29" t="str">
        <f>VLOOKUP(G1645,'insumos terrapl'!$C$3:$K$47,7,0)</f>
        <v>28</v>
      </c>
      <c r="N1645" s="29" t="str">
        <f>VLOOKUP(G1645,'insumos terrapl'!$C$3:$K$47,8,0)</f>
        <v>00</v>
      </c>
      <c r="O1645" s="97" t="str">
        <f>VLOOKUP(G1645,'insumos terrapl'!$C$3:$K$47,9,0)</f>
        <v>00</v>
      </c>
    </row>
    <row r="1646" spans="1:15" ht="30">
      <c r="A1646" s="134"/>
      <c r="B1646" s="137"/>
      <c r="C1646" s="125"/>
      <c r="D1646" s="115"/>
      <c r="E1646" s="115"/>
      <c r="F1646" s="11" t="s">
        <v>637</v>
      </c>
      <c r="G1646" s="20" t="s">
        <v>638</v>
      </c>
      <c r="H1646" s="29" t="str">
        <f>VLOOKUP(G1646,'insumos terrapl'!$C$3:$K$47,2,0)</f>
        <v>2N  58  06  00  00  00  00</v>
      </c>
      <c r="I1646" s="29" t="str">
        <f>VLOOKUP(G1646,'insumos terrapl'!$C$3:$K$47,3,0)</f>
        <v>2N</v>
      </c>
      <c r="J1646" s="29">
        <f>VLOOKUP(G1646,'insumos terrapl'!$C$3:$K$47,4,0)</f>
        <v>58</v>
      </c>
      <c r="K1646" s="29" t="str">
        <f>VLOOKUP(G1646,'insumos terrapl'!$C$3:$K$47,5,0)</f>
        <v>06</v>
      </c>
      <c r="L1646" s="29" t="str">
        <f>VLOOKUP(G1646,'insumos terrapl'!$C$3:$K$47,6,0)</f>
        <v>00</v>
      </c>
      <c r="M1646" s="29" t="str">
        <f>VLOOKUP(G1646,'insumos terrapl'!$C$3:$K$47,7,0)</f>
        <v>00</v>
      </c>
      <c r="N1646" s="29" t="str">
        <f>VLOOKUP(G1646,'insumos terrapl'!$C$3:$K$47,8,0)</f>
        <v>00</v>
      </c>
      <c r="O1646" s="97" t="str">
        <f>VLOOKUP(G1646,'insumos terrapl'!$C$3:$K$47,9,0)</f>
        <v>00</v>
      </c>
    </row>
    <row r="1647" spans="1:15" ht="30">
      <c r="A1647" s="134"/>
      <c r="B1647" s="137"/>
      <c r="C1647" s="125"/>
      <c r="D1647" s="115"/>
      <c r="E1647" s="115"/>
      <c r="F1647" s="11" t="s">
        <v>639</v>
      </c>
      <c r="G1647" s="20" t="s">
        <v>640</v>
      </c>
      <c r="H1647" s="29" t="str">
        <f>VLOOKUP(G1647,'insumos terrapl'!$C$3:$K$47,2,0)</f>
        <v>2N  58  06  00  00  00  00</v>
      </c>
      <c r="I1647" s="29" t="str">
        <f>VLOOKUP(G1647,'insumos terrapl'!$C$3:$K$47,3,0)</f>
        <v>2N</v>
      </c>
      <c r="J1647" s="29">
        <f>VLOOKUP(G1647,'insumos terrapl'!$C$3:$K$47,4,0)</f>
        <v>58</v>
      </c>
      <c r="K1647" s="29" t="str">
        <f>VLOOKUP(G1647,'insumos terrapl'!$C$3:$K$47,5,0)</f>
        <v>06</v>
      </c>
      <c r="L1647" s="29" t="str">
        <f>VLOOKUP(G1647,'insumos terrapl'!$C$3:$K$47,6,0)</f>
        <v>00</v>
      </c>
      <c r="M1647" s="29" t="str">
        <f>VLOOKUP(G1647,'insumos terrapl'!$C$3:$K$47,7,0)</f>
        <v>00</v>
      </c>
      <c r="N1647" s="29" t="str">
        <f>VLOOKUP(G1647,'insumos terrapl'!$C$3:$K$47,8,0)</f>
        <v>00</v>
      </c>
      <c r="O1647" s="97" t="str">
        <f>VLOOKUP(G1647,'insumos terrapl'!$C$3:$K$47,9,0)</f>
        <v>00</v>
      </c>
    </row>
    <row r="1648" spans="1:15">
      <c r="A1648" s="134"/>
      <c r="B1648" s="137"/>
      <c r="C1648" s="125"/>
      <c r="D1648" s="115"/>
      <c r="E1648" s="115"/>
      <c r="F1648" s="11" t="s">
        <v>641</v>
      </c>
      <c r="G1648" s="20" t="s">
        <v>642</v>
      </c>
      <c r="H1648" s="29" t="str">
        <f>VLOOKUP(G1648,'insumos terrapl'!$C$3:$K$47,2,0)</f>
        <v>2N  58  06  00  00  00  00</v>
      </c>
      <c r="I1648" s="29" t="str">
        <f>VLOOKUP(G1648,'insumos terrapl'!$C$3:$K$47,3,0)</f>
        <v>2N</v>
      </c>
      <c r="J1648" s="29">
        <f>VLOOKUP(G1648,'insumos terrapl'!$C$3:$K$47,4,0)</f>
        <v>58</v>
      </c>
      <c r="K1648" s="29" t="str">
        <f>VLOOKUP(G1648,'insumos terrapl'!$C$3:$K$47,5,0)</f>
        <v>06</v>
      </c>
      <c r="L1648" s="29" t="str">
        <f>VLOOKUP(G1648,'insumos terrapl'!$C$3:$K$47,6,0)</f>
        <v>00</v>
      </c>
      <c r="M1648" s="29" t="str">
        <f>VLOOKUP(G1648,'insumos terrapl'!$C$3:$K$47,7,0)</f>
        <v>00</v>
      </c>
      <c r="N1648" s="29" t="str">
        <f>VLOOKUP(G1648,'insumos terrapl'!$C$3:$K$47,8,0)</f>
        <v>00</v>
      </c>
      <c r="O1648" s="97" t="str">
        <f>VLOOKUP(G1648,'insumos terrapl'!$C$3:$K$47,9,0)</f>
        <v>00</v>
      </c>
    </row>
    <row r="1649" spans="1:15">
      <c r="A1649" s="134"/>
      <c r="B1649" s="137"/>
      <c r="C1649" s="125"/>
      <c r="D1649" s="115"/>
      <c r="E1649" s="115"/>
      <c r="F1649" s="11" t="s">
        <v>619</v>
      </c>
      <c r="G1649" s="20" t="s">
        <v>620</v>
      </c>
      <c r="H1649" s="29"/>
      <c r="I1649" s="29"/>
      <c r="J1649" s="29"/>
      <c r="K1649" s="29"/>
      <c r="L1649" s="29"/>
      <c r="M1649" s="29"/>
      <c r="N1649" s="29"/>
      <c r="O1649" s="97"/>
    </row>
    <row r="1650" spans="1:15">
      <c r="A1650" s="134"/>
      <c r="B1650" s="137"/>
      <c r="C1650" s="125"/>
      <c r="D1650" s="115"/>
      <c r="E1650" s="115"/>
      <c r="F1650" s="11" t="s">
        <v>643</v>
      </c>
      <c r="G1650" s="20" t="s">
        <v>644</v>
      </c>
      <c r="H1650" s="29" t="str">
        <f>VLOOKUP(G1650,'insumos terrapl'!$C$3:$K$47,2,0)</f>
        <v>2N  58  06  00  00  00  00</v>
      </c>
      <c r="I1650" s="29" t="str">
        <f>VLOOKUP(G1650,'insumos terrapl'!$C$3:$K$47,3,0)</f>
        <v>2N</v>
      </c>
      <c r="J1650" s="29">
        <f>VLOOKUP(G1650,'insumos terrapl'!$C$3:$K$47,4,0)</f>
        <v>58</v>
      </c>
      <c r="K1650" s="29" t="str">
        <f>VLOOKUP(G1650,'insumos terrapl'!$C$3:$K$47,5,0)</f>
        <v>06</v>
      </c>
      <c r="L1650" s="29" t="str">
        <f>VLOOKUP(G1650,'insumos terrapl'!$C$3:$K$47,6,0)</f>
        <v>00</v>
      </c>
      <c r="M1650" s="29" t="str">
        <f>VLOOKUP(G1650,'insumos terrapl'!$C$3:$K$47,7,0)</f>
        <v>00</v>
      </c>
      <c r="N1650" s="29" t="str">
        <f>VLOOKUP(G1650,'insumos terrapl'!$C$3:$K$47,8,0)</f>
        <v>00</v>
      </c>
      <c r="O1650" s="97" t="str">
        <f>VLOOKUP(G1650,'insumos terrapl'!$C$3:$K$47,9,0)</f>
        <v>00</v>
      </c>
    </row>
    <row r="1651" spans="1:15">
      <c r="A1651" s="134"/>
      <c r="B1651" s="137"/>
      <c r="C1651" s="125"/>
      <c r="D1651" s="115"/>
      <c r="E1651" s="115"/>
      <c r="F1651" s="11" t="s">
        <v>645</v>
      </c>
      <c r="G1651" s="20" t="s">
        <v>646</v>
      </c>
      <c r="H1651" s="29" t="str">
        <f>VLOOKUP(G1651,'insumos terrapl'!$C$3:$K$47,2,0)</f>
        <v>2N  58  06  00  00  00  00</v>
      </c>
      <c r="I1651" s="29" t="str">
        <f>VLOOKUP(G1651,'insumos terrapl'!$C$3:$K$47,3,0)</f>
        <v>2N</v>
      </c>
      <c r="J1651" s="29">
        <f>VLOOKUP(G1651,'insumos terrapl'!$C$3:$K$47,4,0)</f>
        <v>58</v>
      </c>
      <c r="K1651" s="29" t="str">
        <f>VLOOKUP(G1651,'insumos terrapl'!$C$3:$K$47,5,0)</f>
        <v>06</v>
      </c>
      <c r="L1651" s="29" t="str">
        <f>VLOOKUP(G1651,'insumos terrapl'!$C$3:$K$47,6,0)</f>
        <v>00</v>
      </c>
      <c r="M1651" s="29" t="str">
        <f>VLOOKUP(G1651,'insumos terrapl'!$C$3:$K$47,7,0)</f>
        <v>00</v>
      </c>
      <c r="N1651" s="29" t="str">
        <f>VLOOKUP(G1651,'insumos terrapl'!$C$3:$K$47,8,0)</f>
        <v>00</v>
      </c>
      <c r="O1651" s="97" t="str">
        <f>VLOOKUP(G1651,'insumos terrapl'!$C$3:$K$47,9,0)</f>
        <v>00</v>
      </c>
    </row>
    <row r="1652" spans="1:15" ht="30">
      <c r="A1652" s="134"/>
      <c r="B1652" s="137"/>
      <c r="C1652" s="125"/>
      <c r="D1652" s="115"/>
      <c r="E1652" s="115"/>
      <c r="F1652" s="11" t="s">
        <v>647</v>
      </c>
      <c r="G1652" s="20" t="s">
        <v>648</v>
      </c>
      <c r="H1652" s="29" t="str">
        <f>VLOOKUP(G1652,'insumos terrapl'!$C$3:$K$47,2,0)</f>
        <v>2N  58  06  00  00  00  00</v>
      </c>
      <c r="I1652" s="29" t="str">
        <f>VLOOKUP(G1652,'insumos terrapl'!$C$3:$K$47,3,0)</f>
        <v>2N</v>
      </c>
      <c r="J1652" s="29">
        <f>VLOOKUP(G1652,'insumos terrapl'!$C$3:$K$47,4,0)</f>
        <v>58</v>
      </c>
      <c r="K1652" s="29" t="str">
        <f>VLOOKUP(G1652,'insumos terrapl'!$C$3:$K$47,5,0)</f>
        <v>06</v>
      </c>
      <c r="L1652" s="29" t="str">
        <f>VLOOKUP(G1652,'insumos terrapl'!$C$3:$K$47,6,0)</f>
        <v>00</v>
      </c>
      <c r="M1652" s="29" t="str">
        <f>VLOOKUP(G1652,'insumos terrapl'!$C$3:$K$47,7,0)</f>
        <v>00</v>
      </c>
      <c r="N1652" s="29" t="str">
        <f>VLOOKUP(G1652,'insumos terrapl'!$C$3:$K$47,8,0)</f>
        <v>00</v>
      </c>
      <c r="O1652" s="97" t="str">
        <f>VLOOKUP(G1652,'insumos terrapl'!$C$3:$K$47,9,0)</f>
        <v>00</v>
      </c>
    </row>
    <row r="1653" spans="1:15">
      <c r="A1653" s="134"/>
      <c r="B1653" s="137"/>
      <c r="C1653" s="125"/>
      <c r="D1653" s="115"/>
      <c r="E1653" s="115"/>
      <c r="F1653" s="11" t="s">
        <v>621</v>
      </c>
      <c r="G1653" s="20" t="s">
        <v>622</v>
      </c>
      <c r="H1653" s="29" t="str">
        <f>VLOOKUP(G1653,'insumos terrapl'!$C$3:$K$47,2,0)</f>
        <v>2N  58  06  00  00  00  00</v>
      </c>
      <c r="I1653" s="29" t="str">
        <f>VLOOKUP(G1653,'insumos terrapl'!$C$3:$K$47,3,0)</f>
        <v>2N</v>
      </c>
      <c r="J1653" s="29">
        <f>VLOOKUP(G1653,'insumos terrapl'!$C$3:$K$47,4,0)</f>
        <v>58</v>
      </c>
      <c r="K1653" s="29" t="str">
        <f>VLOOKUP(G1653,'insumos terrapl'!$C$3:$K$47,5,0)</f>
        <v>06</v>
      </c>
      <c r="L1653" s="29" t="str">
        <f>VLOOKUP(G1653,'insumos terrapl'!$C$3:$K$47,6,0)</f>
        <v>00</v>
      </c>
      <c r="M1653" s="29" t="str">
        <f>VLOOKUP(G1653,'insumos terrapl'!$C$3:$K$47,7,0)</f>
        <v>00</v>
      </c>
      <c r="N1653" s="29" t="str">
        <f>VLOOKUP(G1653,'insumos terrapl'!$C$3:$K$47,8,0)</f>
        <v>00</v>
      </c>
      <c r="O1653" s="97" t="str">
        <f>VLOOKUP(G1653,'insumos terrapl'!$C$3:$K$47,9,0)</f>
        <v>00</v>
      </c>
    </row>
    <row r="1654" spans="1:15">
      <c r="A1654" s="134"/>
      <c r="B1654" s="137"/>
      <c r="C1654" s="132"/>
      <c r="D1654" s="116"/>
      <c r="E1654" s="116"/>
      <c r="F1654" s="13"/>
      <c r="G1654" s="21"/>
      <c r="H1654" s="31"/>
      <c r="I1654" s="31"/>
      <c r="J1654" s="31"/>
      <c r="K1654" s="31"/>
      <c r="L1654" s="31"/>
      <c r="M1654" s="31"/>
      <c r="N1654" s="31"/>
      <c r="O1654" s="98"/>
    </row>
    <row r="1655" spans="1:15">
      <c r="A1655" s="134"/>
      <c r="B1655" s="137"/>
      <c r="C1655" s="124" t="s">
        <v>262</v>
      </c>
      <c r="D1655" s="114" t="str">
        <f>$A$1095</f>
        <v>2.6.8</v>
      </c>
      <c r="E1655" s="115" t="s">
        <v>520</v>
      </c>
      <c r="F1655" s="11" t="s">
        <v>262</v>
      </c>
      <c r="G1655" s="20"/>
      <c r="H1655" s="29"/>
      <c r="I1655" s="29"/>
      <c r="J1655" s="29"/>
      <c r="K1655" s="29"/>
      <c r="L1655" s="29"/>
      <c r="M1655" s="29"/>
      <c r="N1655" s="29"/>
      <c r="O1655" s="97"/>
    </row>
    <row r="1656" spans="1:15" ht="30">
      <c r="A1656" s="134"/>
      <c r="B1656" s="137"/>
      <c r="C1656" s="125"/>
      <c r="D1656" s="115"/>
      <c r="E1656" s="115"/>
      <c r="F1656" s="11" t="s">
        <v>659</v>
      </c>
      <c r="G1656" s="20" t="s">
        <v>660</v>
      </c>
      <c r="H1656" s="29" t="str">
        <f>VLOOKUP(G1656,'insumos terrapl'!$C$3:$K$47,2,0)</f>
        <v>2Q  66  10  02  00  00  00</v>
      </c>
      <c r="I1656" s="29" t="str">
        <f>VLOOKUP(G1656,'insumos terrapl'!$C$3:$K$47,3,0)</f>
        <v>2Q</v>
      </c>
      <c r="J1656" s="29">
        <f>VLOOKUP(G1656,'insumos terrapl'!$C$3:$K$47,4,0)</f>
        <v>66</v>
      </c>
      <c r="K1656" s="29" t="str">
        <f>VLOOKUP(G1656,'insumos terrapl'!$C$3:$K$47,5,0)</f>
        <v>10</v>
      </c>
      <c r="L1656" s="29" t="str">
        <f>VLOOKUP(G1656,'insumos terrapl'!$C$3:$K$47,6,0)</f>
        <v>02</v>
      </c>
      <c r="M1656" s="29" t="str">
        <f>VLOOKUP(G1656,'insumos terrapl'!$C$3:$K$47,7,0)</f>
        <v>00</v>
      </c>
      <c r="N1656" s="29" t="str">
        <f>VLOOKUP(G1656,'insumos terrapl'!$C$3:$K$47,8,0)</f>
        <v>00</v>
      </c>
      <c r="O1656" s="97" t="str">
        <f>VLOOKUP(G1656,'insumos terrapl'!$C$3:$K$47,9,0)</f>
        <v>00</v>
      </c>
    </row>
    <row r="1657" spans="1:15" ht="30">
      <c r="A1657" s="134"/>
      <c r="B1657" s="137"/>
      <c r="C1657" s="125"/>
      <c r="D1657" s="115"/>
      <c r="E1657" s="115"/>
      <c r="F1657" s="11" t="s">
        <v>661</v>
      </c>
      <c r="G1657" s="20" t="s">
        <v>662</v>
      </c>
      <c r="H1657" s="29" t="str">
        <f>VLOOKUP(G1657,'insumos terrapl'!$C$3:$K$47,2,0)</f>
        <v>2Q  62  10  06  00  00  00</v>
      </c>
      <c r="I1657" s="29" t="str">
        <f>VLOOKUP(G1657,'insumos terrapl'!$C$3:$K$47,3,0)</f>
        <v>2Q</v>
      </c>
      <c r="J1657" s="29">
        <f>VLOOKUP(G1657,'insumos terrapl'!$C$3:$K$47,4,0)</f>
        <v>62</v>
      </c>
      <c r="K1657" s="29" t="str">
        <f>VLOOKUP(G1657,'insumos terrapl'!$C$3:$K$47,5,0)</f>
        <v>10</v>
      </c>
      <c r="L1657" s="29" t="str">
        <f>VLOOKUP(G1657,'insumos terrapl'!$C$3:$K$47,6,0)</f>
        <v>06</v>
      </c>
      <c r="M1657" s="29" t="str">
        <f>VLOOKUP(G1657,'insumos terrapl'!$C$3:$K$47,7,0)</f>
        <v>00</v>
      </c>
      <c r="N1657" s="29" t="str">
        <f>VLOOKUP(G1657,'insumos terrapl'!$C$3:$K$47,8,0)</f>
        <v>00</v>
      </c>
      <c r="O1657" s="97" t="str">
        <f>VLOOKUP(G1657,'insumos terrapl'!$C$3:$K$47,9,0)</f>
        <v>00</v>
      </c>
    </row>
    <row r="1658" spans="1:15" ht="30">
      <c r="A1658" s="134"/>
      <c r="B1658" s="137"/>
      <c r="C1658" s="125"/>
      <c r="D1658" s="115"/>
      <c r="E1658" s="115"/>
      <c r="F1658" s="11" t="s">
        <v>607</v>
      </c>
      <c r="G1658" s="20" t="s">
        <v>608</v>
      </c>
      <c r="H1658" s="29" t="str">
        <f>VLOOKUP(G1658,'insumos terrapl'!$C$3:$K$47,2,0)</f>
        <v>2Q  42  06  18  02  02  00</v>
      </c>
      <c r="I1658" s="29" t="str">
        <f>VLOOKUP(G1658,'insumos terrapl'!$C$3:$K$47,3,0)</f>
        <v>2Q</v>
      </c>
      <c r="J1658" s="29">
        <f>VLOOKUP(G1658,'insumos terrapl'!$C$3:$K$47,4,0)</f>
        <v>42</v>
      </c>
      <c r="K1658" s="29" t="str">
        <f>VLOOKUP(G1658,'insumos terrapl'!$C$3:$K$47,5,0)</f>
        <v>06</v>
      </c>
      <c r="L1658" s="29">
        <f>VLOOKUP(G1658,'insumos terrapl'!$C$3:$K$47,6,0)</f>
        <v>18</v>
      </c>
      <c r="M1658" s="29" t="str">
        <f>VLOOKUP(G1658,'insumos terrapl'!$C$3:$K$47,7,0)</f>
        <v>02</v>
      </c>
      <c r="N1658" s="29" t="str">
        <f>VLOOKUP(G1658,'insumos terrapl'!$C$3:$K$47,8,0)</f>
        <v>02</v>
      </c>
      <c r="O1658" s="97" t="str">
        <f>VLOOKUP(G1658,'insumos terrapl'!$C$3:$K$47,9,0)</f>
        <v>00</v>
      </c>
    </row>
    <row r="1659" spans="1:15" ht="45">
      <c r="A1659" s="134"/>
      <c r="B1659" s="137"/>
      <c r="C1659" s="125"/>
      <c r="D1659" s="115"/>
      <c r="E1659" s="115"/>
      <c r="F1659" s="11" t="s">
        <v>609</v>
      </c>
      <c r="G1659" s="20" t="s">
        <v>610</v>
      </c>
      <c r="H1659" s="29" t="str">
        <f>VLOOKUP(G1659,'insumos terrapl'!$C$3:$K$47,2,0)</f>
        <v>2Q  42  06  02  14  02  00</v>
      </c>
      <c r="I1659" s="29" t="str">
        <f>VLOOKUP(G1659,'insumos terrapl'!$C$3:$K$47,3,0)</f>
        <v>2Q</v>
      </c>
      <c r="J1659" s="29">
        <f>VLOOKUP(G1659,'insumos terrapl'!$C$3:$K$47,4,0)</f>
        <v>42</v>
      </c>
      <c r="K1659" s="29" t="str">
        <f>VLOOKUP(G1659,'insumos terrapl'!$C$3:$K$47,5,0)</f>
        <v>06</v>
      </c>
      <c r="L1659" s="29" t="str">
        <f>VLOOKUP(G1659,'insumos terrapl'!$C$3:$K$47,6,0)</f>
        <v>02</v>
      </c>
      <c r="M1659" s="29" t="str">
        <f>VLOOKUP(G1659,'insumos terrapl'!$C$3:$K$47,7,0)</f>
        <v>14</v>
      </c>
      <c r="N1659" s="29" t="str">
        <f>VLOOKUP(G1659,'insumos terrapl'!$C$3:$K$47,8,0)</f>
        <v>02</v>
      </c>
      <c r="O1659" s="97" t="str">
        <f>VLOOKUP(G1659,'insumos terrapl'!$C$3:$K$47,9,0)</f>
        <v>00</v>
      </c>
    </row>
    <row r="1660" spans="1:15">
      <c r="A1660" s="134"/>
      <c r="B1660" s="137"/>
      <c r="C1660" s="125"/>
      <c r="D1660" s="115"/>
      <c r="E1660" s="115"/>
      <c r="F1660" s="11" t="s">
        <v>633</v>
      </c>
      <c r="G1660" s="20" t="s">
        <v>634</v>
      </c>
      <c r="H1660" s="29" t="str">
        <f>VLOOKUP(G1660,'insumos terrapl'!$C$3:$K$47,2,0)</f>
        <v>2Q  58  10  10  02  06  00</v>
      </c>
      <c r="I1660" s="29" t="str">
        <f>VLOOKUP(G1660,'insumos terrapl'!$C$3:$K$47,3,0)</f>
        <v>2Q</v>
      </c>
      <c r="J1660" s="29">
        <f>VLOOKUP(G1660,'insumos terrapl'!$C$3:$K$47,4,0)</f>
        <v>58</v>
      </c>
      <c r="K1660" s="29" t="str">
        <f>VLOOKUP(G1660,'insumos terrapl'!$C$3:$K$47,5,0)</f>
        <v>10</v>
      </c>
      <c r="L1660" s="29" t="str">
        <f>VLOOKUP(G1660,'insumos terrapl'!$C$3:$K$47,6,0)</f>
        <v>10</v>
      </c>
      <c r="M1660" s="29" t="str">
        <f>VLOOKUP(G1660,'insumos terrapl'!$C$3:$K$47,7,0)</f>
        <v>02</v>
      </c>
      <c r="N1660" s="29" t="str">
        <f>VLOOKUP(G1660,'insumos terrapl'!$C$3:$K$47,8,0)</f>
        <v>06</v>
      </c>
      <c r="O1660" s="97" t="str">
        <f>VLOOKUP(G1660,'insumos terrapl'!$C$3:$K$47,9,0)</f>
        <v>00</v>
      </c>
    </row>
    <row r="1661" spans="1:15">
      <c r="A1661" s="134"/>
      <c r="B1661" s="137"/>
      <c r="C1661" s="125"/>
      <c r="D1661" s="115"/>
      <c r="E1661" s="115"/>
      <c r="F1661" s="11" t="s">
        <v>586</v>
      </c>
      <c r="G1661" s="20" t="s">
        <v>587</v>
      </c>
      <c r="H1661" s="29" t="str">
        <f>VLOOKUP(G1661,'insumos terrapl'!$C$3:$K$47,2,0)</f>
        <v>2Q  62  30  02  14  00  00</v>
      </c>
      <c r="I1661" s="29" t="str">
        <f>VLOOKUP(G1661,'insumos terrapl'!$C$3:$K$47,3,0)</f>
        <v>2Q</v>
      </c>
      <c r="J1661" s="29">
        <f>VLOOKUP(G1661,'insumos terrapl'!$C$3:$K$47,4,0)</f>
        <v>62</v>
      </c>
      <c r="K1661" s="29">
        <f>VLOOKUP(G1661,'insumos terrapl'!$C$3:$K$47,5,0)</f>
        <v>30</v>
      </c>
      <c r="L1661" s="29" t="str">
        <f>VLOOKUP(G1661,'insumos terrapl'!$C$3:$K$47,6,0)</f>
        <v>02</v>
      </c>
      <c r="M1661" s="29" t="str">
        <f>VLOOKUP(G1661,'insumos terrapl'!$C$3:$K$47,7,0)</f>
        <v>14</v>
      </c>
      <c r="N1661" s="29" t="str">
        <f>VLOOKUP(G1661,'insumos terrapl'!$C$3:$K$47,8,0)</f>
        <v>00</v>
      </c>
      <c r="O1661" s="97" t="str">
        <f>VLOOKUP(G1661,'insumos terrapl'!$C$3:$K$47,9,0)</f>
        <v>00</v>
      </c>
    </row>
    <row r="1662" spans="1:15">
      <c r="A1662" s="134"/>
      <c r="B1662" s="137"/>
      <c r="C1662" s="125"/>
      <c r="D1662" s="115"/>
      <c r="E1662" s="115"/>
      <c r="F1662" s="11" t="s">
        <v>613</v>
      </c>
      <c r="G1662" s="20" t="s">
        <v>614</v>
      </c>
      <c r="H1662" s="29" t="str">
        <f>VLOOKUP(G1662,'insumos terrapl'!$C$3:$K$47,2,0)</f>
        <v>2N  20  14  02  00  00  00</v>
      </c>
      <c r="I1662" s="29" t="str">
        <f>VLOOKUP(G1662,'insumos terrapl'!$C$3:$K$47,3,0)</f>
        <v>2N</v>
      </c>
      <c r="J1662" s="29">
        <f>VLOOKUP(G1662,'insumos terrapl'!$C$3:$K$47,4,0)</f>
        <v>20</v>
      </c>
      <c r="K1662" s="29" t="str">
        <f>VLOOKUP(G1662,'insumos terrapl'!$C$3:$K$47,5,0)</f>
        <v>14</v>
      </c>
      <c r="L1662" s="29" t="str">
        <f>VLOOKUP(G1662,'insumos terrapl'!$C$3:$K$47,6,0)</f>
        <v>02</v>
      </c>
      <c r="M1662" s="29" t="str">
        <f>VLOOKUP(G1662,'insumos terrapl'!$C$3:$K$47,7,0)</f>
        <v>00</v>
      </c>
      <c r="N1662" s="29" t="str">
        <f>VLOOKUP(G1662,'insumos terrapl'!$C$3:$K$47,8,0)</f>
        <v>00</v>
      </c>
      <c r="O1662" s="97" t="str">
        <f>VLOOKUP(G1662,'insumos terrapl'!$C$3:$K$47,9,0)</f>
        <v>00</v>
      </c>
    </row>
    <row r="1663" spans="1:15">
      <c r="A1663" s="134"/>
      <c r="B1663" s="137"/>
      <c r="C1663" s="125"/>
      <c r="D1663" s="115"/>
      <c r="E1663" s="115"/>
      <c r="F1663" s="11" t="s">
        <v>615</v>
      </c>
      <c r="G1663" s="20" t="s">
        <v>616</v>
      </c>
      <c r="H1663" s="29" t="str">
        <f>VLOOKUP(G1663,'insumos terrapl'!$C$3:$K$47,2,0)</f>
        <v>2N  20  14  02  00  00  00</v>
      </c>
      <c r="I1663" s="29" t="str">
        <f>VLOOKUP(G1663,'insumos terrapl'!$C$3:$K$47,3,0)</f>
        <v>2N</v>
      </c>
      <c r="J1663" s="29">
        <f>VLOOKUP(G1663,'insumos terrapl'!$C$3:$K$47,4,0)</f>
        <v>20</v>
      </c>
      <c r="K1663" s="29" t="str">
        <f>VLOOKUP(G1663,'insumos terrapl'!$C$3:$K$47,5,0)</f>
        <v>14</v>
      </c>
      <c r="L1663" s="29" t="str">
        <f>VLOOKUP(G1663,'insumos terrapl'!$C$3:$K$47,6,0)</f>
        <v>02</v>
      </c>
      <c r="M1663" s="29" t="str">
        <f>VLOOKUP(G1663,'insumos terrapl'!$C$3:$K$47,7,0)</f>
        <v>00</v>
      </c>
      <c r="N1663" s="29" t="str">
        <f>VLOOKUP(G1663,'insumos terrapl'!$C$3:$K$47,8,0)</f>
        <v>00</v>
      </c>
      <c r="O1663" s="97" t="str">
        <f>VLOOKUP(G1663,'insumos terrapl'!$C$3:$K$47,9,0)</f>
        <v>00</v>
      </c>
    </row>
    <row r="1664" spans="1:15" ht="30">
      <c r="A1664" s="134"/>
      <c r="B1664" s="137"/>
      <c r="C1664" s="125"/>
      <c r="D1664" s="115"/>
      <c r="E1664" s="115"/>
      <c r="F1664" s="11" t="s">
        <v>635</v>
      </c>
      <c r="G1664" s="20" t="s">
        <v>636</v>
      </c>
      <c r="H1664" s="29" t="str">
        <f>VLOOKUP(G1664,'insumos terrapl'!$C$3:$K$47,2,0)</f>
        <v>2N  58  06  00  00  00  00</v>
      </c>
      <c r="I1664" s="29" t="str">
        <f>VLOOKUP(G1664,'insumos terrapl'!$C$3:$K$47,3,0)</f>
        <v>2N</v>
      </c>
      <c r="J1664" s="29">
        <f>VLOOKUP(G1664,'insumos terrapl'!$C$3:$K$47,4,0)</f>
        <v>58</v>
      </c>
      <c r="K1664" s="29" t="str">
        <f>VLOOKUP(G1664,'insumos terrapl'!$C$3:$K$47,5,0)</f>
        <v>06</v>
      </c>
      <c r="L1664" s="29" t="str">
        <f>VLOOKUP(G1664,'insumos terrapl'!$C$3:$K$47,6,0)</f>
        <v>00</v>
      </c>
      <c r="M1664" s="29" t="str">
        <f>VLOOKUP(G1664,'insumos terrapl'!$C$3:$K$47,7,0)</f>
        <v>00</v>
      </c>
      <c r="N1664" s="29" t="str">
        <f>VLOOKUP(G1664,'insumos terrapl'!$C$3:$K$47,8,0)</f>
        <v>00</v>
      </c>
      <c r="O1664" s="97" t="str">
        <f>VLOOKUP(G1664,'insumos terrapl'!$C$3:$K$47,9,0)</f>
        <v>00</v>
      </c>
    </row>
    <row r="1665" spans="1:15">
      <c r="A1665" s="134"/>
      <c r="B1665" s="137"/>
      <c r="C1665" s="125"/>
      <c r="D1665" s="115"/>
      <c r="E1665" s="115"/>
      <c r="F1665" s="11" t="s">
        <v>617</v>
      </c>
      <c r="G1665" s="20" t="s">
        <v>618</v>
      </c>
      <c r="H1665" s="29" t="str">
        <f>VLOOKUP(G1665,'insumos terrapl'!$C$3:$K$47,2,0)</f>
        <v>2Q  58  06  02  28  00  00</v>
      </c>
      <c r="I1665" s="29" t="str">
        <f>VLOOKUP(G1665,'insumos terrapl'!$C$3:$K$47,3,0)</f>
        <v>2Q</v>
      </c>
      <c r="J1665" s="29">
        <f>VLOOKUP(G1665,'insumos terrapl'!$C$3:$K$47,4,0)</f>
        <v>58</v>
      </c>
      <c r="K1665" s="29" t="str">
        <f>VLOOKUP(G1665,'insumos terrapl'!$C$3:$K$47,5,0)</f>
        <v>06</v>
      </c>
      <c r="L1665" s="29" t="str">
        <f>VLOOKUP(G1665,'insumos terrapl'!$C$3:$K$47,6,0)</f>
        <v>02</v>
      </c>
      <c r="M1665" s="29" t="str">
        <f>VLOOKUP(G1665,'insumos terrapl'!$C$3:$K$47,7,0)</f>
        <v>28</v>
      </c>
      <c r="N1665" s="29" t="str">
        <f>VLOOKUP(G1665,'insumos terrapl'!$C$3:$K$47,8,0)</f>
        <v>00</v>
      </c>
      <c r="O1665" s="97" t="str">
        <f>VLOOKUP(G1665,'insumos terrapl'!$C$3:$K$47,9,0)</f>
        <v>00</v>
      </c>
    </row>
    <row r="1666" spans="1:15" ht="30">
      <c r="A1666" s="134"/>
      <c r="B1666" s="137"/>
      <c r="C1666" s="125"/>
      <c r="D1666" s="115"/>
      <c r="E1666" s="115"/>
      <c r="F1666" s="11" t="s">
        <v>637</v>
      </c>
      <c r="G1666" s="20" t="s">
        <v>638</v>
      </c>
      <c r="H1666" s="29" t="str">
        <f>VLOOKUP(G1666,'insumos terrapl'!$C$3:$K$47,2,0)</f>
        <v>2N  58  06  00  00  00  00</v>
      </c>
      <c r="I1666" s="29" t="str">
        <f>VLOOKUP(G1666,'insumos terrapl'!$C$3:$K$47,3,0)</f>
        <v>2N</v>
      </c>
      <c r="J1666" s="29">
        <f>VLOOKUP(G1666,'insumos terrapl'!$C$3:$K$47,4,0)</f>
        <v>58</v>
      </c>
      <c r="K1666" s="29" t="str">
        <f>VLOOKUP(G1666,'insumos terrapl'!$C$3:$K$47,5,0)</f>
        <v>06</v>
      </c>
      <c r="L1666" s="29" t="str">
        <f>VLOOKUP(G1666,'insumos terrapl'!$C$3:$K$47,6,0)</f>
        <v>00</v>
      </c>
      <c r="M1666" s="29" t="str">
        <f>VLOOKUP(G1666,'insumos terrapl'!$C$3:$K$47,7,0)</f>
        <v>00</v>
      </c>
      <c r="N1666" s="29" t="str">
        <f>VLOOKUP(G1666,'insumos terrapl'!$C$3:$K$47,8,0)</f>
        <v>00</v>
      </c>
      <c r="O1666" s="97" t="str">
        <f>VLOOKUP(G1666,'insumos terrapl'!$C$3:$K$47,9,0)</f>
        <v>00</v>
      </c>
    </row>
    <row r="1667" spans="1:15" ht="30">
      <c r="A1667" s="134"/>
      <c r="B1667" s="137"/>
      <c r="C1667" s="125"/>
      <c r="D1667" s="115"/>
      <c r="E1667" s="115"/>
      <c r="F1667" s="11" t="s">
        <v>639</v>
      </c>
      <c r="G1667" s="20" t="s">
        <v>640</v>
      </c>
      <c r="H1667" s="29" t="str">
        <f>VLOOKUP(G1667,'insumos terrapl'!$C$3:$K$47,2,0)</f>
        <v>2N  58  06  00  00  00  00</v>
      </c>
      <c r="I1667" s="29" t="str">
        <f>VLOOKUP(G1667,'insumos terrapl'!$C$3:$K$47,3,0)</f>
        <v>2N</v>
      </c>
      <c r="J1667" s="29">
        <f>VLOOKUP(G1667,'insumos terrapl'!$C$3:$K$47,4,0)</f>
        <v>58</v>
      </c>
      <c r="K1667" s="29" t="str">
        <f>VLOOKUP(G1667,'insumos terrapl'!$C$3:$K$47,5,0)</f>
        <v>06</v>
      </c>
      <c r="L1667" s="29" t="str">
        <f>VLOOKUP(G1667,'insumos terrapl'!$C$3:$K$47,6,0)</f>
        <v>00</v>
      </c>
      <c r="M1667" s="29" t="str">
        <f>VLOOKUP(G1667,'insumos terrapl'!$C$3:$K$47,7,0)</f>
        <v>00</v>
      </c>
      <c r="N1667" s="29" t="str">
        <f>VLOOKUP(G1667,'insumos terrapl'!$C$3:$K$47,8,0)</f>
        <v>00</v>
      </c>
      <c r="O1667" s="97" t="str">
        <f>VLOOKUP(G1667,'insumos terrapl'!$C$3:$K$47,9,0)</f>
        <v>00</v>
      </c>
    </row>
    <row r="1668" spans="1:15">
      <c r="A1668" s="134"/>
      <c r="B1668" s="137"/>
      <c r="C1668" s="125"/>
      <c r="D1668" s="115"/>
      <c r="E1668" s="115"/>
      <c r="F1668" s="11" t="s">
        <v>641</v>
      </c>
      <c r="G1668" s="20" t="s">
        <v>642</v>
      </c>
      <c r="H1668" s="29" t="str">
        <f>VLOOKUP(G1668,'insumos terrapl'!$C$3:$K$47,2,0)</f>
        <v>2N  58  06  00  00  00  00</v>
      </c>
      <c r="I1668" s="29" t="str">
        <f>VLOOKUP(G1668,'insumos terrapl'!$C$3:$K$47,3,0)</f>
        <v>2N</v>
      </c>
      <c r="J1668" s="29">
        <f>VLOOKUP(G1668,'insumos terrapl'!$C$3:$K$47,4,0)</f>
        <v>58</v>
      </c>
      <c r="K1668" s="29" t="str">
        <f>VLOOKUP(G1668,'insumos terrapl'!$C$3:$K$47,5,0)</f>
        <v>06</v>
      </c>
      <c r="L1668" s="29" t="str">
        <f>VLOOKUP(G1668,'insumos terrapl'!$C$3:$K$47,6,0)</f>
        <v>00</v>
      </c>
      <c r="M1668" s="29" t="str">
        <f>VLOOKUP(G1668,'insumos terrapl'!$C$3:$K$47,7,0)</f>
        <v>00</v>
      </c>
      <c r="N1668" s="29" t="str">
        <f>VLOOKUP(G1668,'insumos terrapl'!$C$3:$K$47,8,0)</f>
        <v>00</v>
      </c>
      <c r="O1668" s="97" t="str">
        <f>VLOOKUP(G1668,'insumos terrapl'!$C$3:$K$47,9,0)</f>
        <v>00</v>
      </c>
    </row>
    <row r="1669" spans="1:15">
      <c r="A1669" s="134"/>
      <c r="B1669" s="137"/>
      <c r="C1669" s="125"/>
      <c r="D1669" s="115"/>
      <c r="E1669" s="115"/>
      <c r="F1669" s="11" t="s">
        <v>619</v>
      </c>
      <c r="G1669" s="20" t="s">
        <v>620</v>
      </c>
      <c r="H1669" s="29"/>
      <c r="I1669" s="29"/>
      <c r="J1669" s="29"/>
      <c r="K1669" s="29"/>
      <c r="L1669" s="29"/>
      <c r="M1669" s="29"/>
      <c r="N1669" s="29"/>
      <c r="O1669" s="97"/>
    </row>
    <row r="1670" spans="1:15">
      <c r="A1670" s="134"/>
      <c r="B1670" s="137"/>
      <c r="C1670" s="125"/>
      <c r="D1670" s="115"/>
      <c r="E1670" s="115"/>
      <c r="F1670" s="11" t="s">
        <v>643</v>
      </c>
      <c r="G1670" s="20" t="s">
        <v>644</v>
      </c>
      <c r="H1670" s="29" t="str">
        <f>VLOOKUP(G1670,'insumos terrapl'!$C$3:$K$47,2,0)</f>
        <v>2N  58  06  00  00  00  00</v>
      </c>
      <c r="I1670" s="29" t="str">
        <f>VLOOKUP(G1670,'insumos terrapl'!$C$3:$K$47,3,0)</f>
        <v>2N</v>
      </c>
      <c r="J1670" s="29">
        <f>VLOOKUP(G1670,'insumos terrapl'!$C$3:$K$47,4,0)</f>
        <v>58</v>
      </c>
      <c r="K1670" s="29" t="str">
        <f>VLOOKUP(G1670,'insumos terrapl'!$C$3:$K$47,5,0)</f>
        <v>06</v>
      </c>
      <c r="L1670" s="29" t="str">
        <f>VLOOKUP(G1670,'insumos terrapl'!$C$3:$K$47,6,0)</f>
        <v>00</v>
      </c>
      <c r="M1670" s="29" t="str">
        <f>VLOOKUP(G1670,'insumos terrapl'!$C$3:$K$47,7,0)</f>
        <v>00</v>
      </c>
      <c r="N1670" s="29" t="str">
        <f>VLOOKUP(G1670,'insumos terrapl'!$C$3:$K$47,8,0)</f>
        <v>00</v>
      </c>
      <c r="O1670" s="97" t="str">
        <f>VLOOKUP(G1670,'insumos terrapl'!$C$3:$K$47,9,0)</f>
        <v>00</v>
      </c>
    </row>
    <row r="1671" spans="1:15">
      <c r="A1671" s="134"/>
      <c r="B1671" s="137"/>
      <c r="C1671" s="125"/>
      <c r="D1671" s="115"/>
      <c r="E1671" s="115"/>
      <c r="F1671" s="11" t="s">
        <v>645</v>
      </c>
      <c r="G1671" s="20" t="s">
        <v>646</v>
      </c>
      <c r="H1671" s="29" t="str">
        <f>VLOOKUP(G1671,'insumos terrapl'!$C$3:$K$47,2,0)</f>
        <v>2N  58  06  00  00  00  00</v>
      </c>
      <c r="I1671" s="29" t="str">
        <f>VLOOKUP(G1671,'insumos terrapl'!$C$3:$K$47,3,0)</f>
        <v>2N</v>
      </c>
      <c r="J1671" s="29">
        <f>VLOOKUP(G1671,'insumos terrapl'!$C$3:$K$47,4,0)</f>
        <v>58</v>
      </c>
      <c r="K1671" s="29" t="str">
        <f>VLOOKUP(G1671,'insumos terrapl'!$C$3:$K$47,5,0)</f>
        <v>06</v>
      </c>
      <c r="L1671" s="29" t="str">
        <f>VLOOKUP(G1671,'insumos terrapl'!$C$3:$K$47,6,0)</f>
        <v>00</v>
      </c>
      <c r="M1671" s="29" t="str">
        <f>VLOOKUP(G1671,'insumos terrapl'!$C$3:$K$47,7,0)</f>
        <v>00</v>
      </c>
      <c r="N1671" s="29" t="str">
        <f>VLOOKUP(G1671,'insumos terrapl'!$C$3:$K$47,8,0)</f>
        <v>00</v>
      </c>
      <c r="O1671" s="97" t="str">
        <f>VLOOKUP(G1671,'insumos terrapl'!$C$3:$K$47,9,0)</f>
        <v>00</v>
      </c>
    </row>
    <row r="1672" spans="1:15" ht="30">
      <c r="A1672" s="134"/>
      <c r="B1672" s="137"/>
      <c r="C1672" s="125"/>
      <c r="D1672" s="115"/>
      <c r="E1672" s="115"/>
      <c r="F1672" s="11" t="s">
        <v>647</v>
      </c>
      <c r="G1672" s="20" t="s">
        <v>648</v>
      </c>
      <c r="H1672" s="29" t="str">
        <f>VLOOKUP(G1672,'insumos terrapl'!$C$3:$K$47,2,0)</f>
        <v>2N  58  06  00  00  00  00</v>
      </c>
      <c r="I1672" s="29" t="str">
        <f>VLOOKUP(G1672,'insumos terrapl'!$C$3:$K$47,3,0)</f>
        <v>2N</v>
      </c>
      <c r="J1672" s="29">
        <f>VLOOKUP(G1672,'insumos terrapl'!$C$3:$K$47,4,0)</f>
        <v>58</v>
      </c>
      <c r="K1672" s="29" t="str">
        <f>VLOOKUP(G1672,'insumos terrapl'!$C$3:$K$47,5,0)</f>
        <v>06</v>
      </c>
      <c r="L1672" s="29" t="str">
        <f>VLOOKUP(G1672,'insumos terrapl'!$C$3:$K$47,6,0)</f>
        <v>00</v>
      </c>
      <c r="M1672" s="29" t="str">
        <f>VLOOKUP(G1672,'insumos terrapl'!$C$3:$K$47,7,0)</f>
        <v>00</v>
      </c>
      <c r="N1672" s="29" t="str">
        <f>VLOOKUP(G1672,'insumos terrapl'!$C$3:$K$47,8,0)</f>
        <v>00</v>
      </c>
      <c r="O1672" s="97" t="str">
        <f>VLOOKUP(G1672,'insumos terrapl'!$C$3:$K$47,9,0)</f>
        <v>00</v>
      </c>
    </row>
    <row r="1673" spans="1:15">
      <c r="A1673" s="134"/>
      <c r="B1673" s="137"/>
      <c r="C1673" s="125"/>
      <c r="D1673" s="115"/>
      <c r="E1673" s="115"/>
      <c r="F1673" s="11" t="s">
        <v>621</v>
      </c>
      <c r="G1673" s="20" t="s">
        <v>622</v>
      </c>
      <c r="H1673" s="29" t="str">
        <f>VLOOKUP(G1673,'insumos terrapl'!$C$3:$K$47,2,0)</f>
        <v>2N  58  06  00  00  00  00</v>
      </c>
      <c r="I1673" s="29" t="str">
        <f>VLOOKUP(G1673,'insumos terrapl'!$C$3:$K$47,3,0)</f>
        <v>2N</v>
      </c>
      <c r="J1673" s="29">
        <f>VLOOKUP(G1673,'insumos terrapl'!$C$3:$K$47,4,0)</f>
        <v>58</v>
      </c>
      <c r="K1673" s="29" t="str">
        <f>VLOOKUP(G1673,'insumos terrapl'!$C$3:$K$47,5,0)</f>
        <v>06</v>
      </c>
      <c r="L1673" s="29" t="str">
        <f>VLOOKUP(G1673,'insumos terrapl'!$C$3:$K$47,6,0)</f>
        <v>00</v>
      </c>
      <c r="M1673" s="29" t="str">
        <f>VLOOKUP(G1673,'insumos terrapl'!$C$3:$K$47,7,0)</f>
        <v>00</v>
      </c>
      <c r="N1673" s="29" t="str">
        <f>VLOOKUP(G1673,'insumos terrapl'!$C$3:$K$47,8,0)</f>
        <v>00</v>
      </c>
      <c r="O1673" s="97" t="str">
        <f>VLOOKUP(G1673,'insumos terrapl'!$C$3:$K$47,9,0)</f>
        <v>00</v>
      </c>
    </row>
    <row r="1674" spans="1:15">
      <c r="A1674" s="134"/>
      <c r="B1674" s="137"/>
      <c r="C1674" s="132"/>
      <c r="D1674" s="116"/>
      <c r="E1674" s="115"/>
      <c r="F1674" s="10"/>
      <c r="G1674" s="20"/>
      <c r="H1674" s="29"/>
      <c r="I1674" s="29"/>
      <c r="J1674" s="29"/>
      <c r="K1674" s="29"/>
      <c r="L1674" s="29"/>
      <c r="M1674" s="29"/>
      <c r="N1674" s="29"/>
      <c r="O1674" s="97"/>
    </row>
    <row r="1675" spans="1:15">
      <c r="A1675" s="134"/>
      <c r="B1675" s="137"/>
      <c r="C1675" s="124" t="s">
        <v>263</v>
      </c>
      <c r="D1675" s="114" t="str">
        <f>$A$1095</f>
        <v>2.6.8</v>
      </c>
      <c r="E1675" s="114" t="s">
        <v>521</v>
      </c>
      <c r="F1675" s="12" t="s">
        <v>263</v>
      </c>
      <c r="G1675" s="19"/>
      <c r="H1675" s="28"/>
      <c r="I1675" s="28"/>
      <c r="J1675" s="28"/>
      <c r="K1675" s="28"/>
      <c r="L1675" s="28"/>
      <c r="M1675" s="28"/>
      <c r="N1675" s="28"/>
      <c r="O1675" s="99"/>
    </row>
    <row r="1676" spans="1:15" ht="30">
      <c r="A1676" s="134"/>
      <c r="B1676" s="137"/>
      <c r="C1676" s="125"/>
      <c r="D1676" s="115"/>
      <c r="E1676" s="115"/>
      <c r="F1676" s="11" t="s">
        <v>659</v>
      </c>
      <c r="G1676" s="20" t="s">
        <v>660</v>
      </c>
      <c r="H1676" s="29" t="str">
        <f>VLOOKUP(G1676,'insumos terrapl'!$C$3:$K$47,2,0)</f>
        <v>2Q  66  10  02  00  00  00</v>
      </c>
      <c r="I1676" s="29" t="str">
        <f>VLOOKUP(G1676,'insumos terrapl'!$C$3:$K$47,3,0)</f>
        <v>2Q</v>
      </c>
      <c r="J1676" s="29">
        <f>VLOOKUP(G1676,'insumos terrapl'!$C$3:$K$47,4,0)</f>
        <v>66</v>
      </c>
      <c r="K1676" s="29" t="str">
        <f>VLOOKUP(G1676,'insumos terrapl'!$C$3:$K$47,5,0)</f>
        <v>10</v>
      </c>
      <c r="L1676" s="29" t="str">
        <f>VLOOKUP(G1676,'insumos terrapl'!$C$3:$K$47,6,0)</f>
        <v>02</v>
      </c>
      <c r="M1676" s="29" t="str">
        <f>VLOOKUP(G1676,'insumos terrapl'!$C$3:$K$47,7,0)</f>
        <v>00</v>
      </c>
      <c r="N1676" s="29" t="str">
        <f>VLOOKUP(G1676,'insumos terrapl'!$C$3:$K$47,8,0)</f>
        <v>00</v>
      </c>
      <c r="O1676" s="97" t="str">
        <f>VLOOKUP(G1676,'insumos terrapl'!$C$3:$K$47,9,0)</f>
        <v>00</v>
      </c>
    </row>
    <row r="1677" spans="1:15" ht="30">
      <c r="A1677" s="134"/>
      <c r="B1677" s="137"/>
      <c r="C1677" s="125"/>
      <c r="D1677" s="115"/>
      <c r="E1677" s="115"/>
      <c r="F1677" s="11" t="s">
        <v>661</v>
      </c>
      <c r="G1677" s="20" t="s">
        <v>662</v>
      </c>
      <c r="H1677" s="29" t="str">
        <f>VLOOKUP(G1677,'insumos terrapl'!$C$3:$K$47,2,0)</f>
        <v>2Q  62  10  06  00  00  00</v>
      </c>
      <c r="I1677" s="29" t="str">
        <f>VLOOKUP(G1677,'insumos terrapl'!$C$3:$K$47,3,0)</f>
        <v>2Q</v>
      </c>
      <c r="J1677" s="29">
        <f>VLOOKUP(G1677,'insumos terrapl'!$C$3:$K$47,4,0)</f>
        <v>62</v>
      </c>
      <c r="K1677" s="29" t="str">
        <f>VLOOKUP(G1677,'insumos terrapl'!$C$3:$K$47,5,0)</f>
        <v>10</v>
      </c>
      <c r="L1677" s="29" t="str">
        <f>VLOOKUP(G1677,'insumos terrapl'!$C$3:$K$47,6,0)</f>
        <v>06</v>
      </c>
      <c r="M1677" s="29" t="str">
        <f>VLOOKUP(G1677,'insumos terrapl'!$C$3:$K$47,7,0)</f>
        <v>00</v>
      </c>
      <c r="N1677" s="29" t="str">
        <f>VLOOKUP(G1677,'insumos terrapl'!$C$3:$K$47,8,0)</f>
        <v>00</v>
      </c>
      <c r="O1677" s="97" t="str">
        <f>VLOOKUP(G1677,'insumos terrapl'!$C$3:$K$47,9,0)</f>
        <v>00</v>
      </c>
    </row>
    <row r="1678" spans="1:15" ht="30">
      <c r="A1678" s="134"/>
      <c r="B1678" s="137"/>
      <c r="C1678" s="125"/>
      <c r="D1678" s="115"/>
      <c r="E1678" s="115"/>
      <c r="F1678" s="11" t="s">
        <v>607</v>
      </c>
      <c r="G1678" s="20" t="s">
        <v>608</v>
      </c>
      <c r="H1678" s="29" t="str">
        <f>VLOOKUP(G1678,'insumos terrapl'!$C$3:$K$47,2,0)</f>
        <v>2Q  42  06  18  02  02  00</v>
      </c>
      <c r="I1678" s="29" t="str">
        <f>VLOOKUP(G1678,'insumos terrapl'!$C$3:$K$47,3,0)</f>
        <v>2Q</v>
      </c>
      <c r="J1678" s="29">
        <f>VLOOKUP(G1678,'insumos terrapl'!$C$3:$K$47,4,0)</f>
        <v>42</v>
      </c>
      <c r="K1678" s="29" t="str">
        <f>VLOOKUP(G1678,'insumos terrapl'!$C$3:$K$47,5,0)</f>
        <v>06</v>
      </c>
      <c r="L1678" s="29">
        <f>VLOOKUP(G1678,'insumos terrapl'!$C$3:$K$47,6,0)</f>
        <v>18</v>
      </c>
      <c r="M1678" s="29" t="str">
        <f>VLOOKUP(G1678,'insumos terrapl'!$C$3:$K$47,7,0)</f>
        <v>02</v>
      </c>
      <c r="N1678" s="29" t="str">
        <f>VLOOKUP(G1678,'insumos terrapl'!$C$3:$K$47,8,0)</f>
        <v>02</v>
      </c>
      <c r="O1678" s="97" t="str">
        <f>VLOOKUP(G1678,'insumos terrapl'!$C$3:$K$47,9,0)</f>
        <v>00</v>
      </c>
    </row>
    <row r="1679" spans="1:15" ht="45">
      <c r="A1679" s="134"/>
      <c r="B1679" s="137"/>
      <c r="C1679" s="125"/>
      <c r="D1679" s="115"/>
      <c r="E1679" s="115"/>
      <c r="F1679" s="11" t="s">
        <v>609</v>
      </c>
      <c r="G1679" s="20" t="s">
        <v>610</v>
      </c>
      <c r="H1679" s="29" t="str">
        <f>VLOOKUP(G1679,'insumos terrapl'!$C$3:$K$47,2,0)</f>
        <v>2Q  42  06  02  14  02  00</v>
      </c>
      <c r="I1679" s="29" t="str">
        <f>VLOOKUP(G1679,'insumos terrapl'!$C$3:$K$47,3,0)</f>
        <v>2Q</v>
      </c>
      <c r="J1679" s="29">
        <f>VLOOKUP(G1679,'insumos terrapl'!$C$3:$K$47,4,0)</f>
        <v>42</v>
      </c>
      <c r="K1679" s="29" t="str">
        <f>VLOOKUP(G1679,'insumos terrapl'!$C$3:$K$47,5,0)</f>
        <v>06</v>
      </c>
      <c r="L1679" s="29" t="str">
        <f>VLOOKUP(G1679,'insumos terrapl'!$C$3:$K$47,6,0)</f>
        <v>02</v>
      </c>
      <c r="M1679" s="29" t="str">
        <f>VLOOKUP(G1679,'insumos terrapl'!$C$3:$K$47,7,0)</f>
        <v>14</v>
      </c>
      <c r="N1679" s="29" t="str">
        <f>VLOOKUP(G1679,'insumos terrapl'!$C$3:$K$47,8,0)</f>
        <v>02</v>
      </c>
      <c r="O1679" s="97" t="str">
        <f>VLOOKUP(G1679,'insumos terrapl'!$C$3:$K$47,9,0)</f>
        <v>00</v>
      </c>
    </row>
    <row r="1680" spans="1:15">
      <c r="A1680" s="134"/>
      <c r="B1680" s="137"/>
      <c r="C1680" s="125"/>
      <c r="D1680" s="115"/>
      <c r="E1680" s="115"/>
      <c r="F1680" s="11" t="s">
        <v>633</v>
      </c>
      <c r="G1680" s="20" t="s">
        <v>634</v>
      </c>
      <c r="H1680" s="29" t="str">
        <f>VLOOKUP(G1680,'insumos terrapl'!$C$3:$K$47,2,0)</f>
        <v>2Q  58  10  10  02  06  00</v>
      </c>
      <c r="I1680" s="29" t="str">
        <f>VLOOKUP(G1680,'insumos terrapl'!$C$3:$K$47,3,0)</f>
        <v>2Q</v>
      </c>
      <c r="J1680" s="29">
        <f>VLOOKUP(G1680,'insumos terrapl'!$C$3:$K$47,4,0)</f>
        <v>58</v>
      </c>
      <c r="K1680" s="29" t="str">
        <f>VLOOKUP(G1680,'insumos terrapl'!$C$3:$K$47,5,0)</f>
        <v>10</v>
      </c>
      <c r="L1680" s="29" t="str">
        <f>VLOOKUP(G1680,'insumos terrapl'!$C$3:$K$47,6,0)</f>
        <v>10</v>
      </c>
      <c r="M1680" s="29" t="str">
        <f>VLOOKUP(G1680,'insumos terrapl'!$C$3:$K$47,7,0)</f>
        <v>02</v>
      </c>
      <c r="N1680" s="29" t="str">
        <f>VLOOKUP(G1680,'insumos terrapl'!$C$3:$K$47,8,0)</f>
        <v>06</v>
      </c>
      <c r="O1680" s="97" t="str">
        <f>VLOOKUP(G1680,'insumos terrapl'!$C$3:$K$47,9,0)</f>
        <v>00</v>
      </c>
    </row>
    <row r="1681" spans="1:15">
      <c r="A1681" s="134"/>
      <c r="B1681" s="137"/>
      <c r="C1681" s="125"/>
      <c r="D1681" s="115"/>
      <c r="E1681" s="115"/>
      <c r="F1681" s="11" t="s">
        <v>586</v>
      </c>
      <c r="G1681" s="20" t="s">
        <v>587</v>
      </c>
      <c r="H1681" s="29" t="str">
        <f>VLOOKUP(G1681,'insumos terrapl'!$C$3:$K$47,2,0)</f>
        <v>2Q  62  30  02  14  00  00</v>
      </c>
      <c r="I1681" s="29" t="str">
        <f>VLOOKUP(G1681,'insumos terrapl'!$C$3:$K$47,3,0)</f>
        <v>2Q</v>
      </c>
      <c r="J1681" s="29">
        <f>VLOOKUP(G1681,'insumos terrapl'!$C$3:$K$47,4,0)</f>
        <v>62</v>
      </c>
      <c r="K1681" s="29">
        <f>VLOOKUP(G1681,'insumos terrapl'!$C$3:$K$47,5,0)</f>
        <v>30</v>
      </c>
      <c r="L1681" s="29" t="str">
        <f>VLOOKUP(G1681,'insumos terrapl'!$C$3:$K$47,6,0)</f>
        <v>02</v>
      </c>
      <c r="M1681" s="29" t="str">
        <f>VLOOKUP(G1681,'insumos terrapl'!$C$3:$K$47,7,0)</f>
        <v>14</v>
      </c>
      <c r="N1681" s="29" t="str">
        <f>VLOOKUP(G1681,'insumos terrapl'!$C$3:$K$47,8,0)</f>
        <v>00</v>
      </c>
      <c r="O1681" s="97" t="str">
        <f>VLOOKUP(G1681,'insumos terrapl'!$C$3:$K$47,9,0)</f>
        <v>00</v>
      </c>
    </row>
    <row r="1682" spans="1:15">
      <c r="A1682" s="134"/>
      <c r="B1682" s="137"/>
      <c r="C1682" s="125"/>
      <c r="D1682" s="115"/>
      <c r="E1682" s="115"/>
      <c r="F1682" s="11" t="s">
        <v>613</v>
      </c>
      <c r="G1682" s="20" t="s">
        <v>614</v>
      </c>
      <c r="H1682" s="29" t="str">
        <f>VLOOKUP(G1682,'insumos terrapl'!$C$3:$K$47,2,0)</f>
        <v>2N  20  14  02  00  00  00</v>
      </c>
      <c r="I1682" s="29" t="str">
        <f>VLOOKUP(G1682,'insumos terrapl'!$C$3:$K$47,3,0)</f>
        <v>2N</v>
      </c>
      <c r="J1682" s="29">
        <f>VLOOKUP(G1682,'insumos terrapl'!$C$3:$K$47,4,0)</f>
        <v>20</v>
      </c>
      <c r="K1682" s="29" t="str">
        <f>VLOOKUP(G1682,'insumos terrapl'!$C$3:$K$47,5,0)</f>
        <v>14</v>
      </c>
      <c r="L1682" s="29" t="str">
        <f>VLOOKUP(G1682,'insumos terrapl'!$C$3:$K$47,6,0)</f>
        <v>02</v>
      </c>
      <c r="M1682" s="29" t="str">
        <f>VLOOKUP(G1682,'insumos terrapl'!$C$3:$K$47,7,0)</f>
        <v>00</v>
      </c>
      <c r="N1682" s="29" t="str">
        <f>VLOOKUP(G1682,'insumos terrapl'!$C$3:$K$47,8,0)</f>
        <v>00</v>
      </c>
      <c r="O1682" s="97" t="str">
        <f>VLOOKUP(G1682,'insumos terrapl'!$C$3:$K$47,9,0)</f>
        <v>00</v>
      </c>
    </row>
    <row r="1683" spans="1:15">
      <c r="A1683" s="134"/>
      <c r="B1683" s="137"/>
      <c r="C1683" s="125"/>
      <c r="D1683" s="115"/>
      <c r="E1683" s="115"/>
      <c r="F1683" s="11" t="s">
        <v>615</v>
      </c>
      <c r="G1683" s="20" t="s">
        <v>616</v>
      </c>
      <c r="H1683" s="29" t="str">
        <f>VLOOKUP(G1683,'insumos terrapl'!$C$3:$K$47,2,0)</f>
        <v>2N  20  14  02  00  00  00</v>
      </c>
      <c r="I1683" s="29" t="str">
        <f>VLOOKUP(G1683,'insumos terrapl'!$C$3:$K$47,3,0)</f>
        <v>2N</v>
      </c>
      <c r="J1683" s="29">
        <f>VLOOKUP(G1683,'insumos terrapl'!$C$3:$K$47,4,0)</f>
        <v>20</v>
      </c>
      <c r="K1683" s="29" t="str">
        <f>VLOOKUP(G1683,'insumos terrapl'!$C$3:$K$47,5,0)</f>
        <v>14</v>
      </c>
      <c r="L1683" s="29" t="str">
        <f>VLOOKUP(G1683,'insumos terrapl'!$C$3:$K$47,6,0)</f>
        <v>02</v>
      </c>
      <c r="M1683" s="29" t="str">
        <f>VLOOKUP(G1683,'insumos terrapl'!$C$3:$K$47,7,0)</f>
        <v>00</v>
      </c>
      <c r="N1683" s="29" t="str">
        <f>VLOOKUP(G1683,'insumos terrapl'!$C$3:$K$47,8,0)</f>
        <v>00</v>
      </c>
      <c r="O1683" s="97" t="str">
        <f>VLOOKUP(G1683,'insumos terrapl'!$C$3:$K$47,9,0)</f>
        <v>00</v>
      </c>
    </row>
    <row r="1684" spans="1:15" ht="30">
      <c r="A1684" s="134"/>
      <c r="B1684" s="137"/>
      <c r="C1684" s="125"/>
      <c r="D1684" s="115"/>
      <c r="E1684" s="115"/>
      <c r="F1684" s="11" t="s">
        <v>635</v>
      </c>
      <c r="G1684" s="20" t="s">
        <v>636</v>
      </c>
      <c r="H1684" s="29" t="str">
        <f>VLOOKUP(G1684,'insumos terrapl'!$C$3:$K$47,2,0)</f>
        <v>2N  58  06  00  00  00  00</v>
      </c>
      <c r="I1684" s="29" t="str">
        <f>VLOOKUP(G1684,'insumos terrapl'!$C$3:$K$47,3,0)</f>
        <v>2N</v>
      </c>
      <c r="J1684" s="29">
        <f>VLOOKUP(G1684,'insumos terrapl'!$C$3:$K$47,4,0)</f>
        <v>58</v>
      </c>
      <c r="K1684" s="29" t="str">
        <f>VLOOKUP(G1684,'insumos terrapl'!$C$3:$K$47,5,0)</f>
        <v>06</v>
      </c>
      <c r="L1684" s="29" t="str">
        <f>VLOOKUP(G1684,'insumos terrapl'!$C$3:$K$47,6,0)</f>
        <v>00</v>
      </c>
      <c r="M1684" s="29" t="str">
        <f>VLOOKUP(G1684,'insumos terrapl'!$C$3:$K$47,7,0)</f>
        <v>00</v>
      </c>
      <c r="N1684" s="29" t="str">
        <f>VLOOKUP(G1684,'insumos terrapl'!$C$3:$K$47,8,0)</f>
        <v>00</v>
      </c>
      <c r="O1684" s="97" t="str">
        <f>VLOOKUP(G1684,'insumos terrapl'!$C$3:$K$47,9,0)</f>
        <v>00</v>
      </c>
    </row>
    <row r="1685" spans="1:15">
      <c r="A1685" s="134"/>
      <c r="B1685" s="137"/>
      <c r="C1685" s="125"/>
      <c r="D1685" s="115"/>
      <c r="E1685" s="115"/>
      <c r="F1685" s="11" t="s">
        <v>617</v>
      </c>
      <c r="G1685" s="20" t="s">
        <v>618</v>
      </c>
      <c r="H1685" s="29" t="str">
        <f>VLOOKUP(G1685,'insumos terrapl'!$C$3:$K$47,2,0)</f>
        <v>2Q  58  06  02  28  00  00</v>
      </c>
      <c r="I1685" s="29" t="str">
        <f>VLOOKUP(G1685,'insumos terrapl'!$C$3:$K$47,3,0)</f>
        <v>2Q</v>
      </c>
      <c r="J1685" s="29">
        <f>VLOOKUP(G1685,'insumos terrapl'!$C$3:$K$47,4,0)</f>
        <v>58</v>
      </c>
      <c r="K1685" s="29" t="str">
        <f>VLOOKUP(G1685,'insumos terrapl'!$C$3:$K$47,5,0)</f>
        <v>06</v>
      </c>
      <c r="L1685" s="29" t="str">
        <f>VLOOKUP(G1685,'insumos terrapl'!$C$3:$K$47,6,0)</f>
        <v>02</v>
      </c>
      <c r="M1685" s="29" t="str">
        <f>VLOOKUP(G1685,'insumos terrapl'!$C$3:$K$47,7,0)</f>
        <v>28</v>
      </c>
      <c r="N1685" s="29" t="str">
        <f>VLOOKUP(G1685,'insumos terrapl'!$C$3:$K$47,8,0)</f>
        <v>00</v>
      </c>
      <c r="O1685" s="97" t="str">
        <f>VLOOKUP(G1685,'insumos terrapl'!$C$3:$K$47,9,0)</f>
        <v>00</v>
      </c>
    </row>
    <row r="1686" spans="1:15" ht="30">
      <c r="A1686" s="134"/>
      <c r="B1686" s="137"/>
      <c r="C1686" s="125"/>
      <c r="D1686" s="115"/>
      <c r="E1686" s="115"/>
      <c r="F1686" s="11" t="s">
        <v>637</v>
      </c>
      <c r="G1686" s="20" t="s">
        <v>638</v>
      </c>
      <c r="H1686" s="29" t="str">
        <f>VLOOKUP(G1686,'insumos terrapl'!$C$3:$K$47,2,0)</f>
        <v>2N  58  06  00  00  00  00</v>
      </c>
      <c r="I1686" s="29" t="str">
        <f>VLOOKUP(G1686,'insumos terrapl'!$C$3:$K$47,3,0)</f>
        <v>2N</v>
      </c>
      <c r="J1686" s="29">
        <f>VLOOKUP(G1686,'insumos terrapl'!$C$3:$K$47,4,0)</f>
        <v>58</v>
      </c>
      <c r="K1686" s="29" t="str">
        <f>VLOOKUP(G1686,'insumos terrapl'!$C$3:$K$47,5,0)</f>
        <v>06</v>
      </c>
      <c r="L1686" s="29" t="str">
        <f>VLOOKUP(G1686,'insumos terrapl'!$C$3:$K$47,6,0)</f>
        <v>00</v>
      </c>
      <c r="M1686" s="29" t="str">
        <f>VLOOKUP(G1686,'insumos terrapl'!$C$3:$K$47,7,0)</f>
        <v>00</v>
      </c>
      <c r="N1686" s="29" t="str">
        <f>VLOOKUP(G1686,'insumos terrapl'!$C$3:$K$47,8,0)</f>
        <v>00</v>
      </c>
      <c r="O1686" s="97" t="str">
        <f>VLOOKUP(G1686,'insumos terrapl'!$C$3:$K$47,9,0)</f>
        <v>00</v>
      </c>
    </row>
    <row r="1687" spans="1:15" ht="30">
      <c r="A1687" s="134"/>
      <c r="B1687" s="137"/>
      <c r="C1687" s="125"/>
      <c r="D1687" s="115"/>
      <c r="E1687" s="115"/>
      <c r="F1687" s="11" t="s">
        <v>639</v>
      </c>
      <c r="G1687" s="20" t="s">
        <v>640</v>
      </c>
      <c r="H1687" s="29" t="str">
        <f>VLOOKUP(G1687,'insumos terrapl'!$C$3:$K$47,2,0)</f>
        <v>2N  58  06  00  00  00  00</v>
      </c>
      <c r="I1687" s="29" t="str">
        <f>VLOOKUP(G1687,'insumos terrapl'!$C$3:$K$47,3,0)</f>
        <v>2N</v>
      </c>
      <c r="J1687" s="29">
        <f>VLOOKUP(G1687,'insumos terrapl'!$C$3:$K$47,4,0)</f>
        <v>58</v>
      </c>
      <c r="K1687" s="29" t="str">
        <f>VLOOKUP(G1687,'insumos terrapl'!$C$3:$K$47,5,0)</f>
        <v>06</v>
      </c>
      <c r="L1687" s="29" t="str">
        <f>VLOOKUP(G1687,'insumos terrapl'!$C$3:$K$47,6,0)</f>
        <v>00</v>
      </c>
      <c r="M1687" s="29" t="str">
        <f>VLOOKUP(G1687,'insumos terrapl'!$C$3:$K$47,7,0)</f>
        <v>00</v>
      </c>
      <c r="N1687" s="29" t="str">
        <f>VLOOKUP(G1687,'insumos terrapl'!$C$3:$K$47,8,0)</f>
        <v>00</v>
      </c>
      <c r="O1687" s="97" t="str">
        <f>VLOOKUP(G1687,'insumos terrapl'!$C$3:$K$47,9,0)</f>
        <v>00</v>
      </c>
    </row>
    <row r="1688" spans="1:15">
      <c r="A1688" s="134"/>
      <c r="B1688" s="137"/>
      <c r="C1688" s="125"/>
      <c r="D1688" s="115"/>
      <c r="E1688" s="115"/>
      <c r="F1688" s="11" t="s">
        <v>641</v>
      </c>
      <c r="G1688" s="20" t="s">
        <v>642</v>
      </c>
      <c r="H1688" s="29" t="str">
        <f>VLOOKUP(G1688,'insumos terrapl'!$C$3:$K$47,2,0)</f>
        <v>2N  58  06  00  00  00  00</v>
      </c>
      <c r="I1688" s="29" t="str">
        <f>VLOOKUP(G1688,'insumos terrapl'!$C$3:$K$47,3,0)</f>
        <v>2N</v>
      </c>
      <c r="J1688" s="29">
        <f>VLOOKUP(G1688,'insumos terrapl'!$C$3:$K$47,4,0)</f>
        <v>58</v>
      </c>
      <c r="K1688" s="29" t="str">
        <f>VLOOKUP(G1688,'insumos terrapl'!$C$3:$K$47,5,0)</f>
        <v>06</v>
      </c>
      <c r="L1688" s="29" t="str">
        <f>VLOOKUP(G1688,'insumos terrapl'!$C$3:$K$47,6,0)</f>
        <v>00</v>
      </c>
      <c r="M1688" s="29" t="str">
        <f>VLOOKUP(G1688,'insumos terrapl'!$C$3:$K$47,7,0)</f>
        <v>00</v>
      </c>
      <c r="N1688" s="29" t="str">
        <f>VLOOKUP(G1688,'insumos terrapl'!$C$3:$K$47,8,0)</f>
        <v>00</v>
      </c>
      <c r="O1688" s="97" t="str">
        <f>VLOOKUP(G1688,'insumos terrapl'!$C$3:$K$47,9,0)</f>
        <v>00</v>
      </c>
    </row>
    <row r="1689" spans="1:15">
      <c r="A1689" s="134"/>
      <c r="B1689" s="137"/>
      <c r="C1689" s="125"/>
      <c r="D1689" s="115"/>
      <c r="E1689" s="115"/>
      <c r="F1689" s="11" t="s">
        <v>619</v>
      </c>
      <c r="G1689" s="20" t="s">
        <v>620</v>
      </c>
      <c r="H1689" s="29"/>
      <c r="I1689" s="29"/>
      <c r="J1689" s="29"/>
      <c r="K1689" s="29"/>
      <c r="L1689" s="29"/>
      <c r="M1689" s="29"/>
      <c r="N1689" s="29"/>
      <c r="O1689" s="97"/>
    </row>
    <row r="1690" spans="1:15">
      <c r="A1690" s="134"/>
      <c r="B1690" s="137"/>
      <c r="C1690" s="125"/>
      <c r="D1690" s="115"/>
      <c r="E1690" s="115"/>
      <c r="F1690" s="11" t="s">
        <v>643</v>
      </c>
      <c r="G1690" s="20" t="s">
        <v>644</v>
      </c>
      <c r="H1690" s="29" t="str">
        <f>VLOOKUP(G1690,'insumos terrapl'!$C$3:$K$47,2,0)</f>
        <v>2N  58  06  00  00  00  00</v>
      </c>
      <c r="I1690" s="29" t="str">
        <f>VLOOKUP(G1690,'insumos terrapl'!$C$3:$K$47,3,0)</f>
        <v>2N</v>
      </c>
      <c r="J1690" s="29">
        <f>VLOOKUP(G1690,'insumos terrapl'!$C$3:$K$47,4,0)</f>
        <v>58</v>
      </c>
      <c r="K1690" s="29" t="str">
        <f>VLOOKUP(G1690,'insumos terrapl'!$C$3:$K$47,5,0)</f>
        <v>06</v>
      </c>
      <c r="L1690" s="29" t="str">
        <f>VLOOKUP(G1690,'insumos terrapl'!$C$3:$K$47,6,0)</f>
        <v>00</v>
      </c>
      <c r="M1690" s="29" t="str">
        <f>VLOOKUP(G1690,'insumos terrapl'!$C$3:$K$47,7,0)</f>
        <v>00</v>
      </c>
      <c r="N1690" s="29" t="str">
        <f>VLOOKUP(G1690,'insumos terrapl'!$C$3:$K$47,8,0)</f>
        <v>00</v>
      </c>
      <c r="O1690" s="97" t="str">
        <f>VLOOKUP(G1690,'insumos terrapl'!$C$3:$K$47,9,0)</f>
        <v>00</v>
      </c>
    </row>
    <row r="1691" spans="1:15">
      <c r="A1691" s="134"/>
      <c r="B1691" s="137"/>
      <c r="C1691" s="125"/>
      <c r="D1691" s="115"/>
      <c r="E1691" s="115"/>
      <c r="F1691" s="11" t="s">
        <v>645</v>
      </c>
      <c r="G1691" s="20" t="s">
        <v>646</v>
      </c>
      <c r="H1691" s="29" t="str">
        <f>VLOOKUP(G1691,'insumos terrapl'!$C$3:$K$47,2,0)</f>
        <v>2N  58  06  00  00  00  00</v>
      </c>
      <c r="I1691" s="29" t="str">
        <f>VLOOKUP(G1691,'insumos terrapl'!$C$3:$K$47,3,0)</f>
        <v>2N</v>
      </c>
      <c r="J1691" s="29">
        <f>VLOOKUP(G1691,'insumos terrapl'!$C$3:$K$47,4,0)</f>
        <v>58</v>
      </c>
      <c r="K1691" s="29" t="str">
        <f>VLOOKUP(G1691,'insumos terrapl'!$C$3:$K$47,5,0)</f>
        <v>06</v>
      </c>
      <c r="L1691" s="29" t="str">
        <f>VLOOKUP(G1691,'insumos terrapl'!$C$3:$K$47,6,0)</f>
        <v>00</v>
      </c>
      <c r="M1691" s="29" t="str">
        <f>VLOOKUP(G1691,'insumos terrapl'!$C$3:$K$47,7,0)</f>
        <v>00</v>
      </c>
      <c r="N1691" s="29" t="str">
        <f>VLOOKUP(G1691,'insumos terrapl'!$C$3:$K$47,8,0)</f>
        <v>00</v>
      </c>
      <c r="O1691" s="97" t="str">
        <f>VLOOKUP(G1691,'insumos terrapl'!$C$3:$K$47,9,0)</f>
        <v>00</v>
      </c>
    </row>
    <row r="1692" spans="1:15" ht="30">
      <c r="A1692" s="134"/>
      <c r="B1692" s="137"/>
      <c r="C1692" s="125"/>
      <c r="D1692" s="115"/>
      <c r="E1692" s="115"/>
      <c r="F1692" s="11" t="s">
        <v>647</v>
      </c>
      <c r="G1692" s="20" t="s">
        <v>648</v>
      </c>
      <c r="H1692" s="29" t="str">
        <f>VLOOKUP(G1692,'insumos terrapl'!$C$3:$K$47,2,0)</f>
        <v>2N  58  06  00  00  00  00</v>
      </c>
      <c r="I1692" s="29" t="str">
        <f>VLOOKUP(G1692,'insumos terrapl'!$C$3:$K$47,3,0)</f>
        <v>2N</v>
      </c>
      <c r="J1692" s="29">
        <f>VLOOKUP(G1692,'insumos terrapl'!$C$3:$K$47,4,0)</f>
        <v>58</v>
      </c>
      <c r="K1692" s="29" t="str">
        <f>VLOOKUP(G1692,'insumos terrapl'!$C$3:$K$47,5,0)</f>
        <v>06</v>
      </c>
      <c r="L1692" s="29" t="str">
        <f>VLOOKUP(G1692,'insumos terrapl'!$C$3:$K$47,6,0)</f>
        <v>00</v>
      </c>
      <c r="M1692" s="29" t="str">
        <f>VLOOKUP(G1692,'insumos terrapl'!$C$3:$K$47,7,0)</f>
        <v>00</v>
      </c>
      <c r="N1692" s="29" t="str">
        <f>VLOOKUP(G1692,'insumos terrapl'!$C$3:$K$47,8,0)</f>
        <v>00</v>
      </c>
      <c r="O1692" s="97" t="str">
        <f>VLOOKUP(G1692,'insumos terrapl'!$C$3:$K$47,9,0)</f>
        <v>00</v>
      </c>
    </row>
    <row r="1693" spans="1:15">
      <c r="A1693" s="134"/>
      <c r="B1693" s="137"/>
      <c r="C1693" s="125"/>
      <c r="D1693" s="115"/>
      <c r="E1693" s="115"/>
      <c r="F1693" s="11" t="s">
        <v>621</v>
      </c>
      <c r="G1693" s="20" t="s">
        <v>622</v>
      </c>
      <c r="H1693" s="29" t="str">
        <f>VLOOKUP(G1693,'insumos terrapl'!$C$3:$K$47,2,0)</f>
        <v>2N  58  06  00  00  00  00</v>
      </c>
      <c r="I1693" s="29" t="str">
        <f>VLOOKUP(G1693,'insumos terrapl'!$C$3:$K$47,3,0)</f>
        <v>2N</v>
      </c>
      <c r="J1693" s="29">
        <f>VLOOKUP(G1693,'insumos terrapl'!$C$3:$K$47,4,0)</f>
        <v>58</v>
      </c>
      <c r="K1693" s="29" t="str">
        <f>VLOOKUP(G1693,'insumos terrapl'!$C$3:$K$47,5,0)</f>
        <v>06</v>
      </c>
      <c r="L1693" s="29" t="str">
        <f>VLOOKUP(G1693,'insumos terrapl'!$C$3:$K$47,6,0)</f>
        <v>00</v>
      </c>
      <c r="M1693" s="29" t="str">
        <f>VLOOKUP(G1693,'insumos terrapl'!$C$3:$K$47,7,0)</f>
        <v>00</v>
      </c>
      <c r="N1693" s="29" t="str">
        <f>VLOOKUP(G1693,'insumos terrapl'!$C$3:$K$47,8,0)</f>
        <v>00</v>
      </c>
      <c r="O1693" s="97" t="str">
        <f>VLOOKUP(G1693,'insumos terrapl'!$C$3:$K$47,9,0)</f>
        <v>00</v>
      </c>
    </row>
    <row r="1694" spans="1:15">
      <c r="A1694" s="134"/>
      <c r="B1694" s="137"/>
      <c r="C1694" s="132"/>
      <c r="D1694" s="116"/>
      <c r="E1694" s="116"/>
      <c r="F1694" s="13"/>
      <c r="G1694" s="21"/>
      <c r="H1694" s="31"/>
      <c r="I1694" s="31"/>
      <c r="J1694" s="31"/>
      <c r="K1694" s="31"/>
      <c r="L1694" s="31"/>
      <c r="M1694" s="31"/>
      <c r="N1694" s="31"/>
      <c r="O1694" s="98"/>
    </row>
    <row r="1695" spans="1:15">
      <c r="A1695" s="134"/>
      <c r="B1695" s="137"/>
      <c r="C1695" s="124" t="s">
        <v>264</v>
      </c>
      <c r="D1695" s="114" t="str">
        <f>$A$1095</f>
        <v>2.6.8</v>
      </c>
      <c r="E1695" s="114" t="s">
        <v>522</v>
      </c>
      <c r="F1695" s="12" t="s">
        <v>264</v>
      </c>
      <c r="G1695" s="19"/>
      <c r="H1695" s="28"/>
      <c r="I1695" s="28"/>
      <c r="J1695" s="28"/>
      <c r="K1695" s="28"/>
      <c r="L1695" s="28"/>
      <c r="M1695" s="28"/>
      <c r="N1695" s="28"/>
      <c r="O1695" s="99"/>
    </row>
    <row r="1696" spans="1:15" ht="30">
      <c r="A1696" s="134"/>
      <c r="B1696" s="137"/>
      <c r="C1696" s="125"/>
      <c r="D1696" s="115"/>
      <c r="E1696" s="115"/>
      <c r="F1696" s="11" t="s">
        <v>659</v>
      </c>
      <c r="G1696" s="20" t="s">
        <v>660</v>
      </c>
      <c r="H1696" s="29" t="str">
        <f>VLOOKUP(G1696,'insumos terrapl'!$C$3:$K$47,2,0)</f>
        <v>2Q  66  10  02  00  00  00</v>
      </c>
      <c r="I1696" s="29" t="str">
        <f>VLOOKUP(G1696,'insumos terrapl'!$C$3:$K$47,3,0)</f>
        <v>2Q</v>
      </c>
      <c r="J1696" s="29">
        <f>VLOOKUP(G1696,'insumos terrapl'!$C$3:$K$47,4,0)</f>
        <v>66</v>
      </c>
      <c r="K1696" s="29" t="str">
        <f>VLOOKUP(G1696,'insumos terrapl'!$C$3:$K$47,5,0)</f>
        <v>10</v>
      </c>
      <c r="L1696" s="29" t="str">
        <f>VLOOKUP(G1696,'insumos terrapl'!$C$3:$K$47,6,0)</f>
        <v>02</v>
      </c>
      <c r="M1696" s="29" t="str">
        <f>VLOOKUP(G1696,'insumos terrapl'!$C$3:$K$47,7,0)</f>
        <v>00</v>
      </c>
      <c r="N1696" s="29" t="str">
        <f>VLOOKUP(G1696,'insumos terrapl'!$C$3:$K$47,8,0)</f>
        <v>00</v>
      </c>
      <c r="O1696" s="97" t="str">
        <f>VLOOKUP(G1696,'insumos terrapl'!$C$3:$K$47,9,0)</f>
        <v>00</v>
      </c>
    </row>
    <row r="1697" spans="1:15" ht="30">
      <c r="A1697" s="134"/>
      <c r="B1697" s="137"/>
      <c r="C1697" s="125"/>
      <c r="D1697" s="115"/>
      <c r="E1697" s="115"/>
      <c r="F1697" s="11" t="s">
        <v>661</v>
      </c>
      <c r="G1697" s="20" t="s">
        <v>662</v>
      </c>
      <c r="H1697" s="29" t="str">
        <f>VLOOKUP(G1697,'insumos terrapl'!$C$3:$K$47,2,0)</f>
        <v>2Q  62  10  06  00  00  00</v>
      </c>
      <c r="I1697" s="29" t="str">
        <f>VLOOKUP(G1697,'insumos terrapl'!$C$3:$K$47,3,0)</f>
        <v>2Q</v>
      </c>
      <c r="J1697" s="29">
        <f>VLOOKUP(G1697,'insumos terrapl'!$C$3:$K$47,4,0)</f>
        <v>62</v>
      </c>
      <c r="K1697" s="29" t="str">
        <f>VLOOKUP(G1697,'insumos terrapl'!$C$3:$K$47,5,0)</f>
        <v>10</v>
      </c>
      <c r="L1697" s="29" t="str">
        <f>VLOOKUP(G1697,'insumos terrapl'!$C$3:$K$47,6,0)</f>
        <v>06</v>
      </c>
      <c r="M1697" s="29" t="str">
        <f>VLOOKUP(G1697,'insumos terrapl'!$C$3:$K$47,7,0)</f>
        <v>00</v>
      </c>
      <c r="N1697" s="29" t="str">
        <f>VLOOKUP(G1697,'insumos terrapl'!$C$3:$K$47,8,0)</f>
        <v>00</v>
      </c>
      <c r="O1697" s="97" t="str">
        <f>VLOOKUP(G1697,'insumos terrapl'!$C$3:$K$47,9,0)</f>
        <v>00</v>
      </c>
    </row>
    <row r="1698" spans="1:15" ht="30">
      <c r="A1698" s="134"/>
      <c r="B1698" s="137"/>
      <c r="C1698" s="125"/>
      <c r="D1698" s="115"/>
      <c r="E1698" s="115"/>
      <c r="F1698" s="11" t="s">
        <v>607</v>
      </c>
      <c r="G1698" s="20" t="s">
        <v>608</v>
      </c>
      <c r="H1698" s="29" t="str">
        <f>VLOOKUP(G1698,'insumos terrapl'!$C$3:$K$47,2,0)</f>
        <v>2Q  42  06  18  02  02  00</v>
      </c>
      <c r="I1698" s="29" t="str">
        <f>VLOOKUP(G1698,'insumos terrapl'!$C$3:$K$47,3,0)</f>
        <v>2Q</v>
      </c>
      <c r="J1698" s="29">
        <f>VLOOKUP(G1698,'insumos terrapl'!$C$3:$K$47,4,0)</f>
        <v>42</v>
      </c>
      <c r="K1698" s="29" t="str">
        <f>VLOOKUP(G1698,'insumos terrapl'!$C$3:$K$47,5,0)</f>
        <v>06</v>
      </c>
      <c r="L1698" s="29">
        <f>VLOOKUP(G1698,'insumos terrapl'!$C$3:$K$47,6,0)</f>
        <v>18</v>
      </c>
      <c r="M1698" s="29" t="str">
        <f>VLOOKUP(G1698,'insumos terrapl'!$C$3:$K$47,7,0)</f>
        <v>02</v>
      </c>
      <c r="N1698" s="29" t="str">
        <f>VLOOKUP(G1698,'insumos terrapl'!$C$3:$K$47,8,0)</f>
        <v>02</v>
      </c>
      <c r="O1698" s="97" t="str">
        <f>VLOOKUP(G1698,'insumos terrapl'!$C$3:$K$47,9,0)</f>
        <v>00</v>
      </c>
    </row>
    <row r="1699" spans="1:15" ht="45">
      <c r="A1699" s="134"/>
      <c r="B1699" s="137"/>
      <c r="C1699" s="125"/>
      <c r="D1699" s="115"/>
      <c r="E1699" s="115"/>
      <c r="F1699" s="11" t="s">
        <v>609</v>
      </c>
      <c r="G1699" s="20" t="s">
        <v>610</v>
      </c>
      <c r="H1699" s="29" t="str">
        <f>VLOOKUP(G1699,'insumos terrapl'!$C$3:$K$47,2,0)</f>
        <v>2Q  42  06  02  14  02  00</v>
      </c>
      <c r="I1699" s="29" t="str">
        <f>VLOOKUP(G1699,'insumos terrapl'!$C$3:$K$47,3,0)</f>
        <v>2Q</v>
      </c>
      <c r="J1699" s="29">
        <f>VLOOKUP(G1699,'insumos terrapl'!$C$3:$K$47,4,0)</f>
        <v>42</v>
      </c>
      <c r="K1699" s="29" t="str">
        <f>VLOOKUP(G1699,'insumos terrapl'!$C$3:$K$47,5,0)</f>
        <v>06</v>
      </c>
      <c r="L1699" s="29" t="str">
        <f>VLOOKUP(G1699,'insumos terrapl'!$C$3:$K$47,6,0)</f>
        <v>02</v>
      </c>
      <c r="M1699" s="29" t="str">
        <f>VLOOKUP(G1699,'insumos terrapl'!$C$3:$K$47,7,0)</f>
        <v>14</v>
      </c>
      <c r="N1699" s="29" t="str">
        <f>VLOOKUP(G1699,'insumos terrapl'!$C$3:$K$47,8,0)</f>
        <v>02</v>
      </c>
      <c r="O1699" s="97" t="str">
        <f>VLOOKUP(G1699,'insumos terrapl'!$C$3:$K$47,9,0)</f>
        <v>00</v>
      </c>
    </row>
    <row r="1700" spans="1:15">
      <c r="A1700" s="134"/>
      <c r="B1700" s="137"/>
      <c r="C1700" s="125"/>
      <c r="D1700" s="115"/>
      <c r="E1700" s="115"/>
      <c r="F1700" s="11" t="s">
        <v>633</v>
      </c>
      <c r="G1700" s="20" t="s">
        <v>634</v>
      </c>
      <c r="H1700" s="29" t="str">
        <f>VLOOKUP(G1700,'insumos terrapl'!$C$3:$K$47,2,0)</f>
        <v>2Q  58  10  10  02  06  00</v>
      </c>
      <c r="I1700" s="29" t="str">
        <f>VLOOKUP(G1700,'insumos terrapl'!$C$3:$K$47,3,0)</f>
        <v>2Q</v>
      </c>
      <c r="J1700" s="29">
        <f>VLOOKUP(G1700,'insumos terrapl'!$C$3:$K$47,4,0)</f>
        <v>58</v>
      </c>
      <c r="K1700" s="29" t="str">
        <f>VLOOKUP(G1700,'insumos terrapl'!$C$3:$K$47,5,0)</f>
        <v>10</v>
      </c>
      <c r="L1700" s="29" t="str">
        <f>VLOOKUP(G1700,'insumos terrapl'!$C$3:$K$47,6,0)</f>
        <v>10</v>
      </c>
      <c r="M1700" s="29" t="str">
        <f>VLOOKUP(G1700,'insumos terrapl'!$C$3:$K$47,7,0)</f>
        <v>02</v>
      </c>
      <c r="N1700" s="29" t="str">
        <f>VLOOKUP(G1700,'insumos terrapl'!$C$3:$K$47,8,0)</f>
        <v>06</v>
      </c>
      <c r="O1700" s="97" t="str">
        <f>VLOOKUP(G1700,'insumos terrapl'!$C$3:$K$47,9,0)</f>
        <v>00</v>
      </c>
    </row>
    <row r="1701" spans="1:15">
      <c r="A1701" s="134"/>
      <c r="B1701" s="137"/>
      <c r="C1701" s="125"/>
      <c r="D1701" s="115"/>
      <c r="E1701" s="115"/>
      <c r="F1701" s="11" t="s">
        <v>586</v>
      </c>
      <c r="G1701" s="20" t="s">
        <v>587</v>
      </c>
      <c r="H1701" s="29" t="str">
        <f>VLOOKUP(G1701,'insumos terrapl'!$C$3:$K$47,2,0)</f>
        <v>2Q  62  30  02  14  00  00</v>
      </c>
      <c r="I1701" s="29" t="str">
        <f>VLOOKUP(G1701,'insumos terrapl'!$C$3:$K$47,3,0)</f>
        <v>2Q</v>
      </c>
      <c r="J1701" s="29">
        <f>VLOOKUP(G1701,'insumos terrapl'!$C$3:$K$47,4,0)</f>
        <v>62</v>
      </c>
      <c r="K1701" s="29">
        <f>VLOOKUP(G1701,'insumos terrapl'!$C$3:$K$47,5,0)</f>
        <v>30</v>
      </c>
      <c r="L1701" s="29" t="str">
        <f>VLOOKUP(G1701,'insumos terrapl'!$C$3:$K$47,6,0)</f>
        <v>02</v>
      </c>
      <c r="M1701" s="29" t="str">
        <f>VLOOKUP(G1701,'insumos terrapl'!$C$3:$K$47,7,0)</f>
        <v>14</v>
      </c>
      <c r="N1701" s="29" t="str">
        <f>VLOOKUP(G1701,'insumos terrapl'!$C$3:$K$47,8,0)</f>
        <v>00</v>
      </c>
      <c r="O1701" s="97" t="str">
        <f>VLOOKUP(G1701,'insumos terrapl'!$C$3:$K$47,9,0)</f>
        <v>00</v>
      </c>
    </row>
    <row r="1702" spans="1:15">
      <c r="A1702" s="134"/>
      <c r="B1702" s="137"/>
      <c r="C1702" s="125"/>
      <c r="D1702" s="115"/>
      <c r="E1702" s="115"/>
      <c r="F1702" s="11" t="s">
        <v>613</v>
      </c>
      <c r="G1702" s="20" t="s">
        <v>614</v>
      </c>
      <c r="H1702" s="29" t="str">
        <f>VLOOKUP(G1702,'insumos terrapl'!$C$3:$K$47,2,0)</f>
        <v>2N  20  14  02  00  00  00</v>
      </c>
      <c r="I1702" s="29" t="str">
        <f>VLOOKUP(G1702,'insumos terrapl'!$C$3:$K$47,3,0)</f>
        <v>2N</v>
      </c>
      <c r="J1702" s="29">
        <f>VLOOKUP(G1702,'insumos terrapl'!$C$3:$K$47,4,0)</f>
        <v>20</v>
      </c>
      <c r="K1702" s="29" t="str">
        <f>VLOOKUP(G1702,'insumos terrapl'!$C$3:$K$47,5,0)</f>
        <v>14</v>
      </c>
      <c r="L1702" s="29" t="str">
        <f>VLOOKUP(G1702,'insumos terrapl'!$C$3:$K$47,6,0)</f>
        <v>02</v>
      </c>
      <c r="M1702" s="29" t="str">
        <f>VLOOKUP(G1702,'insumos terrapl'!$C$3:$K$47,7,0)</f>
        <v>00</v>
      </c>
      <c r="N1702" s="29" t="str">
        <f>VLOOKUP(G1702,'insumos terrapl'!$C$3:$K$47,8,0)</f>
        <v>00</v>
      </c>
      <c r="O1702" s="97" t="str">
        <f>VLOOKUP(G1702,'insumos terrapl'!$C$3:$K$47,9,0)</f>
        <v>00</v>
      </c>
    </row>
    <row r="1703" spans="1:15">
      <c r="A1703" s="134"/>
      <c r="B1703" s="137"/>
      <c r="C1703" s="125"/>
      <c r="D1703" s="115"/>
      <c r="E1703" s="115"/>
      <c r="F1703" s="11" t="s">
        <v>615</v>
      </c>
      <c r="G1703" s="20" t="s">
        <v>616</v>
      </c>
      <c r="H1703" s="29" t="str">
        <f>VLOOKUP(G1703,'insumos terrapl'!$C$3:$K$47,2,0)</f>
        <v>2N  20  14  02  00  00  00</v>
      </c>
      <c r="I1703" s="29" t="str">
        <f>VLOOKUP(G1703,'insumos terrapl'!$C$3:$K$47,3,0)</f>
        <v>2N</v>
      </c>
      <c r="J1703" s="29">
        <f>VLOOKUP(G1703,'insumos terrapl'!$C$3:$K$47,4,0)</f>
        <v>20</v>
      </c>
      <c r="K1703" s="29" t="str">
        <f>VLOOKUP(G1703,'insumos terrapl'!$C$3:$K$47,5,0)</f>
        <v>14</v>
      </c>
      <c r="L1703" s="29" t="str">
        <f>VLOOKUP(G1703,'insumos terrapl'!$C$3:$K$47,6,0)</f>
        <v>02</v>
      </c>
      <c r="M1703" s="29" t="str">
        <f>VLOOKUP(G1703,'insumos terrapl'!$C$3:$K$47,7,0)</f>
        <v>00</v>
      </c>
      <c r="N1703" s="29" t="str">
        <f>VLOOKUP(G1703,'insumos terrapl'!$C$3:$K$47,8,0)</f>
        <v>00</v>
      </c>
      <c r="O1703" s="97" t="str">
        <f>VLOOKUP(G1703,'insumos terrapl'!$C$3:$K$47,9,0)</f>
        <v>00</v>
      </c>
    </row>
    <row r="1704" spans="1:15" ht="30">
      <c r="A1704" s="134"/>
      <c r="B1704" s="137"/>
      <c r="C1704" s="125"/>
      <c r="D1704" s="115"/>
      <c r="E1704" s="115"/>
      <c r="F1704" s="11" t="s">
        <v>635</v>
      </c>
      <c r="G1704" s="20" t="s">
        <v>636</v>
      </c>
      <c r="H1704" s="29" t="str">
        <f>VLOOKUP(G1704,'insumos terrapl'!$C$3:$K$47,2,0)</f>
        <v>2N  58  06  00  00  00  00</v>
      </c>
      <c r="I1704" s="29" t="str">
        <f>VLOOKUP(G1704,'insumos terrapl'!$C$3:$K$47,3,0)</f>
        <v>2N</v>
      </c>
      <c r="J1704" s="29">
        <f>VLOOKUP(G1704,'insumos terrapl'!$C$3:$K$47,4,0)</f>
        <v>58</v>
      </c>
      <c r="K1704" s="29" t="str">
        <f>VLOOKUP(G1704,'insumos terrapl'!$C$3:$K$47,5,0)</f>
        <v>06</v>
      </c>
      <c r="L1704" s="29" t="str">
        <f>VLOOKUP(G1704,'insumos terrapl'!$C$3:$K$47,6,0)</f>
        <v>00</v>
      </c>
      <c r="M1704" s="29" t="str">
        <f>VLOOKUP(G1704,'insumos terrapl'!$C$3:$K$47,7,0)</f>
        <v>00</v>
      </c>
      <c r="N1704" s="29" t="str">
        <f>VLOOKUP(G1704,'insumos terrapl'!$C$3:$K$47,8,0)</f>
        <v>00</v>
      </c>
      <c r="O1704" s="97" t="str">
        <f>VLOOKUP(G1704,'insumos terrapl'!$C$3:$K$47,9,0)</f>
        <v>00</v>
      </c>
    </row>
    <row r="1705" spans="1:15">
      <c r="A1705" s="134"/>
      <c r="B1705" s="137"/>
      <c r="C1705" s="125"/>
      <c r="D1705" s="115"/>
      <c r="E1705" s="115"/>
      <c r="F1705" s="11" t="s">
        <v>617</v>
      </c>
      <c r="G1705" s="20" t="s">
        <v>618</v>
      </c>
      <c r="H1705" s="29" t="str">
        <f>VLOOKUP(G1705,'insumos terrapl'!$C$3:$K$47,2,0)</f>
        <v>2Q  58  06  02  28  00  00</v>
      </c>
      <c r="I1705" s="29" t="str">
        <f>VLOOKUP(G1705,'insumos terrapl'!$C$3:$K$47,3,0)</f>
        <v>2Q</v>
      </c>
      <c r="J1705" s="29">
        <f>VLOOKUP(G1705,'insumos terrapl'!$C$3:$K$47,4,0)</f>
        <v>58</v>
      </c>
      <c r="K1705" s="29" t="str">
        <f>VLOOKUP(G1705,'insumos terrapl'!$C$3:$K$47,5,0)</f>
        <v>06</v>
      </c>
      <c r="L1705" s="29" t="str">
        <f>VLOOKUP(G1705,'insumos terrapl'!$C$3:$K$47,6,0)</f>
        <v>02</v>
      </c>
      <c r="M1705" s="29" t="str">
        <f>VLOOKUP(G1705,'insumos terrapl'!$C$3:$K$47,7,0)</f>
        <v>28</v>
      </c>
      <c r="N1705" s="29" t="str">
        <f>VLOOKUP(G1705,'insumos terrapl'!$C$3:$K$47,8,0)</f>
        <v>00</v>
      </c>
      <c r="O1705" s="97" t="str">
        <f>VLOOKUP(G1705,'insumos terrapl'!$C$3:$K$47,9,0)</f>
        <v>00</v>
      </c>
    </row>
    <row r="1706" spans="1:15" ht="30">
      <c r="A1706" s="134"/>
      <c r="B1706" s="137"/>
      <c r="C1706" s="125"/>
      <c r="D1706" s="115"/>
      <c r="E1706" s="115"/>
      <c r="F1706" s="11" t="s">
        <v>637</v>
      </c>
      <c r="G1706" s="20" t="s">
        <v>638</v>
      </c>
      <c r="H1706" s="29" t="str">
        <f>VLOOKUP(G1706,'insumos terrapl'!$C$3:$K$47,2,0)</f>
        <v>2N  58  06  00  00  00  00</v>
      </c>
      <c r="I1706" s="29" t="str">
        <f>VLOOKUP(G1706,'insumos terrapl'!$C$3:$K$47,3,0)</f>
        <v>2N</v>
      </c>
      <c r="J1706" s="29">
        <f>VLOOKUP(G1706,'insumos terrapl'!$C$3:$K$47,4,0)</f>
        <v>58</v>
      </c>
      <c r="K1706" s="29" t="str">
        <f>VLOOKUP(G1706,'insumos terrapl'!$C$3:$K$47,5,0)</f>
        <v>06</v>
      </c>
      <c r="L1706" s="29" t="str">
        <f>VLOOKUP(G1706,'insumos terrapl'!$C$3:$K$47,6,0)</f>
        <v>00</v>
      </c>
      <c r="M1706" s="29" t="str">
        <f>VLOOKUP(G1706,'insumos terrapl'!$C$3:$K$47,7,0)</f>
        <v>00</v>
      </c>
      <c r="N1706" s="29" t="str">
        <f>VLOOKUP(G1706,'insumos terrapl'!$C$3:$K$47,8,0)</f>
        <v>00</v>
      </c>
      <c r="O1706" s="97" t="str">
        <f>VLOOKUP(G1706,'insumos terrapl'!$C$3:$K$47,9,0)</f>
        <v>00</v>
      </c>
    </row>
    <row r="1707" spans="1:15" ht="30">
      <c r="A1707" s="134"/>
      <c r="B1707" s="137"/>
      <c r="C1707" s="125"/>
      <c r="D1707" s="115"/>
      <c r="E1707" s="115"/>
      <c r="F1707" s="11" t="s">
        <v>639</v>
      </c>
      <c r="G1707" s="20" t="s">
        <v>640</v>
      </c>
      <c r="H1707" s="29" t="str">
        <f>VLOOKUP(G1707,'insumos terrapl'!$C$3:$K$47,2,0)</f>
        <v>2N  58  06  00  00  00  00</v>
      </c>
      <c r="I1707" s="29" t="str">
        <f>VLOOKUP(G1707,'insumos terrapl'!$C$3:$K$47,3,0)</f>
        <v>2N</v>
      </c>
      <c r="J1707" s="29">
        <f>VLOOKUP(G1707,'insumos terrapl'!$C$3:$K$47,4,0)</f>
        <v>58</v>
      </c>
      <c r="K1707" s="29" t="str">
        <f>VLOOKUP(G1707,'insumos terrapl'!$C$3:$K$47,5,0)</f>
        <v>06</v>
      </c>
      <c r="L1707" s="29" t="str">
        <f>VLOOKUP(G1707,'insumos terrapl'!$C$3:$K$47,6,0)</f>
        <v>00</v>
      </c>
      <c r="M1707" s="29" t="str">
        <f>VLOOKUP(G1707,'insumos terrapl'!$C$3:$K$47,7,0)</f>
        <v>00</v>
      </c>
      <c r="N1707" s="29" t="str">
        <f>VLOOKUP(G1707,'insumos terrapl'!$C$3:$K$47,8,0)</f>
        <v>00</v>
      </c>
      <c r="O1707" s="97" t="str">
        <f>VLOOKUP(G1707,'insumos terrapl'!$C$3:$K$47,9,0)</f>
        <v>00</v>
      </c>
    </row>
    <row r="1708" spans="1:15">
      <c r="A1708" s="134"/>
      <c r="B1708" s="137"/>
      <c r="C1708" s="125"/>
      <c r="D1708" s="115"/>
      <c r="E1708" s="115"/>
      <c r="F1708" s="11" t="s">
        <v>641</v>
      </c>
      <c r="G1708" s="20" t="s">
        <v>642</v>
      </c>
      <c r="H1708" s="29" t="str">
        <f>VLOOKUP(G1708,'insumos terrapl'!$C$3:$K$47,2,0)</f>
        <v>2N  58  06  00  00  00  00</v>
      </c>
      <c r="I1708" s="29" t="str">
        <f>VLOOKUP(G1708,'insumos terrapl'!$C$3:$K$47,3,0)</f>
        <v>2N</v>
      </c>
      <c r="J1708" s="29">
        <f>VLOOKUP(G1708,'insumos terrapl'!$C$3:$K$47,4,0)</f>
        <v>58</v>
      </c>
      <c r="K1708" s="29" t="str">
        <f>VLOOKUP(G1708,'insumos terrapl'!$C$3:$K$47,5,0)</f>
        <v>06</v>
      </c>
      <c r="L1708" s="29" t="str">
        <f>VLOOKUP(G1708,'insumos terrapl'!$C$3:$K$47,6,0)</f>
        <v>00</v>
      </c>
      <c r="M1708" s="29" t="str">
        <f>VLOOKUP(G1708,'insumos terrapl'!$C$3:$K$47,7,0)</f>
        <v>00</v>
      </c>
      <c r="N1708" s="29" t="str">
        <f>VLOOKUP(G1708,'insumos terrapl'!$C$3:$K$47,8,0)</f>
        <v>00</v>
      </c>
      <c r="O1708" s="97" t="str">
        <f>VLOOKUP(G1708,'insumos terrapl'!$C$3:$K$47,9,0)</f>
        <v>00</v>
      </c>
    </row>
    <row r="1709" spans="1:15">
      <c r="A1709" s="134"/>
      <c r="B1709" s="137"/>
      <c r="C1709" s="125"/>
      <c r="D1709" s="115"/>
      <c r="E1709" s="115"/>
      <c r="F1709" s="11" t="s">
        <v>619</v>
      </c>
      <c r="G1709" s="20" t="s">
        <v>620</v>
      </c>
      <c r="H1709" s="29"/>
      <c r="I1709" s="29"/>
      <c r="J1709" s="29"/>
      <c r="K1709" s="29"/>
      <c r="L1709" s="29"/>
      <c r="M1709" s="29"/>
      <c r="N1709" s="29"/>
      <c r="O1709" s="97"/>
    </row>
    <row r="1710" spans="1:15">
      <c r="A1710" s="134"/>
      <c r="B1710" s="137"/>
      <c r="C1710" s="125"/>
      <c r="D1710" s="115"/>
      <c r="E1710" s="115"/>
      <c r="F1710" s="11" t="s">
        <v>643</v>
      </c>
      <c r="G1710" s="20" t="s">
        <v>644</v>
      </c>
      <c r="H1710" s="29" t="str">
        <f>VLOOKUP(G1710,'insumos terrapl'!$C$3:$K$47,2,0)</f>
        <v>2N  58  06  00  00  00  00</v>
      </c>
      <c r="I1710" s="29" t="str">
        <f>VLOOKUP(G1710,'insumos terrapl'!$C$3:$K$47,3,0)</f>
        <v>2N</v>
      </c>
      <c r="J1710" s="29">
        <f>VLOOKUP(G1710,'insumos terrapl'!$C$3:$K$47,4,0)</f>
        <v>58</v>
      </c>
      <c r="K1710" s="29" t="str">
        <f>VLOOKUP(G1710,'insumos terrapl'!$C$3:$K$47,5,0)</f>
        <v>06</v>
      </c>
      <c r="L1710" s="29" t="str">
        <f>VLOOKUP(G1710,'insumos terrapl'!$C$3:$K$47,6,0)</f>
        <v>00</v>
      </c>
      <c r="M1710" s="29" t="str">
        <f>VLOOKUP(G1710,'insumos terrapl'!$C$3:$K$47,7,0)</f>
        <v>00</v>
      </c>
      <c r="N1710" s="29" t="str">
        <f>VLOOKUP(G1710,'insumos terrapl'!$C$3:$K$47,8,0)</f>
        <v>00</v>
      </c>
      <c r="O1710" s="97" t="str">
        <f>VLOOKUP(G1710,'insumos terrapl'!$C$3:$K$47,9,0)</f>
        <v>00</v>
      </c>
    </row>
    <row r="1711" spans="1:15">
      <c r="A1711" s="134"/>
      <c r="B1711" s="137"/>
      <c r="C1711" s="125"/>
      <c r="D1711" s="115"/>
      <c r="E1711" s="115"/>
      <c r="F1711" s="11" t="s">
        <v>645</v>
      </c>
      <c r="G1711" s="20" t="s">
        <v>646</v>
      </c>
      <c r="H1711" s="29" t="str">
        <f>VLOOKUP(G1711,'insumos terrapl'!$C$3:$K$47,2,0)</f>
        <v>2N  58  06  00  00  00  00</v>
      </c>
      <c r="I1711" s="29" t="str">
        <f>VLOOKUP(G1711,'insumos terrapl'!$C$3:$K$47,3,0)</f>
        <v>2N</v>
      </c>
      <c r="J1711" s="29">
        <f>VLOOKUP(G1711,'insumos terrapl'!$C$3:$K$47,4,0)</f>
        <v>58</v>
      </c>
      <c r="K1711" s="29" t="str">
        <f>VLOOKUP(G1711,'insumos terrapl'!$C$3:$K$47,5,0)</f>
        <v>06</v>
      </c>
      <c r="L1711" s="29" t="str">
        <f>VLOOKUP(G1711,'insumos terrapl'!$C$3:$K$47,6,0)</f>
        <v>00</v>
      </c>
      <c r="M1711" s="29" t="str">
        <f>VLOOKUP(G1711,'insumos terrapl'!$C$3:$K$47,7,0)</f>
        <v>00</v>
      </c>
      <c r="N1711" s="29" t="str">
        <f>VLOOKUP(G1711,'insumos terrapl'!$C$3:$K$47,8,0)</f>
        <v>00</v>
      </c>
      <c r="O1711" s="97" t="str">
        <f>VLOOKUP(G1711,'insumos terrapl'!$C$3:$K$47,9,0)</f>
        <v>00</v>
      </c>
    </row>
    <row r="1712" spans="1:15" ht="30">
      <c r="A1712" s="134"/>
      <c r="B1712" s="137"/>
      <c r="C1712" s="125"/>
      <c r="D1712" s="115"/>
      <c r="E1712" s="115"/>
      <c r="F1712" s="11" t="s">
        <v>647</v>
      </c>
      <c r="G1712" s="20" t="s">
        <v>648</v>
      </c>
      <c r="H1712" s="29" t="str">
        <f>VLOOKUP(G1712,'insumos terrapl'!$C$3:$K$47,2,0)</f>
        <v>2N  58  06  00  00  00  00</v>
      </c>
      <c r="I1712" s="29" t="str">
        <f>VLOOKUP(G1712,'insumos terrapl'!$C$3:$K$47,3,0)</f>
        <v>2N</v>
      </c>
      <c r="J1712" s="29">
        <f>VLOOKUP(G1712,'insumos terrapl'!$C$3:$K$47,4,0)</f>
        <v>58</v>
      </c>
      <c r="K1712" s="29" t="str">
        <f>VLOOKUP(G1712,'insumos terrapl'!$C$3:$K$47,5,0)</f>
        <v>06</v>
      </c>
      <c r="L1712" s="29" t="str">
        <f>VLOOKUP(G1712,'insumos terrapl'!$C$3:$K$47,6,0)</f>
        <v>00</v>
      </c>
      <c r="M1712" s="29" t="str">
        <f>VLOOKUP(G1712,'insumos terrapl'!$C$3:$K$47,7,0)</f>
        <v>00</v>
      </c>
      <c r="N1712" s="29" t="str">
        <f>VLOOKUP(G1712,'insumos terrapl'!$C$3:$K$47,8,0)</f>
        <v>00</v>
      </c>
      <c r="O1712" s="97" t="str">
        <f>VLOOKUP(G1712,'insumos terrapl'!$C$3:$K$47,9,0)</f>
        <v>00</v>
      </c>
    </row>
    <row r="1713" spans="1:15">
      <c r="A1713" s="134"/>
      <c r="B1713" s="137"/>
      <c r="C1713" s="125"/>
      <c r="D1713" s="115"/>
      <c r="E1713" s="115"/>
      <c r="F1713" s="11" t="s">
        <v>621</v>
      </c>
      <c r="G1713" s="20" t="s">
        <v>622</v>
      </c>
      <c r="H1713" s="29" t="str">
        <f>VLOOKUP(G1713,'insumos terrapl'!$C$3:$K$47,2,0)</f>
        <v>2N  58  06  00  00  00  00</v>
      </c>
      <c r="I1713" s="29" t="str">
        <f>VLOOKUP(G1713,'insumos terrapl'!$C$3:$K$47,3,0)</f>
        <v>2N</v>
      </c>
      <c r="J1713" s="29">
        <f>VLOOKUP(G1713,'insumos terrapl'!$C$3:$K$47,4,0)</f>
        <v>58</v>
      </c>
      <c r="K1713" s="29" t="str">
        <f>VLOOKUP(G1713,'insumos terrapl'!$C$3:$K$47,5,0)</f>
        <v>06</v>
      </c>
      <c r="L1713" s="29" t="str">
        <f>VLOOKUP(G1713,'insumos terrapl'!$C$3:$K$47,6,0)</f>
        <v>00</v>
      </c>
      <c r="M1713" s="29" t="str">
        <f>VLOOKUP(G1713,'insumos terrapl'!$C$3:$K$47,7,0)</f>
        <v>00</v>
      </c>
      <c r="N1713" s="29" t="str">
        <f>VLOOKUP(G1713,'insumos terrapl'!$C$3:$K$47,8,0)</f>
        <v>00</v>
      </c>
      <c r="O1713" s="97" t="str">
        <f>VLOOKUP(G1713,'insumos terrapl'!$C$3:$K$47,9,0)</f>
        <v>00</v>
      </c>
    </row>
    <row r="1714" spans="1:15">
      <c r="A1714" s="134"/>
      <c r="B1714" s="137"/>
      <c r="C1714" s="132"/>
      <c r="D1714" s="116"/>
      <c r="E1714" s="116"/>
      <c r="F1714" s="13"/>
      <c r="G1714" s="21"/>
      <c r="H1714" s="31"/>
      <c r="I1714" s="31"/>
      <c r="J1714" s="31"/>
      <c r="K1714" s="31"/>
      <c r="L1714" s="31"/>
      <c r="M1714" s="31"/>
      <c r="N1714" s="31"/>
      <c r="O1714" s="98"/>
    </row>
    <row r="1715" spans="1:15">
      <c r="A1715" s="134"/>
      <c r="B1715" s="137"/>
      <c r="C1715" s="124" t="s">
        <v>265</v>
      </c>
      <c r="D1715" s="114" t="str">
        <f>$A$1095</f>
        <v>2.6.8</v>
      </c>
      <c r="E1715" s="115" t="s">
        <v>523</v>
      </c>
      <c r="F1715" s="11" t="s">
        <v>265</v>
      </c>
      <c r="G1715" s="20"/>
      <c r="H1715" s="29"/>
      <c r="I1715" s="29"/>
      <c r="J1715" s="29"/>
      <c r="K1715" s="29"/>
      <c r="L1715" s="29"/>
      <c r="M1715" s="29"/>
      <c r="N1715" s="29"/>
      <c r="O1715" s="97"/>
    </row>
    <row r="1716" spans="1:15" ht="30">
      <c r="A1716" s="134"/>
      <c r="B1716" s="137"/>
      <c r="C1716" s="125"/>
      <c r="D1716" s="115"/>
      <c r="E1716" s="115"/>
      <c r="F1716" s="11" t="s">
        <v>659</v>
      </c>
      <c r="G1716" s="20" t="s">
        <v>660</v>
      </c>
      <c r="H1716" s="29" t="str">
        <f>VLOOKUP(G1716,'insumos terrapl'!$C$3:$K$47,2,0)</f>
        <v>2Q  66  10  02  00  00  00</v>
      </c>
      <c r="I1716" s="29" t="str">
        <f>VLOOKUP(G1716,'insumos terrapl'!$C$3:$K$47,3,0)</f>
        <v>2Q</v>
      </c>
      <c r="J1716" s="29">
        <f>VLOOKUP(G1716,'insumos terrapl'!$C$3:$K$47,4,0)</f>
        <v>66</v>
      </c>
      <c r="K1716" s="29" t="str">
        <f>VLOOKUP(G1716,'insumos terrapl'!$C$3:$K$47,5,0)</f>
        <v>10</v>
      </c>
      <c r="L1716" s="29" t="str">
        <f>VLOOKUP(G1716,'insumos terrapl'!$C$3:$K$47,6,0)</f>
        <v>02</v>
      </c>
      <c r="M1716" s="29" t="str">
        <f>VLOOKUP(G1716,'insumos terrapl'!$C$3:$K$47,7,0)</f>
        <v>00</v>
      </c>
      <c r="N1716" s="29" t="str">
        <f>VLOOKUP(G1716,'insumos terrapl'!$C$3:$K$47,8,0)</f>
        <v>00</v>
      </c>
      <c r="O1716" s="97" t="str">
        <f>VLOOKUP(G1716,'insumos terrapl'!$C$3:$K$47,9,0)</f>
        <v>00</v>
      </c>
    </row>
    <row r="1717" spans="1:15" ht="30">
      <c r="A1717" s="134"/>
      <c r="B1717" s="137"/>
      <c r="C1717" s="125"/>
      <c r="D1717" s="115"/>
      <c r="E1717" s="115"/>
      <c r="F1717" s="11" t="s">
        <v>661</v>
      </c>
      <c r="G1717" s="20" t="s">
        <v>662</v>
      </c>
      <c r="H1717" s="29" t="str">
        <f>VLOOKUP(G1717,'insumos terrapl'!$C$3:$K$47,2,0)</f>
        <v>2Q  62  10  06  00  00  00</v>
      </c>
      <c r="I1717" s="29" t="str">
        <f>VLOOKUP(G1717,'insumos terrapl'!$C$3:$K$47,3,0)</f>
        <v>2Q</v>
      </c>
      <c r="J1717" s="29">
        <f>VLOOKUP(G1717,'insumos terrapl'!$C$3:$K$47,4,0)</f>
        <v>62</v>
      </c>
      <c r="K1717" s="29" t="str">
        <f>VLOOKUP(G1717,'insumos terrapl'!$C$3:$K$47,5,0)</f>
        <v>10</v>
      </c>
      <c r="L1717" s="29" t="str">
        <f>VLOOKUP(G1717,'insumos terrapl'!$C$3:$K$47,6,0)</f>
        <v>06</v>
      </c>
      <c r="M1717" s="29" t="str">
        <f>VLOOKUP(G1717,'insumos terrapl'!$C$3:$K$47,7,0)</f>
        <v>00</v>
      </c>
      <c r="N1717" s="29" t="str">
        <f>VLOOKUP(G1717,'insumos terrapl'!$C$3:$K$47,8,0)</f>
        <v>00</v>
      </c>
      <c r="O1717" s="97" t="str">
        <f>VLOOKUP(G1717,'insumos terrapl'!$C$3:$K$47,9,0)</f>
        <v>00</v>
      </c>
    </row>
    <row r="1718" spans="1:15" ht="30">
      <c r="A1718" s="134"/>
      <c r="B1718" s="137"/>
      <c r="C1718" s="125"/>
      <c r="D1718" s="115"/>
      <c r="E1718" s="115"/>
      <c r="F1718" s="11" t="s">
        <v>607</v>
      </c>
      <c r="G1718" s="20" t="s">
        <v>608</v>
      </c>
      <c r="H1718" s="29" t="str">
        <f>VLOOKUP(G1718,'insumos terrapl'!$C$3:$K$47,2,0)</f>
        <v>2Q  42  06  18  02  02  00</v>
      </c>
      <c r="I1718" s="29" t="str">
        <f>VLOOKUP(G1718,'insumos terrapl'!$C$3:$K$47,3,0)</f>
        <v>2Q</v>
      </c>
      <c r="J1718" s="29">
        <f>VLOOKUP(G1718,'insumos terrapl'!$C$3:$K$47,4,0)</f>
        <v>42</v>
      </c>
      <c r="K1718" s="29" t="str">
        <f>VLOOKUP(G1718,'insumos terrapl'!$C$3:$K$47,5,0)</f>
        <v>06</v>
      </c>
      <c r="L1718" s="29">
        <f>VLOOKUP(G1718,'insumos terrapl'!$C$3:$K$47,6,0)</f>
        <v>18</v>
      </c>
      <c r="M1718" s="29" t="str">
        <f>VLOOKUP(G1718,'insumos terrapl'!$C$3:$K$47,7,0)</f>
        <v>02</v>
      </c>
      <c r="N1718" s="29" t="str">
        <f>VLOOKUP(G1718,'insumos terrapl'!$C$3:$K$47,8,0)</f>
        <v>02</v>
      </c>
      <c r="O1718" s="97" t="str">
        <f>VLOOKUP(G1718,'insumos terrapl'!$C$3:$K$47,9,0)</f>
        <v>00</v>
      </c>
    </row>
    <row r="1719" spans="1:15" ht="45">
      <c r="A1719" s="134"/>
      <c r="B1719" s="137"/>
      <c r="C1719" s="125"/>
      <c r="D1719" s="115"/>
      <c r="E1719" s="115"/>
      <c r="F1719" s="11" t="s">
        <v>609</v>
      </c>
      <c r="G1719" s="20" t="s">
        <v>610</v>
      </c>
      <c r="H1719" s="29" t="str">
        <f>VLOOKUP(G1719,'insumos terrapl'!$C$3:$K$47,2,0)</f>
        <v>2Q  42  06  02  14  02  00</v>
      </c>
      <c r="I1719" s="29" t="str">
        <f>VLOOKUP(G1719,'insumos terrapl'!$C$3:$K$47,3,0)</f>
        <v>2Q</v>
      </c>
      <c r="J1719" s="29">
        <f>VLOOKUP(G1719,'insumos terrapl'!$C$3:$K$47,4,0)</f>
        <v>42</v>
      </c>
      <c r="K1719" s="29" t="str">
        <f>VLOOKUP(G1719,'insumos terrapl'!$C$3:$K$47,5,0)</f>
        <v>06</v>
      </c>
      <c r="L1719" s="29" t="str">
        <f>VLOOKUP(G1719,'insumos terrapl'!$C$3:$K$47,6,0)</f>
        <v>02</v>
      </c>
      <c r="M1719" s="29" t="str">
        <f>VLOOKUP(G1719,'insumos terrapl'!$C$3:$K$47,7,0)</f>
        <v>14</v>
      </c>
      <c r="N1719" s="29" t="str">
        <f>VLOOKUP(G1719,'insumos terrapl'!$C$3:$K$47,8,0)</f>
        <v>02</v>
      </c>
      <c r="O1719" s="97" t="str">
        <f>VLOOKUP(G1719,'insumos terrapl'!$C$3:$K$47,9,0)</f>
        <v>00</v>
      </c>
    </row>
    <row r="1720" spans="1:15">
      <c r="A1720" s="134"/>
      <c r="B1720" s="137"/>
      <c r="C1720" s="125"/>
      <c r="D1720" s="115"/>
      <c r="E1720" s="115"/>
      <c r="F1720" s="11" t="s">
        <v>633</v>
      </c>
      <c r="G1720" s="20" t="s">
        <v>634</v>
      </c>
      <c r="H1720" s="29" t="str">
        <f>VLOOKUP(G1720,'insumos terrapl'!$C$3:$K$47,2,0)</f>
        <v>2Q  58  10  10  02  06  00</v>
      </c>
      <c r="I1720" s="29" t="str">
        <f>VLOOKUP(G1720,'insumos terrapl'!$C$3:$K$47,3,0)</f>
        <v>2Q</v>
      </c>
      <c r="J1720" s="29">
        <f>VLOOKUP(G1720,'insumos terrapl'!$C$3:$K$47,4,0)</f>
        <v>58</v>
      </c>
      <c r="K1720" s="29" t="str">
        <f>VLOOKUP(G1720,'insumos terrapl'!$C$3:$K$47,5,0)</f>
        <v>10</v>
      </c>
      <c r="L1720" s="29" t="str">
        <f>VLOOKUP(G1720,'insumos terrapl'!$C$3:$K$47,6,0)</f>
        <v>10</v>
      </c>
      <c r="M1720" s="29" t="str">
        <f>VLOOKUP(G1720,'insumos terrapl'!$C$3:$K$47,7,0)</f>
        <v>02</v>
      </c>
      <c r="N1720" s="29" t="str">
        <f>VLOOKUP(G1720,'insumos terrapl'!$C$3:$K$47,8,0)</f>
        <v>06</v>
      </c>
      <c r="O1720" s="97" t="str">
        <f>VLOOKUP(G1720,'insumos terrapl'!$C$3:$K$47,9,0)</f>
        <v>00</v>
      </c>
    </row>
    <row r="1721" spans="1:15">
      <c r="A1721" s="134"/>
      <c r="B1721" s="137"/>
      <c r="C1721" s="125"/>
      <c r="D1721" s="115"/>
      <c r="E1721" s="115"/>
      <c r="F1721" s="11" t="s">
        <v>586</v>
      </c>
      <c r="G1721" s="20" t="s">
        <v>587</v>
      </c>
      <c r="H1721" s="29" t="str">
        <f>VLOOKUP(G1721,'insumos terrapl'!$C$3:$K$47,2,0)</f>
        <v>2Q  62  30  02  14  00  00</v>
      </c>
      <c r="I1721" s="29" t="str">
        <f>VLOOKUP(G1721,'insumos terrapl'!$C$3:$K$47,3,0)</f>
        <v>2Q</v>
      </c>
      <c r="J1721" s="29">
        <f>VLOOKUP(G1721,'insumos terrapl'!$C$3:$K$47,4,0)</f>
        <v>62</v>
      </c>
      <c r="K1721" s="29">
        <f>VLOOKUP(G1721,'insumos terrapl'!$C$3:$K$47,5,0)</f>
        <v>30</v>
      </c>
      <c r="L1721" s="29" t="str">
        <f>VLOOKUP(G1721,'insumos terrapl'!$C$3:$K$47,6,0)</f>
        <v>02</v>
      </c>
      <c r="M1721" s="29" t="str">
        <f>VLOOKUP(G1721,'insumos terrapl'!$C$3:$K$47,7,0)</f>
        <v>14</v>
      </c>
      <c r="N1721" s="29" t="str">
        <f>VLOOKUP(G1721,'insumos terrapl'!$C$3:$K$47,8,0)</f>
        <v>00</v>
      </c>
      <c r="O1721" s="97" t="str">
        <f>VLOOKUP(G1721,'insumos terrapl'!$C$3:$K$47,9,0)</f>
        <v>00</v>
      </c>
    </row>
    <row r="1722" spans="1:15">
      <c r="A1722" s="134"/>
      <c r="B1722" s="137"/>
      <c r="C1722" s="125"/>
      <c r="D1722" s="115"/>
      <c r="E1722" s="115"/>
      <c r="F1722" s="11" t="s">
        <v>613</v>
      </c>
      <c r="G1722" s="20" t="s">
        <v>614</v>
      </c>
      <c r="H1722" s="29" t="str">
        <f>VLOOKUP(G1722,'insumos terrapl'!$C$3:$K$47,2,0)</f>
        <v>2N  20  14  02  00  00  00</v>
      </c>
      <c r="I1722" s="29" t="str">
        <f>VLOOKUP(G1722,'insumos terrapl'!$C$3:$K$47,3,0)</f>
        <v>2N</v>
      </c>
      <c r="J1722" s="29">
        <f>VLOOKUP(G1722,'insumos terrapl'!$C$3:$K$47,4,0)</f>
        <v>20</v>
      </c>
      <c r="K1722" s="29" t="str">
        <f>VLOOKUP(G1722,'insumos terrapl'!$C$3:$K$47,5,0)</f>
        <v>14</v>
      </c>
      <c r="L1722" s="29" t="str">
        <f>VLOOKUP(G1722,'insumos terrapl'!$C$3:$K$47,6,0)</f>
        <v>02</v>
      </c>
      <c r="M1722" s="29" t="str">
        <f>VLOOKUP(G1722,'insumos terrapl'!$C$3:$K$47,7,0)</f>
        <v>00</v>
      </c>
      <c r="N1722" s="29" t="str">
        <f>VLOOKUP(G1722,'insumos terrapl'!$C$3:$K$47,8,0)</f>
        <v>00</v>
      </c>
      <c r="O1722" s="97" t="str">
        <f>VLOOKUP(G1722,'insumos terrapl'!$C$3:$K$47,9,0)</f>
        <v>00</v>
      </c>
    </row>
    <row r="1723" spans="1:15">
      <c r="A1723" s="134"/>
      <c r="B1723" s="137"/>
      <c r="C1723" s="125"/>
      <c r="D1723" s="115"/>
      <c r="E1723" s="115"/>
      <c r="F1723" s="11" t="s">
        <v>615</v>
      </c>
      <c r="G1723" s="20" t="s">
        <v>616</v>
      </c>
      <c r="H1723" s="29" t="str">
        <f>VLOOKUP(G1723,'insumos terrapl'!$C$3:$K$47,2,0)</f>
        <v>2N  20  14  02  00  00  00</v>
      </c>
      <c r="I1723" s="29" t="str">
        <f>VLOOKUP(G1723,'insumos terrapl'!$C$3:$K$47,3,0)</f>
        <v>2N</v>
      </c>
      <c r="J1723" s="29">
        <f>VLOOKUP(G1723,'insumos terrapl'!$C$3:$K$47,4,0)</f>
        <v>20</v>
      </c>
      <c r="K1723" s="29" t="str">
        <f>VLOOKUP(G1723,'insumos terrapl'!$C$3:$K$47,5,0)</f>
        <v>14</v>
      </c>
      <c r="L1723" s="29" t="str">
        <f>VLOOKUP(G1723,'insumos terrapl'!$C$3:$K$47,6,0)</f>
        <v>02</v>
      </c>
      <c r="M1723" s="29" t="str">
        <f>VLOOKUP(G1723,'insumos terrapl'!$C$3:$K$47,7,0)</f>
        <v>00</v>
      </c>
      <c r="N1723" s="29" t="str">
        <f>VLOOKUP(G1723,'insumos terrapl'!$C$3:$K$47,8,0)</f>
        <v>00</v>
      </c>
      <c r="O1723" s="97" t="str">
        <f>VLOOKUP(G1723,'insumos terrapl'!$C$3:$K$47,9,0)</f>
        <v>00</v>
      </c>
    </row>
    <row r="1724" spans="1:15" ht="30">
      <c r="A1724" s="134"/>
      <c r="B1724" s="137"/>
      <c r="C1724" s="125"/>
      <c r="D1724" s="115"/>
      <c r="E1724" s="115"/>
      <c r="F1724" s="11" t="s">
        <v>635</v>
      </c>
      <c r="G1724" s="20" t="s">
        <v>636</v>
      </c>
      <c r="H1724" s="29" t="str">
        <f>VLOOKUP(G1724,'insumos terrapl'!$C$3:$K$47,2,0)</f>
        <v>2N  58  06  00  00  00  00</v>
      </c>
      <c r="I1724" s="29" t="str">
        <f>VLOOKUP(G1724,'insumos terrapl'!$C$3:$K$47,3,0)</f>
        <v>2N</v>
      </c>
      <c r="J1724" s="29">
        <f>VLOOKUP(G1724,'insumos terrapl'!$C$3:$K$47,4,0)</f>
        <v>58</v>
      </c>
      <c r="K1724" s="29" t="str">
        <f>VLOOKUP(G1724,'insumos terrapl'!$C$3:$K$47,5,0)</f>
        <v>06</v>
      </c>
      <c r="L1724" s="29" t="str">
        <f>VLOOKUP(G1724,'insumos terrapl'!$C$3:$K$47,6,0)</f>
        <v>00</v>
      </c>
      <c r="M1724" s="29" t="str">
        <f>VLOOKUP(G1724,'insumos terrapl'!$C$3:$K$47,7,0)</f>
        <v>00</v>
      </c>
      <c r="N1724" s="29" t="str">
        <f>VLOOKUP(G1724,'insumos terrapl'!$C$3:$K$47,8,0)</f>
        <v>00</v>
      </c>
      <c r="O1724" s="97" t="str">
        <f>VLOOKUP(G1724,'insumos terrapl'!$C$3:$K$47,9,0)</f>
        <v>00</v>
      </c>
    </row>
    <row r="1725" spans="1:15">
      <c r="A1725" s="134"/>
      <c r="B1725" s="137"/>
      <c r="C1725" s="125"/>
      <c r="D1725" s="115"/>
      <c r="E1725" s="115"/>
      <c r="F1725" s="11" t="s">
        <v>617</v>
      </c>
      <c r="G1725" s="20" t="s">
        <v>618</v>
      </c>
      <c r="H1725" s="29" t="str">
        <f>VLOOKUP(G1725,'insumos terrapl'!$C$3:$K$47,2,0)</f>
        <v>2Q  58  06  02  28  00  00</v>
      </c>
      <c r="I1725" s="29" t="str">
        <f>VLOOKUP(G1725,'insumos terrapl'!$C$3:$K$47,3,0)</f>
        <v>2Q</v>
      </c>
      <c r="J1725" s="29">
        <f>VLOOKUP(G1725,'insumos terrapl'!$C$3:$K$47,4,0)</f>
        <v>58</v>
      </c>
      <c r="K1725" s="29" t="str">
        <f>VLOOKUP(G1725,'insumos terrapl'!$C$3:$K$47,5,0)</f>
        <v>06</v>
      </c>
      <c r="L1725" s="29" t="str">
        <f>VLOOKUP(G1725,'insumos terrapl'!$C$3:$K$47,6,0)</f>
        <v>02</v>
      </c>
      <c r="M1725" s="29" t="str">
        <f>VLOOKUP(G1725,'insumos terrapl'!$C$3:$K$47,7,0)</f>
        <v>28</v>
      </c>
      <c r="N1725" s="29" t="str">
        <f>VLOOKUP(G1725,'insumos terrapl'!$C$3:$K$47,8,0)</f>
        <v>00</v>
      </c>
      <c r="O1725" s="97" t="str">
        <f>VLOOKUP(G1725,'insumos terrapl'!$C$3:$K$47,9,0)</f>
        <v>00</v>
      </c>
    </row>
    <row r="1726" spans="1:15" ht="30">
      <c r="A1726" s="134"/>
      <c r="B1726" s="137"/>
      <c r="C1726" s="125"/>
      <c r="D1726" s="115"/>
      <c r="E1726" s="115"/>
      <c r="F1726" s="11" t="s">
        <v>637</v>
      </c>
      <c r="G1726" s="20" t="s">
        <v>638</v>
      </c>
      <c r="H1726" s="29" t="str">
        <f>VLOOKUP(G1726,'insumos terrapl'!$C$3:$K$47,2,0)</f>
        <v>2N  58  06  00  00  00  00</v>
      </c>
      <c r="I1726" s="29" t="str">
        <f>VLOOKUP(G1726,'insumos terrapl'!$C$3:$K$47,3,0)</f>
        <v>2N</v>
      </c>
      <c r="J1726" s="29">
        <f>VLOOKUP(G1726,'insumos terrapl'!$C$3:$K$47,4,0)</f>
        <v>58</v>
      </c>
      <c r="K1726" s="29" t="str">
        <f>VLOOKUP(G1726,'insumos terrapl'!$C$3:$K$47,5,0)</f>
        <v>06</v>
      </c>
      <c r="L1726" s="29" t="str">
        <f>VLOOKUP(G1726,'insumos terrapl'!$C$3:$K$47,6,0)</f>
        <v>00</v>
      </c>
      <c r="M1726" s="29" t="str">
        <f>VLOOKUP(G1726,'insumos terrapl'!$C$3:$K$47,7,0)</f>
        <v>00</v>
      </c>
      <c r="N1726" s="29" t="str">
        <f>VLOOKUP(G1726,'insumos terrapl'!$C$3:$K$47,8,0)</f>
        <v>00</v>
      </c>
      <c r="O1726" s="97" t="str">
        <f>VLOOKUP(G1726,'insumos terrapl'!$C$3:$K$47,9,0)</f>
        <v>00</v>
      </c>
    </row>
    <row r="1727" spans="1:15" ht="30">
      <c r="A1727" s="134"/>
      <c r="B1727" s="137"/>
      <c r="C1727" s="125"/>
      <c r="D1727" s="115"/>
      <c r="E1727" s="115"/>
      <c r="F1727" s="11" t="s">
        <v>639</v>
      </c>
      <c r="G1727" s="20" t="s">
        <v>640</v>
      </c>
      <c r="H1727" s="29" t="str">
        <f>VLOOKUP(G1727,'insumos terrapl'!$C$3:$K$47,2,0)</f>
        <v>2N  58  06  00  00  00  00</v>
      </c>
      <c r="I1727" s="29" t="str">
        <f>VLOOKUP(G1727,'insumos terrapl'!$C$3:$K$47,3,0)</f>
        <v>2N</v>
      </c>
      <c r="J1727" s="29">
        <f>VLOOKUP(G1727,'insumos terrapl'!$C$3:$K$47,4,0)</f>
        <v>58</v>
      </c>
      <c r="K1727" s="29" t="str">
        <f>VLOOKUP(G1727,'insumos terrapl'!$C$3:$K$47,5,0)</f>
        <v>06</v>
      </c>
      <c r="L1727" s="29" t="str">
        <f>VLOOKUP(G1727,'insumos terrapl'!$C$3:$K$47,6,0)</f>
        <v>00</v>
      </c>
      <c r="M1727" s="29" t="str">
        <f>VLOOKUP(G1727,'insumos terrapl'!$C$3:$K$47,7,0)</f>
        <v>00</v>
      </c>
      <c r="N1727" s="29" t="str">
        <f>VLOOKUP(G1727,'insumos terrapl'!$C$3:$K$47,8,0)</f>
        <v>00</v>
      </c>
      <c r="O1727" s="97" t="str">
        <f>VLOOKUP(G1727,'insumos terrapl'!$C$3:$K$47,9,0)</f>
        <v>00</v>
      </c>
    </row>
    <row r="1728" spans="1:15">
      <c r="A1728" s="134"/>
      <c r="B1728" s="137"/>
      <c r="C1728" s="125"/>
      <c r="D1728" s="115"/>
      <c r="E1728" s="115"/>
      <c r="F1728" s="11" t="s">
        <v>641</v>
      </c>
      <c r="G1728" s="20" t="s">
        <v>642</v>
      </c>
      <c r="H1728" s="29" t="str">
        <f>VLOOKUP(G1728,'insumos terrapl'!$C$3:$K$47,2,0)</f>
        <v>2N  58  06  00  00  00  00</v>
      </c>
      <c r="I1728" s="29" t="str">
        <f>VLOOKUP(G1728,'insumos terrapl'!$C$3:$K$47,3,0)</f>
        <v>2N</v>
      </c>
      <c r="J1728" s="29">
        <f>VLOOKUP(G1728,'insumos terrapl'!$C$3:$K$47,4,0)</f>
        <v>58</v>
      </c>
      <c r="K1728" s="29" t="str">
        <f>VLOOKUP(G1728,'insumos terrapl'!$C$3:$K$47,5,0)</f>
        <v>06</v>
      </c>
      <c r="L1728" s="29" t="str">
        <f>VLOOKUP(G1728,'insumos terrapl'!$C$3:$K$47,6,0)</f>
        <v>00</v>
      </c>
      <c r="M1728" s="29" t="str">
        <f>VLOOKUP(G1728,'insumos terrapl'!$C$3:$K$47,7,0)</f>
        <v>00</v>
      </c>
      <c r="N1728" s="29" t="str">
        <f>VLOOKUP(G1728,'insumos terrapl'!$C$3:$K$47,8,0)</f>
        <v>00</v>
      </c>
      <c r="O1728" s="97" t="str">
        <f>VLOOKUP(G1728,'insumos terrapl'!$C$3:$K$47,9,0)</f>
        <v>00</v>
      </c>
    </row>
    <row r="1729" spans="1:15">
      <c r="A1729" s="134"/>
      <c r="B1729" s="137"/>
      <c r="C1729" s="125"/>
      <c r="D1729" s="115"/>
      <c r="E1729" s="115"/>
      <c r="F1729" s="11" t="s">
        <v>619</v>
      </c>
      <c r="G1729" s="20" t="s">
        <v>620</v>
      </c>
      <c r="H1729" s="29"/>
      <c r="I1729" s="29"/>
      <c r="J1729" s="29"/>
      <c r="K1729" s="29"/>
      <c r="L1729" s="29"/>
      <c r="M1729" s="29"/>
      <c r="N1729" s="29"/>
      <c r="O1729" s="97"/>
    </row>
    <row r="1730" spans="1:15">
      <c r="A1730" s="134"/>
      <c r="B1730" s="137"/>
      <c r="C1730" s="125"/>
      <c r="D1730" s="115"/>
      <c r="E1730" s="115"/>
      <c r="F1730" s="11" t="s">
        <v>643</v>
      </c>
      <c r="G1730" s="20" t="s">
        <v>644</v>
      </c>
      <c r="H1730" s="29" t="str">
        <f>VLOOKUP(G1730,'insumos terrapl'!$C$3:$K$47,2,0)</f>
        <v>2N  58  06  00  00  00  00</v>
      </c>
      <c r="I1730" s="29" t="str">
        <f>VLOOKUP(G1730,'insumos terrapl'!$C$3:$K$47,3,0)</f>
        <v>2N</v>
      </c>
      <c r="J1730" s="29">
        <f>VLOOKUP(G1730,'insumos terrapl'!$C$3:$K$47,4,0)</f>
        <v>58</v>
      </c>
      <c r="K1730" s="29" t="str">
        <f>VLOOKUP(G1730,'insumos terrapl'!$C$3:$K$47,5,0)</f>
        <v>06</v>
      </c>
      <c r="L1730" s="29" t="str">
        <f>VLOOKUP(G1730,'insumos terrapl'!$C$3:$K$47,6,0)</f>
        <v>00</v>
      </c>
      <c r="M1730" s="29" t="str">
        <f>VLOOKUP(G1730,'insumos terrapl'!$C$3:$K$47,7,0)</f>
        <v>00</v>
      </c>
      <c r="N1730" s="29" t="str">
        <f>VLOOKUP(G1730,'insumos terrapl'!$C$3:$K$47,8,0)</f>
        <v>00</v>
      </c>
      <c r="O1730" s="97" t="str">
        <f>VLOOKUP(G1730,'insumos terrapl'!$C$3:$K$47,9,0)</f>
        <v>00</v>
      </c>
    </row>
    <row r="1731" spans="1:15">
      <c r="A1731" s="134"/>
      <c r="B1731" s="137"/>
      <c r="C1731" s="125"/>
      <c r="D1731" s="115"/>
      <c r="E1731" s="115"/>
      <c r="F1731" s="11" t="s">
        <v>645</v>
      </c>
      <c r="G1731" s="20" t="s">
        <v>646</v>
      </c>
      <c r="H1731" s="29" t="str">
        <f>VLOOKUP(G1731,'insumos terrapl'!$C$3:$K$47,2,0)</f>
        <v>2N  58  06  00  00  00  00</v>
      </c>
      <c r="I1731" s="29" t="str">
        <f>VLOOKUP(G1731,'insumos terrapl'!$C$3:$K$47,3,0)</f>
        <v>2N</v>
      </c>
      <c r="J1731" s="29">
        <f>VLOOKUP(G1731,'insumos terrapl'!$C$3:$K$47,4,0)</f>
        <v>58</v>
      </c>
      <c r="K1731" s="29" t="str">
        <f>VLOOKUP(G1731,'insumos terrapl'!$C$3:$K$47,5,0)</f>
        <v>06</v>
      </c>
      <c r="L1731" s="29" t="str">
        <f>VLOOKUP(G1731,'insumos terrapl'!$C$3:$K$47,6,0)</f>
        <v>00</v>
      </c>
      <c r="M1731" s="29" t="str">
        <f>VLOOKUP(G1731,'insumos terrapl'!$C$3:$K$47,7,0)</f>
        <v>00</v>
      </c>
      <c r="N1731" s="29" t="str">
        <f>VLOOKUP(G1731,'insumos terrapl'!$C$3:$K$47,8,0)</f>
        <v>00</v>
      </c>
      <c r="O1731" s="97" t="str">
        <f>VLOOKUP(G1731,'insumos terrapl'!$C$3:$K$47,9,0)</f>
        <v>00</v>
      </c>
    </row>
    <row r="1732" spans="1:15" ht="30">
      <c r="A1732" s="134"/>
      <c r="B1732" s="137"/>
      <c r="C1732" s="125"/>
      <c r="D1732" s="115"/>
      <c r="E1732" s="115"/>
      <c r="F1732" s="11" t="s">
        <v>647</v>
      </c>
      <c r="G1732" s="20" t="s">
        <v>648</v>
      </c>
      <c r="H1732" s="29" t="str">
        <f>VLOOKUP(G1732,'insumos terrapl'!$C$3:$K$47,2,0)</f>
        <v>2N  58  06  00  00  00  00</v>
      </c>
      <c r="I1732" s="29" t="str">
        <f>VLOOKUP(G1732,'insumos terrapl'!$C$3:$K$47,3,0)</f>
        <v>2N</v>
      </c>
      <c r="J1732" s="29">
        <f>VLOOKUP(G1732,'insumos terrapl'!$C$3:$K$47,4,0)</f>
        <v>58</v>
      </c>
      <c r="K1732" s="29" t="str">
        <f>VLOOKUP(G1732,'insumos terrapl'!$C$3:$K$47,5,0)</f>
        <v>06</v>
      </c>
      <c r="L1732" s="29" t="str">
        <f>VLOOKUP(G1732,'insumos terrapl'!$C$3:$K$47,6,0)</f>
        <v>00</v>
      </c>
      <c r="M1732" s="29" t="str">
        <f>VLOOKUP(G1732,'insumos terrapl'!$C$3:$K$47,7,0)</f>
        <v>00</v>
      </c>
      <c r="N1732" s="29" t="str">
        <f>VLOOKUP(G1732,'insumos terrapl'!$C$3:$K$47,8,0)</f>
        <v>00</v>
      </c>
      <c r="O1732" s="97" t="str">
        <f>VLOOKUP(G1732,'insumos terrapl'!$C$3:$K$47,9,0)</f>
        <v>00</v>
      </c>
    </row>
    <row r="1733" spans="1:15">
      <c r="A1733" s="134"/>
      <c r="B1733" s="137"/>
      <c r="C1733" s="125"/>
      <c r="D1733" s="115"/>
      <c r="E1733" s="115"/>
      <c r="F1733" s="11" t="s">
        <v>621</v>
      </c>
      <c r="G1733" s="20" t="s">
        <v>622</v>
      </c>
      <c r="H1733" s="29" t="str">
        <f>VLOOKUP(G1733,'insumos terrapl'!$C$3:$K$47,2,0)</f>
        <v>2N  58  06  00  00  00  00</v>
      </c>
      <c r="I1733" s="29" t="str">
        <f>VLOOKUP(G1733,'insumos terrapl'!$C$3:$K$47,3,0)</f>
        <v>2N</v>
      </c>
      <c r="J1733" s="29">
        <f>VLOOKUP(G1733,'insumos terrapl'!$C$3:$K$47,4,0)</f>
        <v>58</v>
      </c>
      <c r="K1733" s="29" t="str">
        <f>VLOOKUP(G1733,'insumos terrapl'!$C$3:$K$47,5,0)</f>
        <v>06</v>
      </c>
      <c r="L1733" s="29" t="str">
        <f>VLOOKUP(G1733,'insumos terrapl'!$C$3:$K$47,6,0)</f>
        <v>00</v>
      </c>
      <c r="M1733" s="29" t="str">
        <f>VLOOKUP(G1733,'insumos terrapl'!$C$3:$K$47,7,0)</f>
        <v>00</v>
      </c>
      <c r="N1733" s="29" t="str">
        <f>VLOOKUP(G1733,'insumos terrapl'!$C$3:$K$47,8,0)</f>
        <v>00</v>
      </c>
      <c r="O1733" s="97" t="str">
        <f>VLOOKUP(G1733,'insumos terrapl'!$C$3:$K$47,9,0)</f>
        <v>00</v>
      </c>
    </row>
    <row r="1734" spans="1:15">
      <c r="A1734" s="134"/>
      <c r="B1734" s="137"/>
      <c r="C1734" s="132"/>
      <c r="D1734" s="116"/>
      <c r="E1734" s="115"/>
      <c r="F1734" s="10"/>
      <c r="G1734" s="20"/>
      <c r="H1734" s="29"/>
      <c r="I1734" s="29"/>
      <c r="J1734" s="29"/>
      <c r="K1734" s="29"/>
      <c r="L1734" s="29"/>
      <c r="M1734" s="29"/>
      <c r="N1734" s="29"/>
      <c r="O1734" s="97"/>
    </row>
    <row r="1735" spans="1:15">
      <c r="A1735" s="134"/>
      <c r="B1735" s="137"/>
      <c r="C1735" s="124" t="s">
        <v>266</v>
      </c>
      <c r="D1735" s="114" t="str">
        <f>$A$1095</f>
        <v>2.6.8</v>
      </c>
      <c r="E1735" s="114" t="s">
        <v>524</v>
      </c>
      <c r="F1735" s="12" t="s">
        <v>266</v>
      </c>
      <c r="G1735" s="19"/>
      <c r="H1735" s="28"/>
      <c r="I1735" s="28"/>
      <c r="J1735" s="28"/>
      <c r="K1735" s="28"/>
      <c r="L1735" s="28"/>
      <c r="M1735" s="28"/>
      <c r="N1735" s="28"/>
      <c r="O1735" s="99"/>
    </row>
    <row r="1736" spans="1:15" ht="30">
      <c r="A1736" s="134"/>
      <c r="B1736" s="137"/>
      <c r="C1736" s="125"/>
      <c r="D1736" s="115"/>
      <c r="E1736" s="115"/>
      <c r="F1736" s="11" t="s">
        <v>659</v>
      </c>
      <c r="G1736" s="20" t="s">
        <v>660</v>
      </c>
      <c r="H1736" s="29" t="str">
        <f>VLOOKUP(G1736,'insumos terrapl'!$C$3:$K$47,2,0)</f>
        <v>2Q  66  10  02  00  00  00</v>
      </c>
      <c r="I1736" s="29" t="str">
        <f>VLOOKUP(G1736,'insumos terrapl'!$C$3:$K$47,3,0)</f>
        <v>2Q</v>
      </c>
      <c r="J1736" s="29">
        <f>VLOOKUP(G1736,'insumos terrapl'!$C$3:$K$47,4,0)</f>
        <v>66</v>
      </c>
      <c r="K1736" s="29" t="str">
        <f>VLOOKUP(G1736,'insumos terrapl'!$C$3:$K$47,5,0)</f>
        <v>10</v>
      </c>
      <c r="L1736" s="29" t="str">
        <f>VLOOKUP(G1736,'insumos terrapl'!$C$3:$K$47,6,0)</f>
        <v>02</v>
      </c>
      <c r="M1736" s="29" t="str">
        <f>VLOOKUP(G1736,'insumos terrapl'!$C$3:$K$47,7,0)</f>
        <v>00</v>
      </c>
      <c r="N1736" s="29" t="str">
        <f>VLOOKUP(G1736,'insumos terrapl'!$C$3:$K$47,8,0)</f>
        <v>00</v>
      </c>
      <c r="O1736" s="97" t="str">
        <f>VLOOKUP(G1736,'insumos terrapl'!$C$3:$K$47,9,0)</f>
        <v>00</v>
      </c>
    </row>
    <row r="1737" spans="1:15" ht="30">
      <c r="A1737" s="134"/>
      <c r="B1737" s="137"/>
      <c r="C1737" s="125"/>
      <c r="D1737" s="115"/>
      <c r="E1737" s="115"/>
      <c r="F1737" s="11" t="s">
        <v>661</v>
      </c>
      <c r="G1737" s="20" t="s">
        <v>662</v>
      </c>
      <c r="H1737" s="29" t="str">
        <f>VLOOKUP(G1737,'insumos terrapl'!$C$3:$K$47,2,0)</f>
        <v>2Q  62  10  06  00  00  00</v>
      </c>
      <c r="I1737" s="29" t="str">
        <f>VLOOKUP(G1737,'insumos terrapl'!$C$3:$K$47,3,0)</f>
        <v>2Q</v>
      </c>
      <c r="J1737" s="29">
        <f>VLOOKUP(G1737,'insumos terrapl'!$C$3:$K$47,4,0)</f>
        <v>62</v>
      </c>
      <c r="K1737" s="29" t="str">
        <f>VLOOKUP(G1737,'insumos terrapl'!$C$3:$K$47,5,0)</f>
        <v>10</v>
      </c>
      <c r="L1737" s="29" t="str">
        <f>VLOOKUP(G1737,'insumos terrapl'!$C$3:$K$47,6,0)</f>
        <v>06</v>
      </c>
      <c r="M1737" s="29" t="str">
        <f>VLOOKUP(G1737,'insumos terrapl'!$C$3:$K$47,7,0)</f>
        <v>00</v>
      </c>
      <c r="N1737" s="29" t="str">
        <f>VLOOKUP(G1737,'insumos terrapl'!$C$3:$K$47,8,0)</f>
        <v>00</v>
      </c>
      <c r="O1737" s="97" t="str">
        <f>VLOOKUP(G1737,'insumos terrapl'!$C$3:$K$47,9,0)</f>
        <v>00</v>
      </c>
    </row>
    <row r="1738" spans="1:15" ht="30">
      <c r="A1738" s="134"/>
      <c r="B1738" s="137"/>
      <c r="C1738" s="125"/>
      <c r="D1738" s="115"/>
      <c r="E1738" s="115"/>
      <c r="F1738" s="11" t="s">
        <v>607</v>
      </c>
      <c r="G1738" s="20" t="s">
        <v>608</v>
      </c>
      <c r="H1738" s="29" t="str">
        <f>VLOOKUP(G1738,'insumos terrapl'!$C$3:$K$47,2,0)</f>
        <v>2Q  42  06  18  02  02  00</v>
      </c>
      <c r="I1738" s="29" t="str">
        <f>VLOOKUP(G1738,'insumos terrapl'!$C$3:$K$47,3,0)</f>
        <v>2Q</v>
      </c>
      <c r="J1738" s="29">
        <f>VLOOKUP(G1738,'insumos terrapl'!$C$3:$K$47,4,0)</f>
        <v>42</v>
      </c>
      <c r="K1738" s="29" t="str">
        <f>VLOOKUP(G1738,'insumos terrapl'!$C$3:$K$47,5,0)</f>
        <v>06</v>
      </c>
      <c r="L1738" s="29">
        <f>VLOOKUP(G1738,'insumos terrapl'!$C$3:$K$47,6,0)</f>
        <v>18</v>
      </c>
      <c r="M1738" s="29" t="str">
        <f>VLOOKUP(G1738,'insumos terrapl'!$C$3:$K$47,7,0)</f>
        <v>02</v>
      </c>
      <c r="N1738" s="29" t="str">
        <f>VLOOKUP(G1738,'insumos terrapl'!$C$3:$K$47,8,0)</f>
        <v>02</v>
      </c>
      <c r="O1738" s="97" t="str">
        <f>VLOOKUP(G1738,'insumos terrapl'!$C$3:$K$47,9,0)</f>
        <v>00</v>
      </c>
    </row>
    <row r="1739" spans="1:15" ht="45">
      <c r="A1739" s="134"/>
      <c r="B1739" s="137"/>
      <c r="C1739" s="125"/>
      <c r="D1739" s="115"/>
      <c r="E1739" s="115"/>
      <c r="F1739" s="11" t="s">
        <v>609</v>
      </c>
      <c r="G1739" s="20" t="s">
        <v>610</v>
      </c>
      <c r="H1739" s="29" t="str">
        <f>VLOOKUP(G1739,'insumos terrapl'!$C$3:$K$47,2,0)</f>
        <v>2Q  42  06  02  14  02  00</v>
      </c>
      <c r="I1739" s="29" t="str">
        <f>VLOOKUP(G1739,'insumos terrapl'!$C$3:$K$47,3,0)</f>
        <v>2Q</v>
      </c>
      <c r="J1739" s="29">
        <f>VLOOKUP(G1739,'insumos terrapl'!$C$3:$K$47,4,0)</f>
        <v>42</v>
      </c>
      <c r="K1739" s="29" t="str">
        <f>VLOOKUP(G1739,'insumos terrapl'!$C$3:$K$47,5,0)</f>
        <v>06</v>
      </c>
      <c r="L1739" s="29" t="str">
        <f>VLOOKUP(G1739,'insumos terrapl'!$C$3:$K$47,6,0)</f>
        <v>02</v>
      </c>
      <c r="M1739" s="29" t="str">
        <f>VLOOKUP(G1739,'insumos terrapl'!$C$3:$K$47,7,0)</f>
        <v>14</v>
      </c>
      <c r="N1739" s="29" t="str">
        <f>VLOOKUP(G1739,'insumos terrapl'!$C$3:$K$47,8,0)</f>
        <v>02</v>
      </c>
      <c r="O1739" s="97" t="str">
        <f>VLOOKUP(G1739,'insumos terrapl'!$C$3:$K$47,9,0)</f>
        <v>00</v>
      </c>
    </row>
    <row r="1740" spans="1:15">
      <c r="A1740" s="134"/>
      <c r="B1740" s="137"/>
      <c r="C1740" s="125"/>
      <c r="D1740" s="115"/>
      <c r="E1740" s="115"/>
      <c r="F1740" s="11" t="s">
        <v>633</v>
      </c>
      <c r="G1740" s="20" t="s">
        <v>634</v>
      </c>
      <c r="H1740" s="29" t="str">
        <f>VLOOKUP(G1740,'insumos terrapl'!$C$3:$K$47,2,0)</f>
        <v>2Q  58  10  10  02  06  00</v>
      </c>
      <c r="I1740" s="29" t="str">
        <f>VLOOKUP(G1740,'insumos terrapl'!$C$3:$K$47,3,0)</f>
        <v>2Q</v>
      </c>
      <c r="J1740" s="29">
        <f>VLOOKUP(G1740,'insumos terrapl'!$C$3:$K$47,4,0)</f>
        <v>58</v>
      </c>
      <c r="K1740" s="29" t="str">
        <f>VLOOKUP(G1740,'insumos terrapl'!$C$3:$K$47,5,0)</f>
        <v>10</v>
      </c>
      <c r="L1740" s="29" t="str">
        <f>VLOOKUP(G1740,'insumos terrapl'!$C$3:$K$47,6,0)</f>
        <v>10</v>
      </c>
      <c r="M1740" s="29" t="str">
        <f>VLOOKUP(G1740,'insumos terrapl'!$C$3:$K$47,7,0)</f>
        <v>02</v>
      </c>
      <c r="N1740" s="29" t="str">
        <f>VLOOKUP(G1740,'insumos terrapl'!$C$3:$K$47,8,0)</f>
        <v>06</v>
      </c>
      <c r="O1740" s="97" t="str">
        <f>VLOOKUP(G1740,'insumos terrapl'!$C$3:$K$47,9,0)</f>
        <v>00</v>
      </c>
    </row>
    <row r="1741" spans="1:15">
      <c r="A1741" s="134"/>
      <c r="B1741" s="137"/>
      <c r="C1741" s="125"/>
      <c r="D1741" s="115"/>
      <c r="E1741" s="115"/>
      <c r="F1741" s="11" t="s">
        <v>586</v>
      </c>
      <c r="G1741" s="20" t="s">
        <v>587</v>
      </c>
      <c r="H1741" s="29" t="str">
        <f>VLOOKUP(G1741,'insumos terrapl'!$C$3:$K$47,2,0)</f>
        <v>2Q  62  30  02  14  00  00</v>
      </c>
      <c r="I1741" s="29" t="str">
        <f>VLOOKUP(G1741,'insumos terrapl'!$C$3:$K$47,3,0)</f>
        <v>2Q</v>
      </c>
      <c r="J1741" s="29">
        <f>VLOOKUP(G1741,'insumos terrapl'!$C$3:$K$47,4,0)</f>
        <v>62</v>
      </c>
      <c r="K1741" s="29">
        <f>VLOOKUP(G1741,'insumos terrapl'!$C$3:$K$47,5,0)</f>
        <v>30</v>
      </c>
      <c r="L1741" s="29" t="str">
        <f>VLOOKUP(G1741,'insumos terrapl'!$C$3:$K$47,6,0)</f>
        <v>02</v>
      </c>
      <c r="M1741" s="29" t="str">
        <f>VLOOKUP(G1741,'insumos terrapl'!$C$3:$K$47,7,0)</f>
        <v>14</v>
      </c>
      <c r="N1741" s="29" t="str">
        <f>VLOOKUP(G1741,'insumos terrapl'!$C$3:$K$47,8,0)</f>
        <v>00</v>
      </c>
      <c r="O1741" s="97" t="str">
        <f>VLOOKUP(G1741,'insumos terrapl'!$C$3:$K$47,9,0)</f>
        <v>00</v>
      </c>
    </row>
    <row r="1742" spans="1:15">
      <c r="A1742" s="134"/>
      <c r="B1742" s="137"/>
      <c r="C1742" s="125"/>
      <c r="D1742" s="115"/>
      <c r="E1742" s="115"/>
      <c r="F1742" s="11" t="s">
        <v>613</v>
      </c>
      <c r="G1742" s="20" t="s">
        <v>614</v>
      </c>
      <c r="H1742" s="29" t="str">
        <f>VLOOKUP(G1742,'insumos terrapl'!$C$3:$K$47,2,0)</f>
        <v>2N  20  14  02  00  00  00</v>
      </c>
      <c r="I1742" s="29" t="str">
        <f>VLOOKUP(G1742,'insumos terrapl'!$C$3:$K$47,3,0)</f>
        <v>2N</v>
      </c>
      <c r="J1742" s="29">
        <f>VLOOKUP(G1742,'insumos terrapl'!$C$3:$K$47,4,0)</f>
        <v>20</v>
      </c>
      <c r="K1742" s="29" t="str">
        <f>VLOOKUP(G1742,'insumos terrapl'!$C$3:$K$47,5,0)</f>
        <v>14</v>
      </c>
      <c r="L1742" s="29" t="str">
        <f>VLOOKUP(G1742,'insumos terrapl'!$C$3:$K$47,6,0)</f>
        <v>02</v>
      </c>
      <c r="M1742" s="29" t="str">
        <f>VLOOKUP(G1742,'insumos terrapl'!$C$3:$K$47,7,0)</f>
        <v>00</v>
      </c>
      <c r="N1742" s="29" t="str">
        <f>VLOOKUP(G1742,'insumos terrapl'!$C$3:$K$47,8,0)</f>
        <v>00</v>
      </c>
      <c r="O1742" s="97" t="str">
        <f>VLOOKUP(G1742,'insumos terrapl'!$C$3:$K$47,9,0)</f>
        <v>00</v>
      </c>
    </row>
    <row r="1743" spans="1:15">
      <c r="A1743" s="134"/>
      <c r="B1743" s="137"/>
      <c r="C1743" s="125"/>
      <c r="D1743" s="115"/>
      <c r="E1743" s="115"/>
      <c r="F1743" s="11" t="s">
        <v>615</v>
      </c>
      <c r="G1743" s="20" t="s">
        <v>616</v>
      </c>
      <c r="H1743" s="29" t="str">
        <f>VLOOKUP(G1743,'insumos terrapl'!$C$3:$K$47,2,0)</f>
        <v>2N  20  14  02  00  00  00</v>
      </c>
      <c r="I1743" s="29" t="str">
        <f>VLOOKUP(G1743,'insumos terrapl'!$C$3:$K$47,3,0)</f>
        <v>2N</v>
      </c>
      <c r="J1743" s="29">
        <f>VLOOKUP(G1743,'insumos terrapl'!$C$3:$K$47,4,0)</f>
        <v>20</v>
      </c>
      <c r="K1743" s="29" t="str">
        <f>VLOOKUP(G1743,'insumos terrapl'!$C$3:$K$47,5,0)</f>
        <v>14</v>
      </c>
      <c r="L1743" s="29" t="str">
        <f>VLOOKUP(G1743,'insumos terrapl'!$C$3:$K$47,6,0)</f>
        <v>02</v>
      </c>
      <c r="M1743" s="29" t="str">
        <f>VLOOKUP(G1743,'insumos terrapl'!$C$3:$K$47,7,0)</f>
        <v>00</v>
      </c>
      <c r="N1743" s="29" t="str">
        <f>VLOOKUP(G1743,'insumos terrapl'!$C$3:$K$47,8,0)</f>
        <v>00</v>
      </c>
      <c r="O1743" s="97" t="str">
        <f>VLOOKUP(G1743,'insumos terrapl'!$C$3:$K$47,9,0)</f>
        <v>00</v>
      </c>
    </row>
    <row r="1744" spans="1:15" ht="30">
      <c r="A1744" s="134"/>
      <c r="B1744" s="137"/>
      <c r="C1744" s="125"/>
      <c r="D1744" s="115"/>
      <c r="E1744" s="115"/>
      <c r="F1744" s="11" t="s">
        <v>635</v>
      </c>
      <c r="G1744" s="20" t="s">
        <v>636</v>
      </c>
      <c r="H1744" s="29" t="str">
        <f>VLOOKUP(G1744,'insumos terrapl'!$C$3:$K$47,2,0)</f>
        <v>2N  58  06  00  00  00  00</v>
      </c>
      <c r="I1744" s="29" t="str">
        <f>VLOOKUP(G1744,'insumos terrapl'!$C$3:$K$47,3,0)</f>
        <v>2N</v>
      </c>
      <c r="J1744" s="29">
        <f>VLOOKUP(G1744,'insumos terrapl'!$C$3:$K$47,4,0)</f>
        <v>58</v>
      </c>
      <c r="K1744" s="29" t="str">
        <f>VLOOKUP(G1744,'insumos terrapl'!$C$3:$K$47,5,0)</f>
        <v>06</v>
      </c>
      <c r="L1744" s="29" t="str">
        <f>VLOOKUP(G1744,'insumos terrapl'!$C$3:$K$47,6,0)</f>
        <v>00</v>
      </c>
      <c r="M1744" s="29" t="str">
        <f>VLOOKUP(G1744,'insumos terrapl'!$C$3:$K$47,7,0)</f>
        <v>00</v>
      </c>
      <c r="N1744" s="29" t="str">
        <f>VLOOKUP(G1744,'insumos terrapl'!$C$3:$K$47,8,0)</f>
        <v>00</v>
      </c>
      <c r="O1744" s="97" t="str">
        <f>VLOOKUP(G1744,'insumos terrapl'!$C$3:$K$47,9,0)</f>
        <v>00</v>
      </c>
    </row>
    <row r="1745" spans="1:15">
      <c r="A1745" s="134"/>
      <c r="B1745" s="137"/>
      <c r="C1745" s="125"/>
      <c r="D1745" s="115"/>
      <c r="E1745" s="115"/>
      <c r="F1745" s="11" t="s">
        <v>617</v>
      </c>
      <c r="G1745" s="20" t="s">
        <v>618</v>
      </c>
      <c r="H1745" s="29" t="str">
        <f>VLOOKUP(G1745,'insumos terrapl'!$C$3:$K$47,2,0)</f>
        <v>2Q  58  06  02  28  00  00</v>
      </c>
      <c r="I1745" s="29" t="str">
        <f>VLOOKUP(G1745,'insumos terrapl'!$C$3:$K$47,3,0)</f>
        <v>2Q</v>
      </c>
      <c r="J1745" s="29">
        <f>VLOOKUP(G1745,'insumos terrapl'!$C$3:$K$47,4,0)</f>
        <v>58</v>
      </c>
      <c r="K1745" s="29" t="str">
        <f>VLOOKUP(G1745,'insumos terrapl'!$C$3:$K$47,5,0)</f>
        <v>06</v>
      </c>
      <c r="L1745" s="29" t="str">
        <f>VLOOKUP(G1745,'insumos terrapl'!$C$3:$K$47,6,0)</f>
        <v>02</v>
      </c>
      <c r="M1745" s="29" t="str">
        <f>VLOOKUP(G1745,'insumos terrapl'!$C$3:$K$47,7,0)</f>
        <v>28</v>
      </c>
      <c r="N1745" s="29" t="str">
        <f>VLOOKUP(G1745,'insumos terrapl'!$C$3:$K$47,8,0)</f>
        <v>00</v>
      </c>
      <c r="O1745" s="97" t="str">
        <f>VLOOKUP(G1745,'insumos terrapl'!$C$3:$K$47,9,0)</f>
        <v>00</v>
      </c>
    </row>
    <row r="1746" spans="1:15" ht="30">
      <c r="A1746" s="134"/>
      <c r="B1746" s="137"/>
      <c r="C1746" s="125"/>
      <c r="D1746" s="115"/>
      <c r="E1746" s="115"/>
      <c r="F1746" s="11" t="s">
        <v>637</v>
      </c>
      <c r="G1746" s="20" t="s">
        <v>638</v>
      </c>
      <c r="H1746" s="29" t="str">
        <f>VLOOKUP(G1746,'insumos terrapl'!$C$3:$K$47,2,0)</f>
        <v>2N  58  06  00  00  00  00</v>
      </c>
      <c r="I1746" s="29" t="str">
        <f>VLOOKUP(G1746,'insumos terrapl'!$C$3:$K$47,3,0)</f>
        <v>2N</v>
      </c>
      <c r="J1746" s="29">
        <f>VLOOKUP(G1746,'insumos terrapl'!$C$3:$K$47,4,0)</f>
        <v>58</v>
      </c>
      <c r="K1746" s="29" t="str">
        <f>VLOOKUP(G1746,'insumos terrapl'!$C$3:$K$47,5,0)</f>
        <v>06</v>
      </c>
      <c r="L1746" s="29" t="str">
        <f>VLOOKUP(G1746,'insumos terrapl'!$C$3:$K$47,6,0)</f>
        <v>00</v>
      </c>
      <c r="M1746" s="29" t="str">
        <f>VLOOKUP(G1746,'insumos terrapl'!$C$3:$K$47,7,0)</f>
        <v>00</v>
      </c>
      <c r="N1746" s="29" t="str">
        <f>VLOOKUP(G1746,'insumos terrapl'!$C$3:$K$47,8,0)</f>
        <v>00</v>
      </c>
      <c r="O1746" s="97" t="str">
        <f>VLOOKUP(G1746,'insumos terrapl'!$C$3:$K$47,9,0)</f>
        <v>00</v>
      </c>
    </row>
    <row r="1747" spans="1:15" ht="30">
      <c r="A1747" s="134"/>
      <c r="B1747" s="137"/>
      <c r="C1747" s="125"/>
      <c r="D1747" s="115"/>
      <c r="E1747" s="115"/>
      <c r="F1747" s="11" t="s">
        <v>639</v>
      </c>
      <c r="G1747" s="20" t="s">
        <v>640</v>
      </c>
      <c r="H1747" s="29" t="str">
        <f>VLOOKUP(G1747,'insumos terrapl'!$C$3:$K$47,2,0)</f>
        <v>2N  58  06  00  00  00  00</v>
      </c>
      <c r="I1747" s="29" t="str">
        <f>VLOOKUP(G1747,'insumos terrapl'!$C$3:$K$47,3,0)</f>
        <v>2N</v>
      </c>
      <c r="J1747" s="29">
        <f>VLOOKUP(G1747,'insumos terrapl'!$C$3:$K$47,4,0)</f>
        <v>58</v>
      </c>
      <c r="K1747" s="29" t="str">
        <f>VLOOKUP(G1747,'insumos terrapl'!$C$3:$K$47,5,0)</f>
        <v>06</v>
      </c>
      <c r="L1747" s="29" t="str">
        <f>VLOOKUP(G1747,'insumos terrapl'!$C$3:$K$47,6,0)</f>
        <v>00</v>
      </c>
      <c r="M1747" s="29" t="str">
        <f>VLOOKUP(G1747,'insumos terrapl'!$C$3:$K$47,7,0)</f>
        <v>00</v>
      </c>
      <c r="N1747" s="29" t="str">
        <f>VLOOKUP(G1747,'insumos terrapl'!$C$3:$K$47,8,0)</f>
        <v>00</v>
      </c>
      <c r="O1747" s="97" t="str">
        <f>VLOOKUP(G1747,'insumos terrapl'!$C$3:$K$47,9,0)</f>
        <v>00</v>
      </c>
    </row>
    <row r="1748" spans="1:15">
      <c r="A1748" s="134"/>
      <c r="B1748" s="137"/>
      <c r="C1748" s="125"/>
      <c r="D1748" s="115"/>
      <c r="E1748" s="115"/>
      <c r="F1748" s="11" t="s">
        <v>641</v>
      </c>
      <c r="G1748" s="20" t="s">
        <v>642</v>
      </c>
      <c r="H1748" s="29" t="str">
        <f>VLOOKUP(G1748,'insumos terrapl'!$C$3:$K$47,2,0)</f>
        <v>2N  58  06  00  00  00  00</v>
      </c>
      <c r="I1748" s="29" t="str">
        <f>VLOOKUP(G1748,'insumos terrapl'!$C$3:$K$47,3,0)</f>
        <v>2N</v>
      </c>
      <c r="J1748" s="29">
        <f>VLOOKUP(G1748,'insumos terrapl'!$C$3:$K$47,4,0)</f>
        <v>58</v>
      </c>
      <c r="K1748" s="29" t="str">
        <f>VLOOKUP(G1748,'insumos terrapl'!$C$3:$K$47,5,0)</f>
        <v>06</v>
      </c>
      <c r="L1748" s="29" t="str">
        <f>VLOOKUP(G1748,'insumos terrapl'!$C$3:$K$47,6,0)</f>
        <v>00</v>
      </c>
      <c r="M1748" s="29" t="str">
        <f>VLOOKUP(G1748,'insumos terrapl'!$C$3:$K$47,7,0)</f>
        <v>00</v>
      </c>
      <c r="N1748" s="29" t="str">
        <f>VLOOKUP(G1748,'insumos terrapl'!$C$3:$K$47,8,0)</f>
        <v>00</v>
      </c>
      <c r="O1748" s="97" t="str">
        <f>VLOOKUP(G1748,'insumos terrapl'!$C$3:$K$47,9,0)</f>
        <v>00</v>
      </c>
    </row>
    <row r="1749" spans="1:15">
      <c r="A1749" s="134"/>
      <c r="B1749" s="137"/>
      <c r="C1749" s="125"/>
      <c r="D1749" s="115"/>
      <c r="E1749" s="115"/>
      <c r="F1749" s="11" t="s">
        <v>619</v>
      </c>
      <c r="G1749" s="20" t="s">
        <v>620</v>
      </c>
      <c r="H1749" s="29"/>
      <c r="I1749" s="29"/>
      <c r="J1749" s="29"/>
      <c r="K1749" s="29"/>
      <c r="L1749" s="29"/>
      <c r="M1749" s="29"/>
      <c r="N1749" s="29"/>
      <c r="O1749" s="97"/>
    </row>
    <row r="1750" spans="1:15">
      <c r="A1750" s="134"/>
      <c r="B1750" s="137"/>
      <c r="C1750" s="125"/>
      <c r="D1750" s="115"/>
      <c r="E1750" s="115"/>
      <c r="F1750" s="11" t="s">
        <v>643</v>
      </c>
      <c r="G1750" s="20" t="s">
        <v>644</v>
      </c>
      <c r="H1750" s="29" t="str">
        <f>VLOOKUP(G1750,'insumos terrapl'!$C$3:$K$47,2,0)</f>
        <v>2N  58  06  00  00  00  00</v>
      </c>
      <c r="I1750" s="29" t="str">
        <f>VLOOKUP(G1750,'insumos terrapl'!$C$3:$K$47,3,0)</f>
        <v>2N</v>
      </c>
      <c r="J1750" s="29">
        <f>VLOOKUP(G1750,'insumos terrapl'!$C$3:$K$47,4,0)</f>
        <v>58</v>
      </c>
      <c r="K1750" s="29" t="str">
        <f>VLOOKUP(G1750,'insumos terrapl'!$C$3:$K$47,5,0)</f>
        <v>06</v>
      </c>
      <c r="L1750" s="29" t="str">
        <f>VLOOKUP(G1750,'insumos terrapl'!$C$3:$K$47,6,0)</f>
        <v>00</v>
      </c>
      <c r="M1750" s="29" t="str">
        <f>VLOOKUP(G1750,'insumos terrapl'!$C$3:$K$47,7,0)</f>
        <v>00</v>
      </c>
      <c r="N1750" s="29" t="str">
        <f>VLOOKUP(G1750,'insumos terrapl'!$C$3:$K$47,8,0)</f>
        <v>00</v>
      </c>
      <c r="O1750" s="97" t="str">
        <f>VLOOKUP(G1750,'insumos terrapl'!$C$3:$K$47,9,0)</f>
        <v>00</v>
      </c>
    </row>
    <row r="1751" spans="1:15">
      <c r="A1751" s="134"/>
      <c r="B1751" s="137"/>
      <c r="C1751" s="125"/>
      <c r="D1751" s="115"/>
      <c r="E1751" s="115"/>
      <c r="F1751" s="11" t="s">
        <v>645</v>
      </c>
      <c r="G1751" s="20" t="s">
        <v>646</v>
      </c>
      <c r="H1751" s="29" t="str">
        <f>VLOOKUP(G1751,'insumos terrapl'!$C$3:$K$47,2,0)</f>
        <v>2N  58  06  00  00  00  00</v>
      </c>
      <c r="I1751" s="29" t="str">
        <f>VLOOKUP(G1751,'insumos terrapl'!$C$3:$K$47,3,0)</f>
        <v>2N</v>
      </c>
      <c r="J1751" s="29">
        <f>VLOOKUP(G1751,'insumos terrapl'!$C$3:$K$47,4,0)</f>
        <v>58</v>
      </c>
      <c r="K1751" s="29" t="str">
        <f>VLOOKUP(G1751,'insumos terrapl'!$C$3:$K$47,5,0)</f>
        <v>06</v>
      </c>
      <c r="L1751" s="29" t="str">
        <f>VLOOKUP(G1751,'insumos terrapl'!$C$3:$K$47,6,0)</f>
        <v>00</v>
      </c>
      <c r="M1751" s="29" t="str">
        <f>VLOOKUP(G1751,'insumos terrapl'!$C$3:$K$47,7,0)</f>
        <v>00</v>
      </c>
      <c r="N1751" s="29" t="str">
        <f>VLOOKUP(G1751,'insumos terrapl'!$C$3:$K$47,8,0)</f>
        <v>00</v>
      </c>
      <c r="O1751" s="97" t="str">
        <f>VLOOKUP(G1751,'insumos terrapl'!$C$3:$K$47,9,0)</f>
        <v>00</v>
      </c>
    </row>
    <row r="1752" spans="1:15" ht="30">
      <c r="A1752" s="134"/>
      <c r="B1752" s="137"/>
      <c r="C1752" s="125"/>
      <c r="D1752" s="115"/>
      <c r="E1752" s="115"/>
      <c r="F1752" s="11" t="s">
        <v>647</v>
      </c>
      <c r="G1752" s="20" t="s">
        <v>648</v>
      </c>
      <c r="H1752" s="29" t="str">
        <f>VLOOKUP(G1752,'insumos terrapl'!$C$3:$K$47,2,0)</f>
        <v>2N  58  06  00  00  00  00</v>
      </c>
      <c r="I1752" s="29" t="str">
        <f>VLOOKUP(G1752,'insumos terrapl'!$C$3:$K$47,3,0)</f>
        <v>2N</v>
      </c>
      <c r="J1752" s="29">
        <f>VLOOKUP(G1752,'insumos terrapl'!$C$3:$K$47,4,0)</f>
        <v>58</v>
      </c>
      <c r="K1752" s="29" t="str">
        <f>VLOOKUP(G1752,'insumos terrapl'!$C$3:$K$47,5,0)</f>
        <v>06</v>
      </c>
      <c r="L1752" s="29" t="str">
        <f>VLOOKUP(G1752,'insumos terrapl'!$C$3:$K$47,6,0)</f>
        <v>00</v>
      </c>
      <c r="M1752" s="29" t="str">
        <f>VLOOKUP(G1752,'insumos terrapl'!$C$3:$K$47,7,0)</f>
        <v>00</v>
      </c>
      <c r="N1752" s="29" t="str">
        <f>VLOOKUP(G1752,'insumos terrapl'!$C$3:$K$47,8,0)</f>
        <v>00</v>
      </c>
      <c r="O1752" s="97" t="str">
        <f>VLOOKUP(G1752,'insumos terrapl'!$C$3:$K$47,9,0)</f>
        <v>00</v>
      </c>
    </row>
    <row r="1753" spans="1:15">
      <c r="A1753" s="134"/>
      <c r="B1753" s="137"/>
      <c r="C1753" s="125"/>
      <c r="D1753" s="115"/>
      <c r="E1753" s="115"/>
      <c r="F1753" s="11" t="s">
        <v>621</v>
      </c>
      <c r="G1753" s="20" t="s">
        <v>622</v>
      </c>
      <c r="H1753" s="29" t="str">
        <f>VLOOKUP(G1753,'insumos terrapl'!$C$3:$K$47,2,0)</f>
        <v>2N  58  06  00  00  00  00</v>
      </c>
      <c r="I1753" s="29" t="str">
        <f>VLOOKUP(G1753,'insumos terrapl'!$C$3:$K$47,3,0)</f>
        <v>2N</v>
      </c>
      <c r="J1753" s="29">
        <f>VLOOKUP(G1753,'insumos terrapl'!$C$3:$K$47,4,0)</f>
        <v>58</v>
      </c>
      <c r="K1753" s="29" t="str">
        <f>VLOOKUP(G1753,'insumos terrapl'!$C$3:$K$47,5,0)</f>
        <v>06</v>
      </c>
      <c r="L1753" s="29" t="str">
        <f>VLOOKUP(G1753,'insumos terrapl'!$C$3:$K$47,6,0)</f>
        <v>00</v>
      </c>
      <c r="M1753" s="29" t="str">
        <f>VLOOKUP(G1753,'insumos terrapl'!$C$3:$K$47,7,0)</f>
        <v>00</v>
      </c>
      <c r="N1753" s="29" t="str">
        <f>VLOOKUP(G1753,'insumos terrapl'!$C$3:$K$47,8,0)</f>
        <v>00</v>
      </c>
      <c r="O1753" s="97" t="str">
        <f>VLOOKUP(G1753,'insumos terrapl'!$C$3:$K$47,9,0)</f>
        <v>00</v>
      </c>
    </row>
    <row r="1754" spans="1:15">
      <c r="A1754" s="134"/>
      <c r="B1754" s="137"/>
      <c r="C1754" s="132"/>
      <c r="D1754" s="116"/>
      <c r="E1754" s="116"/>
      <c r="F1754" s="13"/>
      <c r="G1754" s="21"/>
      <c r="H1754" s="31"/>
      <c r="I1754" s="31"/>
      <c r="J1754" s="31"/>
      <c r="K1754" s="31"/>
      <c r="L1754" s="31"/>
      <c r="M1754" s="31"/>
      <c r="N1754" s="31"/>
      <c r="O1754" s="98"/>
    </row>
    <row r="1755" spans="1:15">
      <c r="A1755" s="134"/>
      <c r="B1755" s="137"/>
      <c r="C1755" s="124" t="s">
        <v>267</v>
      </c>
      <c r="D1755" s="114" t="str">
        <f>$A$1095</f>
        <v>2.6.8</v>
      </c>
      <c r="E1755" s="115" t="s">
        <v>525</v>
      </c>
      <c r="F1755" s="11" t="s">
        <v>267</v>
      </c>
      <c r="G1755" s="20"/>
      <c r="H1755" s="29"/>
      <c r="I1755" s="29"/>
      <c r="J1755" s="29"/>
      <c r="K1755" s="29"/>
      <c r="L1755" s="29"/>
      <c r="M1755" s="29"/>
      <c r="N1755" s="29"/>
      <c r="O1755" s="97"/>
    </row>
    <row r="1756" spans="1:15" ht="30">
      <c r="A1756" s="134"/>
      <c r="B1756" s="137"/>
      <c r="C1756" s="125"/>
      <c r="D1756" s="115"/>
      <c r="E1756" s="115"/>
      <c r="F1756" s="11" t="s">
        <v>659</v>
      </c>
      <c r="G1756" s="20" t="s">
        <v>660</v>
      </c>
      <c r="H1756" s="29" t="str">
        <f>VLOOKUP(G1756,'insumos terrapl'!$C$3:$K$47,2,0)</f>
        <v>2Q  66  10  02  00  00  00</v>
      </c>
      <c r="I1756" s="29" t="str">
        <f>VLOOKUP(G1756,'insumos terrapl'!$C$3:$K$47,3,0)</f>
        <v>2Q</v>
      </c>
      <c r="J1756" s="29">
        <f>VLOOKUP(G1756,'insumos terrapl'!$C$3:$K$47,4,0)</f>
        <v>66</v>
      </c>
      <c r="K1756" s="29" t="str">
        <f>VLOOKUP(G1756,'insumos terrapl'!$C$3:$K$47,5,0)</f>
        <v>10</v>
      </c>
      <c r="L1756" s="29" t="str">
        <f>VLOOKUP(G1756,'insumos terrapl'!$C$3:$K$47,6,0)</f>
        <v>02</v>
      </c>
      <c r="M1756" s="29" t="str">
        <f>VLOOKUP(G1756,'insumos terrapl'!$C$3:$K$47,7,0)</f>
        <v>00</v>
      </c>
      <c r="N1756" s="29" t="str">
        <f>VLOOKUP(G1756,'insumos terrapl'!$C$3:$K$47,8,0)</f>
        <v>00</v>
      </c>
      <c r="O1756" s="97" t="str">
        <f>VLOOKUP(G1756,'insumos terrapl'!$C$3:$K$47,9,0)</f>
        <v>00</v>
      </c>
    </row>
    <row r="1757" spans="1:15" ht="30">
      <c r="A1757" s="134"/>
      <c r="B1757" s="137"/>
      <c r="C1757" s="125"/>
      <c r="D1757" s="115"/>
      <c r="E1757" s="115"/>
      <c r="F1757" s="11" t="s">
        <v>661</v>
      </c>
      <c r="G1757" s="20" t="s">
        <v>662</v>
      </c>
      <c r="H1757" s="29" t="str">
        <f>VLOOKUP(G1757,'insumos terrapl'!$C$3:$K$47,2,0)</f>
        <v>2Q  62  10  06  00  00  00</v>
      </c>
      <c r="I1757" s="29" t="str">
        <f>VLOOKUP(G1757,'insumos terrapl'!$C$3:$K$47,3,0)</f>
        <v>2Q</v>
      </c>
      <c r="J1757" s="29">
        <f>VLOOKUP(G1757,'insumos terrapl'!$C$3:$K$47,4,0)</f>
        <v>62</v>
      </c>
      <c r="K1757" s="29" t="str">
        <f>VLOOKUP(G1757,'insumos terrapl'!$C$3:$K$47,5,0)</f>
        <v>10</v>
      </c>
      <c r="L1757" s="29" t="str">
        <f>VLOOKUP(G1757,'insumos terrapl'!$C$3:$K$47,6,0)</f>
        <v>06</v>
      </c>
      <c r="M1757" s="29" t="str">
        <f>VLOOKUP(G1757,'insumos terrapl'!$C$3:$K$47,7,0)</f>
        <v>00</v>
      </c>
      <c r="N1757" s="29" t="str">
        <f>VLOOKUP(G1757,'insumos terrapl'!$C$3:$K$47,8,0)</f>
        <v>00</v>
      </c>
      <c r="O1757" s="97" t="str">
        <f>VLOOKUP(G1757,'insumos terrapl'!$C$3:$K$47,9,0)</f>
        <v>00</v>
      </c>
    </row>
    <row r="1758" spans="1:15" ht="30">
      <c r="A1758" s="134"/>
      <c r="B1758" s="137"/>
      <c r="C1758" s="125"/>
      <c r="D1758" s="115"/>
      <c r="E1758" s="115"/>
      <c r="F1758" s="11" t="s">
        <v>607</v>
      </c>
      <c r="G1758" s="20" t="s">
        <v>608</v>
      </c>
      <c r="H1758" s="29" t="str">
        <f>VLOOKUP(G1758,'insumos terrapl'!$C$3:$K$47,2,0)</f>
        <v>2Q  42  06  18  02  02  00</v>
      </c>
      <c r="I1758" s="29" t="str">
        <f>VLOOKUP(G1758,'insumos terrapl'!$C$3:$K$47,3,0)</f>
        <v>2Q</v>
      </c>
      <c r="J1758" s="29">
        <f>VLOOKUP(G1758,'insumos terrapl'!$C$3:$K$47,4,0)</f>
        <v>42</v>
      </c>
      <c r="K1758" s="29" t="str">
        <f>VLOOKUP(G1758,'insumos terrapl'!$C$3:$K$47,5,0)</f>
        <v>06</v>
      </c>
      <c r="L1758" s="29">
        <f>VLOOKUP(G1758,'insumos terrapl'!$C$3:$K$47,6,0)</f>
        <v>18</v>
      </c>
      <c r="M1758" s="29" t="str">
        <f>VLOOKUP(G1758,'insumos terrapl'!$C$3:$K$47,7,0)</f>
        <v>02</v>
      </c>
      <c r="N1758" s="29" t="str">
        <f>VLOOKUP(G1758,'insumos terrapl'!$C$3:$K$47,8,0)</f>
        <v>02</v>
      </c>
      <c r="O1758" s="97" t="str">
        <f>VLOOKUP(G1758,'insumos terrapl'!$C$3:$K$47,9,0)</f>
        <v>00</v>
      </c>
    </row>
    <row r="1759" spans="1:15" ht="45">
      <c r="A1759" s="134"/>
      <c r="B1759" s="137"/>
      <c r="C1759" s="125"/>
      <c r="D1759" s="115"/>
      <c r="E1759" s="115"/>
      <c r="F1759" s="11" t="s">
        <v>609</v>
      </c>
      <c r="G1759" s="20" t="s">
        <v>610</v>
      </c>
      <c r="H1759" s="29" t="str">
        <f>VLOOKUP(G1759,'insumos terrapl'!$C$3:$K$47,2,0)</f>
        <v>2Q  42  06  02  14  02  00</v>
      </c>
      <c r="I1759" s="29" t="str">
        <f>VLOOKUP(G1759,'insumos terrapl'!$C$3:$K$47,3,0)</f>
        <v>2Q</v>
      </c>
      <c r="J1759" s="29">
        <f>VLOOKUP(G1759,'insumos terrapl'!$C$3:$K$47,4,0)</f>
        <v>42</v>
      </c>
      <c r="K1759" s="29" t="str">
        <f>VLOOKUP(G1759,'insumos terrapl'!$C$3:$K$47,5,0)</f>
        <v>06</v>
      </c>
      <c r="L1759" s="29" t="str">
        <f>VLOOKUP(G1759,'insumos terrapl'!$C$3:$K$47,6,0)</f>
        <v>02</v>
      </c>
      <c r="M1759" s="29" t="str">
        <f>VLOOKUP(G1759,'insumos terrapl'!$C$3:$K$47,7,0)</f>
        <v>14</v>
      </c>
      <c r="N1759" s="29" t="str">
        <f>VLOOKUP(G1759,'insumos terrapl'!$C$3:$K$47,8,0)</f>
        <v>02</v>
      </c>
      <c r="O1759" s="97" t="str">
        <f>VLOOKUP(G1759,'insumos terrapl'!$C$3:$K$47,9,0)</f>
        <v>00</v>
      </c>
    </row>
    <row r="1760" spans="1:15">
      <c r="A1760" s="134"/>
      <c r="B1760" s="137"/>
      <c r="C1760" s="125"/>
      <c r="D1760" s="115"/>
      <c r="E1760" s="115"/>
      <c r="F1760" s="11" t="s">
        <v>633</v>
      </c>
      <c r="G1760" s="20" t="s">
        <v>634</v>
      </c>
      <c r="H1760" s="29" t="str">
        <f>VLOOKUP(G1760,'insumos terrapl'!$C$3:$K$47,2,0)</f>
        <v>2Q  58  10  10  02  06  00</v>
      </c>
      <c r="I1760" s="29" t="str">
        <f>VLOOKUP(G1760,'insumos terrapl'!$C$3:$K$47,3,0)</f>
        <v>2Q</v>
      </c>
      <c r="J1760" s="29">
        <f>VLOOKUP(G1760,'insumos terrapl'!$C$3:$K$47,4,0)</f>
        <v>58</v>
      </c>
      <c r="K1760" s="29" t="str">
        <f>VLOOKUP(G1760,'insumos terrapl'!$C$3:$K$47,5,0)</f>
        <v>10</v>
      </c>
      <c r="L1760" s="29" t="str">
        <f>VLOOKUP(G1760,'insumos terrapl'!$C$3:$K$47,6,0)</f>
        <v>10</v>
      </c>
      <c r="M1760" s="29" t="str">
        <f>VLOOKUP(G1760,'insumos terrapl'!$C$3:$K$47,7,0)</f>
        <v>02</v>
      </c>
      <c r="N1760" s="29" t="str">
        <f>VLOOKUP(G1760,'insumos terrapl'!$C$3:$K$47,8,0)</f>
        <v>06</v>
      </c>
      <c r="O1760" s="97" t="str">
        <f>VLOOKUP(G1760,'insumos terrapl'!$C$3:$K$47,9,0)</f>
        <v>00</v>
      </c>
    </row>
    <row r="1761" spans="1:15">
      <c r="A1761" s="134"/>
      <c r="B1761" s="137"/>
      <c r="C1761" s="125"/>
      <c r="D1761" s="115"/>
      <c r="E1761" s="115"/>
      <c r="F1761" s="11" t="s">
        <v>586</v>
      </c>
      <c r="G1761" s="20" t="s">
        <v>587</v>
      </c>
      <c r="H1761" s="29" t="str">
        <f>VLOOKUP(G1761,'insumos terrapl'!$C$3:$K$47,2,0)</f>
        <v>2Q  62  30  02  14  00  00</v>
      </c>
      <c r="I1761" s="29" t="str">
        <f>VLOOKUP(G1761,'insumos terrapl'!$C$3:$K$47,3,0)</f>
        <v>2Q</v>
      </c>
      <c r="J1761" s="29">
        <f>VLOOKUP(G1761,'insumos terrapl'!$C$3:$K$47,4,0)</f>
        <v>62</v>
      </c>
      <c r="K1761" s="29">
        <f>VLOOKUP(G1761,'insumos terrapl'!$C$3:$K$47,5,0)</f>
        <v>30</v>
      </c>
      <c r="L1761" s="29" t="str">
        <f>VLOOKUP(G1761,'insumos terrapl'!$C$3:$K$47,6,0)</f>
        <v>02</v>
      </c>
      <c r="M1761" s="29" t="str">
        <f>VLOOKUP(G1761,'insumos terrapl'!$C$3:$K$47,7,0)</f>
        <v>14</v>
      </c>
      <c r="N1761" s="29" t="str">
        <f>VLOOKUP(G1761,'insumos terrapl'!$C$3:$K$47,8,0)</f>
        <v>00</v>
      </c>
      <c r="O1761" s="97" t="str">
        <f>VLOOKUP(G1761,'insumos terrapl'!$C$3:$K$47,9,0)</f>
        <v>00</v>
      </c>
    </row>
    <row r="1762" spans="1:15">
      <c r="A1762" s="134"/>
      <c r="B1762" s="137"/>
      <c r="C1762" s="125"/>
      <c r="D1762" s="115"/>
      <c r="E1762" s="115"/>
      <c r="F1762" s="11" t="s">
        <v>613</v>
      </c>
      <c r="G1762" s="20" t="s">
        <v>614</v>
      </c>
      <c r="H1762" s="29" t="str">
        <f>VLOOKUP(G1762,'insumos terrapl'!$C$3:$K$47,2,0)</f>
        <v>2N  20  14  02  00  00  00</v>
      </c>
      <c r="I1762" s="29" t="str">
        <f>VLOOKUP(G1762,'insumos terrapl'!$C$3:$K$47,3,0)</f>
        <v>2N</v>
      </c>
      <c r="J1762" s="29">
        <f>VLOOKUP(G1762,'insumos terrapl'!$C$3:$K$47,4,0)</f>
        <v>20</v>
      </c>
      <c r="K1762" s="29" t="str">
        <f>VLOOKUP(G1762,'insumos terrapl'!$C$3:$K$47,5,0)</f>
        <v>14</v>
      </c>
      <c r="L1762" s="29" t="str">
        <f>VLOOKUP(G1762,'insumos terrapl'!$C$3:$K$47,6,0)</f>
        <v>02</v>
      </c>
      <c r="M1762" s="29" t="str">
        <f>VLOOKUP(G1762,'insumos terrapl'!$C$3:$K$47,7,0)</f>
        <v>00</v>
      </c>
      <c r="N1762" s="29" t="str">
        <f>VLOOKUP(G1762,'insumos terrapl'!$C$3:$K$47,8,0)</f>
        <v>00</v>
      </c>
      <c r="O1762" s="97" t="str">
        <f>VLOOKUP(G1762,'insumos terrapl'!$C$3:$K$47,9,0)</f>
        <v>00</v>
      </c>
    </row>
    <row r="1763" spans="1:15">
      <c r="A1763" s="134"/>
      <c r="B1763" s="137"/>
      <c r="C1763" s="125"/>
      <c r="D1763" s="115"/>
      <c r="E1763" s="115"/>
      <c r="F1763" s="11" t="s">
        <v>615</v>
      </c>
      <c r="G1763" s="20" t="s">
        <v>616</v>
      </c>
      <c r="H1763" s="29" t="str">
        <f>VLOOKUP(G1763,'insumos terrapl'!$C$3:$K$47,2,0)</f>
        <v>2N  20  14  02  00  00  00</v>
      </c>
      <c r="I1763" s="29" t="str">
        <f>VLOOKUP(G1763,'insumos terrapl'!$C$3:$K$47,3,0)</f>
        <v>2N</v>
      </c>
      <c r="J1763" s="29">
        <f>VLOOKUP(G1763,'insumos terrapl'!$C$3:$K$47,4,0)</f>
        <v>20</v>
      </c>
      <c r="K1763" s="29" t="str">
        <f>VLOOKUP(G1763,'insumos terrapl'!$C$3:$K$47,5,0)</f>
        <v>14</v>
      </c>
      <c r="L1763" s="29" t="str">
        <f>VLOOKUP(G1763,'insumos terrapl'!$C$3:$K$47,6,0)</f>
        <v>02</v>
      </c>
      <c r="M1763" s="29" t="str">
        <f>VLOOKUP(G1763,'insumos terrapl'!$C$3:$K$47,7,0)</f>
        <v>00</v>
      </c>
      <c r="N1763" s="29" t="str">
        <f>VLOOKUP(G1763,'insumos terrapl'!$C$3:$K$47,8,0)</f>
        <v>00</v>
      </c>
      <c r="O1763" s="97" t="str">
        <f>VLOOKUP(G1763,'insumos terrapl'!$C$3:$K$47,9,0)</f>
        <v>00</v>
      </c>
    </row>
    <row r="1764" spans="1:15" ht="30">
      <c r="A1764" s="134"/>
      <c r="B1764" s="137"/>
      <c r="C1764" s="125"/>
      <c r="D1764" s="115"/>
      <c r="E1764" s="115"/>
      <c r="F1764" s="11" t="s">
        <v>635</v>
      </c>
      <c r="G1764" s="20" t="s">
        <v>636</v>
      </c>
      <c r="H1764" s="29" t="str">
        <f>VLOOKUP(G1764,'insumos terrapl'!$C$3:$K$47,2,0)</f>
        <v>2N  58  06  00  00  00  00</v>
      </c>
      <c r="I1764" s="29" t="str">
        <f>VLOOKUP(G1764,'insumos terrapl'!$C$3:$K$47,3,0)</f>
        <v>2N</v>
      </c>
      <c r="J1764" s="29">
        <f>VLOOKUP(G1764,'insumos terrapl'!$C$3:$K$47,4,0)</f>
        <v>58</v>
      </c>
      <c r="K1764" s="29" t="str">
        <f>VLOOKUP(G1764,'insumos terrapl'!$C$3:$K$47,5,0)</f>
        <v>06</v>
      </c>
      <c r="L1764" s="29" t="str">
        <f>VLOOKUP(G1764,'insumos terrapl'!$C$3:$K$47,6,0)</f>
        <v>00</v>
      </c>
      <c r="M1764" s="29" t="str">
        <f>VLOOKUP(G1764,'insumos terrapl'!$C$3:$K$47,7,0)</f>
        <v>00</v>
      </c>
      <c r="N1764" s="29" t="str">
        <f>VLOOKUP(G1764,'insumos terrapl'!$C$3:$K$47,8,0)</f>
        <v>00</v>
      </c>
      <c r="O1764" s="97" t="str">
        <f>VLOOKUP(G1764,'insumos terrapl'!$C$3:$K$47,9,0)</f>
        <v>00</v>
      </c>
    </row>
    <row r="1765" spans="1:15">
      <c r="A1765" s="134"/>
      <c r="B1765" s="137"/>
      <c r="C1765" s="125"/>
      <c r="D1765" s="115"/>
      <c r="E1765" s="115"/>
      <c r="F1765" s="11" t="s">
        <v>617</v>
      </c>
      <c r="G1765" s="20" t="s">
        <v>618</v>
      </c>
      <c r="H1765" s="29" t="str">
        <f>VLOOKUP(G1765,'insumos terrapl'!$C$3:$K$47,2,0)</f>
        <v>2Q  58  06  02  28  00  00</v>
      </c>
      <c r="I1765" s="29" t="str">
        <f>VLOOKUP(G1765,'insumos terrapl'!$C$3:$K$47,3,0)</f>
        <v>2Q</v>
      </c>
      <c r="J1765" s="29">
        <f>VLOOKUP(G1765,'insumos terrapl'!$C$3:$K$47,4,0)</f>
        <v>58</v>
      </c>
      <c r="K1765" s="29" t="str">
        <f>VLOOKUP(G1765,'insumos terrapl'!$C$3:$K$47,5,0)</f>
        <v>06</v>
      </c>
      <c r="L1765" s="29" t="str">
        <f>VLOOKUP(G1765,'insumos terrapl'!$C$3:$K$47,6,0)</f>
        <v>02</v>
      </c>
      <c r="M1765" s="29" t="str">
        <f>VLOOKUP(G1765,'insumos terrapl'!$C$3:$K$47,7,0)</f>
        <v>28</v>
      </c>
      <c r="N1765" s="29" t="str">
        <f>VLOOKUP(G1765,'insumos terrapl'!$C$3:$K$47,8,0)</f>
        <v>00</v>
      </c>
      <c r="O1765" s="97" t="str">
        <f>VLOOKUP(G1765,'insumos terrapl'!$C$3:$K$47,9,0)</f>
        <v>00</v>
      </c>
    </row>
    <row r="1766" spans="1:15" ht="30">
      <c r="A1766" s="134"/>
      <c r="B1766" s="137"/>
      <c r="C1766" s="125"/>
      <c r="D1766" s="115"/>
      <c r="E1766" s="115"/>
      <c r="F1766" s="11" t="s">
        <v>637</v>
      </c>
      <c r="G1766" s="20" t="s">
        <v>638</v>
      </c>
      <c r="H1766" s="29" t="str">
        <f>VLOOKUP(G1766,'insumos terrapl'!$C$3:$K$47,2,0)</f>
        <v>2N  58  06  00  00  00  00</v>
      </c>
      <c r="I1766" s="29" t="str">
        <f>VLOOKUP(G1766,'insumos terrapl'!$C$3:$K$47,3,0)</f>
        <v>2N</v>
      </c>
      <c r="J1766" s="29">
        <f>VLOOKUP(G1766,'insumos terrapl'!$C$3:$K$47,4,0)</f>
        <v>58</v>
      </c>
      <c r="K1766" s="29" t="str">
        <f>VLOOKUP(G1766,'insumos terrapl'!$C$3:$K$47,5,0)</f>
        <v>06</v>
      </c>
      <c r="L1766" s="29" t="str">
        <f>VLOOKUP(G1766,'insumos terrapl'!$C$3:$K$47,6,0)</f>
        <v>00</v>
      </c>
      <c r="M1766" s="29" t="str">
        <f>VLOOKUP(G1766,'insumos terrapl'!$C$3:$K$47,7,0)</f>
        <v>00</v>
      </c>
      <c r="N1766" s="29" t="str">
        <f>VLOOKUP(G1766,'insumos terrapl'!$C$3:$K$47,8,0)</f>
        <v>00</v>
      </c>
      <c r="O1766" s="97" t="str">
        <f>VLOOKUP(G1766,'insumos terrapl'!$C$3:$K$47,9,0)</f>
        <v>00</v>
      </c>
    </row>
    <row r="1767" spans="1:15" ht="30">
      <c r="A1767" s="134"/>
      <c r="B1767" s="137"/>
      <c r="C1767" s="125"/>
      <c r="D1767" s="115"/>
      <c r="E1767" s="115"/>
      <c r="F1767" s="11" t="s">
        <v>639</v>
      </c>
      <c r="G1767" s="20" t="s">
        <v>640</v>
      </c>
      <c r="H1767" s="29" t="str">
        <f>VLOOKUP(G1767,'insumos terrapl'!$C$3:$K$47,2,0)</f>
        <v>2N  58  06  00  00  00  00</v>
      </c>
      <c r="I1767" s="29" t="str">
        <f>VLOOKUP(G1767,'insumos terrapl'!$C$3:$K$47,3,0)</f>
        <v>2N</v>
      </c>
      <c r="J1767" s="29">
        <f>VLOOKUP(G1767,'insumos terrapl'!$C$3:$K$47,4,0)</f>
        <v>58</v>
      </c>
      <c r="K1767" s="29" t="str">
        <f>VLOOKUP(G1767,'insumos terrapl'!$C$3:$K$47,5,0)</f>
        <v>06</v>
      </c>
      <c r="L1767" s="29" t="str">
        <f>VLOOKUP(G1767,'insumos terrapl'!$C$3:$K$47,6,0)</f>
        <v>00</v>
      </c>
      <c r="M1767" s="29" t="str">
        <f>VLOOKUP(G1767,'insumos terrapl'!$C$3:$K$47,7,0)</f>
        <v>00</v>
      </c>
      <c r="N1767" s="29" t="str">
        <f>VLOOKUP(G1767,'insumos terrapl'!$C$3:$K$47,8,0)</f>
        <v>00</v>
      </c>
      <c r="O1767" s="97" t="str">
        <f>VLOOKUP(G1767,'insumos terrapl'!$C$3:$K$47,9,0)</f>
        <v>00</v>
      </c>
    </row>
    <row r="1768" spans="1:15">
      <c r="A1768" s="134"/>
      <c r="B1768" s="137"/>
      <c r="C1768" s="125"/>
      <c r="D1768" s="115"/>
      <c r="E1768" s="115"/>
      <c r="F1768" s="11" t="s">
        <v>641</v>
      </c>
      <c r="G1768" s="20" t="s">
        <v>642</v>
      </c>
      <c r="H1768" s="29" t="str">
        <f>VLOOKUP(G1768,'insumos terrapl'!$C$3:$K$47,2,0)</f>
        <v>2N  58  06  00  00  00  00</v>
      </c>
      <c r="I1768" s="29" t="str">
        <f>VLOOKUP(G1768,'insumos terrapl'!$C$3:$K$47,3,0)</f>
        <v>2N</v>
      </c>
      <c r="J1768" s="29">
        <f>VLOOKUP(G1768,'insumos terrapl'!$C$3:$K$47,4,0)</f>
        <v>58</v>
      </c>
      <c r="K1768" s="29" t="str">
        <f>VLOOKUP(G1768,'insumos terrapl'!$C$3:$K$47,5,0)</f>
        <v>06</v>
      </c>
      <c r="L1768" s="29" t="str">
        <f>VLOOKUP(G1768,'insumos terrapl'!$C$3:$K$47,6,0)</f>
        <v>00</v>
      </c>
      <c r="M1768" s="29" t="str">
        <f>VLOOKUP(G1768,'insumos terrapl'!$C$3:$K$47,7,0)</f>
        <v>00</v>
      </c>
      <c r="N1768" s="29" t="str">
        <f>VLOOKUP(G1768,'insumos terrapl'!$C$3:$K$47,8,0)</f>
        <v>00</v>
      </c>
      <c r="O1768" s="97" t="str">
        <f>VLOOKUP(G1768,'insumos terrapl'!$C$3:$K$47,9,0)</f>
        <v>00</v>
      </c>
    </row>
    <row r="1769" spans="1:15">
      <c r="A1769" s="134"/>
      <c r="B1769" s="137"/>
      <c r="C1769" s="125"/>
      <c r="D1769" s="115"/>
      <c r="E1769" s="115"/>
      <c r="F1769" s="11" t="s">
        <v>619</v>
      </c>
      <c r="G1769" s="20" t="s">
        <v>620</v>
      </c>
      <c r="H1769" s="29"/>
      <c r="I1769" s="29"/>
      <c r="J1769" s="29"/>
      <c r="K1769" s="29"/>
      <c r="L1769" s="29"/>
      <c r="M1769" s="29"/>
      <c r="N1769" s="29"/>
      <c r="O1769" s="97"/>
    </row>
    <row r="1770" spans="1:15">
      <c r="A1770" s="134"/>
      <c r="B1770" s="137"/>
      <c r="C1770" s="125"/>
      <c r="D1770" s="115"/>
      <c r="E1770" s="115"/>
      <c r="F1770" s="11" t="s">
        <v>643</v>
      </c>
      <c r="G1770" s="20" t="s">
        <v>644</v>
      </c>
      <c r="H1770" s="29" t="str">
        <f>VLOOKUP(G1770,'insumos terrapl'!$C$3:$K$47,2,0)</f>
        <v>2N  58  06  00  00  00  00</v>
      </c>
      <c r="I1770" s="29" t="str">
        <f>VLOOKUP(G1770,'insumos terrapl'!$C$3:$K$47,3,0)</f>
        <v>2N</v>
      </c>
      <c r="J1770" s="29">
        <f>VLOOKUP(G1770,'insumos terrapl'!$C$3:$K$47,4,0)</f>
        <v>58</v>
      </c>
      <c r="K1770" s="29" t="str">
        <f>VLOOKUP(G1770,'insumos terrapl'!$C$3:$K$47,5,0)</f>
        <v>06</v>
      </c>
      <c r="L1770" s="29" t="str">
        <f>VLOOKUP(G1770,'insumos terrapl'!$C$3:$K$47,6,0)</f>
        <v>00</v>
      </c>
      <c r="M1770" s="29" t="str">
        <f>VLOOKUP(G1770,'insumos terrapl'!$C$3:$K$47,7,0)</f>
        <v>00</v>
      </c>
      <c r="N1770" s="29" t="str">
        <f>VLOOKUP(G1770,'insumos terrapl'!$C$3:$K$47,8,0)</f>
        <v>00</v>
      </c>
      <c r="O1770" s="97" t="str">
        <f>VLOOKUP(G1770,'insumos terrapl'!$C$3:$K$47,9,0)</f>
        <v>00</v>
      </c>
    </row>
    <row r="1771" spans="1:15">
      <c r="A1771" s="134"/>
      <c r="B1771" s="137"/>
      <c r="C1771" s="125"/>
      <c r="D1771" s="115"/>
      <c r="E1771" s="115"/>
      <c r="F1771" s="11" t="s">
        <v>645</v>
      </c>
      <c r="G1771" s="20" t="s">
        <v>646</v>
      </c>
      <c r="H1771" s="29" t="str">
        <f>VLOOKUP(G1771,'insumos terrapl'!$C$3:$K$47,2,0)</f>
        <v>2N  58  06  00  00  00  00</v>
      </c>
      <c r="I1771" s="29" t="str">
        <f>VLOOKUP(G1771,'insumos terrapl'!$C$3:$K$47,3,0)</f>
        <v>2N</v>
      </c>
      <c r="J1771" s="29">
        <f>VLOOKUP(G1771,'insumos terrapl'!$C$3:$K$47,4,0)</f>
        <v>58</v>
      </c>
      <c r="K1771" s="29" t="str">
        <f>VLOOKUP(G1771,'insumos terrapl'!$C$3:$K$47,5,0)</f>
        <v>06</v>
      </c>
      <c r="L1771" s="29" t="str">
        <f>VLOOKUP(G1771,'insumos terrapl'!$C$3:$K$47,6,0)</f>
        <v>00</v>
      </c>
      <c r="M1771" s="29" t="str">
        <f>VLOOKUP(G1771,'insumos terrapl'!$C$3:$K$47,7,0)</f>
        <v>00</v>
      </c>
      <c r="N1771" s="29" t="str">
        <f>VLOOKUP(G1771,'insumos terrapl'!$C$3:$K$47,8,0)</f>
        <v>00</v>
      </c>
      <c r="O1771" s="97" t="str">
        <f>VLOOKUP(G1771,'insumos terrapl'!$C$3:$K$47,9,0)</f>
        <v>00</v>
      </c>
    </row>
    <row r="1772" spans="1:15" ht="30">
      <c r="A1772" s="134"/>
      <c r="B1772" s="137"/>
      <c r="C1772" s="125"/>
      <c r="D1772" s="115"/>
      <c r="E1772" s="115"/>
      <c r="F1772" s="11" t="s">
        <v>647</v>
      </c>
      <c r="G1772" s="20" t="s">
        <v>648</v>
      </c>
      <c r="H1772" s="29" t="str">
        <f>VLOOKUP(G1772,'insumos terrapl'!$C$3:$K$47,2,0)</f>
        <v>2N  58  06  00  00  00  00</v>
      </c>
      <c r="I1772" s="29" t="str">
        <f>VLOOKUP(G1772,'insumos terrapl'!$C$3:$K$47,3,0)</f>
        <v>2N</v>
      </c>
      <c r="J1772" s="29">
        <f>VLOOKUP(G1772,'insumos terrapl'!$C$3:$K$47,4,0)</f>
        <v>58</v>
      </c>
      <c r="K1772" s="29" t="str">
        <f>VLOOKUP(G1772,'insumos terrapl'!$C$3:$K$47,5,0)</f>
        <v>06</v>
      </c>
      <c r="L1772" s="29" t="str">
        <f>VLOOKUP(G1772,'insumos terrapl'!$C$3:$K$47,6,0)</f>
        <v>00</v>
      </c>
      <c r="M1772" s="29" t="str">
        <f>VLOOKUP(G1772,'insumos terrapl'!$C$3:$K$47,7,0)</f>
        <v>00</v>
      </c>
      <c r="N1772" s="29" t="str">
        <f>VLOOKUP(G1772,'insumos terrapl'!$C$3:$K$47,8,0)</f>
        <v>00</v>
      </c>
      <c r="O1772" s="97" t="str">
        <f>VLOOKUP(G1772,'insumos terrapl'!$C$3:$K$47,9,0)</f>
        <v>00</v>
      </c>
    </row>
    <row r="1773" spans="1:15">
      <c r="A1773" s="134"/>
      <c r="B1773" s="137"/>
      <c r="C1773" s="125"/>
      <c r="D1773" s="115"/>
      <c r="E1773" s="115"/>
      <c r="F1773" s="11" t="s">
        <v>621</v>
      </c>
      <c r="G1773" s="20" t="s">
        <v>622</v>
      </c>
      <c r="H1773" s="29" t="str">
        <f>VLOOKUP(G1773,'insumos terrapl'!$C$3:$K$47,2,0)</f>
        <v>2N  58  06  00  00  00  00</v>
      </c>
      <c r="I1773" s="29" t="str">
        <f>VLOOKUP(G1773,'insumos terrapl'!$C$3:$K$47,3,0)</f>
        <v>2N</v>
      </c>
      <c r="J1773" s="29">
        <f>VLOOKUP(G1773,'insumos terrapl'!$C$3:$K$47,4,0)</f>
        <v>58</v>
      </c>
      <c r="K1773" s="29" t="str">
        <f>VLOOKUP(G1773,'insumos terrapl'!$C$3:$K$47,5,0)</f>
        <v>06</v>
      </c>
      <c r="L1773" s="29" t="str">
        <f>VLOOKUP(G1773,'insumos terrapl'!$C$3:$K$47,6,0)</f>
        <v>00</v>
      </c>
      <c r="M1773" s="29" t="str">
        <f>VLOOKUP(G1773,'insumos terrapl'!$C$3:$K$47,7,0)</f>
        <v>00</v>
      </c>
      <c r="N1773" s="29" t="str">
        <f>VLOOKUP(G1773,'insumos terrapl'!$C$3:$K$47,8,0)</f>
        <v>00</v>
      </c>
      <c r="O1773" s="97" t="str">
        <f>VLOOKUP(G1773,'insumos terrapl'!$C$3:$K$47,9,0)</f>
        <v>00</v>
      </c>
    </row>
    <row r="1774" spans="1:15">
      <c r="A1774" s="134"/>
      <c r="B1774" s="137"/>
      <c r="C1774" s="132"/>
      <c r="D1774" s="116"/>
      <c r="E1774" s="115"/>
      <c r="F1774" s="10"/>
      <c r="G1774" s="20"/>
      <c r="H1774" s="29"/>
      <c r="I1774" s="29"/>
      <c r="J1774" s="29"/>
      <c r="K1774" s="29"/>
      <c r="L1774" s="29"/>
      <c r="M1774" s="29"/>
      <c r="N1774" s="29"/>
      <c r="O1774" s="97"/>
    </row>
    <row r="1775" spans="1:15">
      <c r="A1775" s="134"/>
      <c r="B1775" s="137"/>
      <c r="C1775" s="124" t="s">
        <v>268</v>
      </c>
      <c r="D1775" s="114" t="str">
        <f>$A$1095</f>
        <v>2.6.8</v>
      </c>
      <c r="E1775" s="114" t="s">
        <v>526</v>
      </c>
      <c r="F1775" s="12" t="s">
        <v>268</v>
      </c>
      <c r="G1775" s="19"/>
      <c r="H1775" s="28"/>
      <c r="I1775" s="28"/>
      <c r="J1775" s="28"/>
      <c r="K1775" s="28"/>
      <c r="L1775" s="28"/>
      <c r="M1775" s="28"/>
      <c r="N1775" s="28"/>
      <c r="O1775" s="99"/>
    </row>
    <row r="1776" spans="1:15" ht="30">
      <c r="A1776" s="134"/>
      <c r="B1776" s="137"/>
      <c r="C1776" s="125"/>
      <c r="D1776" s="115"/>
      <c r="E1776" s="115"/>
      <c r="F1776" s="11" t="s">
        <v>659</v>
      </c>
      <c r="G1776" s="20" t="s">
        <v>660</v>
      </c>
      <c r="H1776" s="29" t="str">
        <f>VLOOKUP(G1776,'insumos terrapl'!$C$3:$K$47,2,0)</f>
        <v>2Q  66  10  02  00  00  00</v>
      </c>
      <c r="I1776" s="29" t="str">
        <f>VLOOKUP(G1776,'insumos terrapl'!$C$3:$K$47,3,0)</f>
        <v>2Q</v>
      </c>
      <c r="J1776" s="29">
        <f>VLOOKUP(G1776,'insumos terrapl'!$C$3:$K$47,4,0)</f>
        <v>66</v>
      </c>
      <c r="K1776" s="29" t="str">
        <f>VLOOKUP(G1776,'insumos terrapl'!$C$3:$K$47,5,0)</f>
        <v>10</v>
      </c>
      <c r="L1776" s="29" t="str">
        <f>VLOOKUP(G1776,'insumos terrapl'!$C$3:$K$47,6,0)</f>
        <v>02</v>
      </c>
      <c r="M1776" s="29" t="str">
        <f>VLOOKUP(G1776,'insumos terrapl'!$C$3:$K$47,7,0)</f>
        <v>00</v>
      </c>
      <c r="N1776" s="29" t="str">
        <f>VLOOKUP(G1776,'insumos terrapl'!$C$3:$K$47,8,0)</f>
        <v>00</v>
      </c>
      <c r="O1776" s="97" t="str">
        <f>VLOOKUP(G1776,'insumos terrapl'!$C$3:$K$47,9,0)</f>
        <v>00</v>
      </c>
    </row>
    <row r="1777" spans="1:15" ht="30">
      <c r="A1777" s="134"/>
      <c r="B1777" s="137"/>
      <c r="C1777" s="125"/>
      <c r="D1777" s="115"/>
      <c r="E1777" s="115"/>
      <c r="F1777" s="11" t="s">
        <v>661</v>
      </c>
      <c r="G1777" s="20" t="s">
        <v>662</v>
      </c>
      <c r="H1777" s="29" t="str">
        <f>VLOOKUP(G1777,'insumos terrapl'!$C$3:$K$47,2,0)</f>
        <v>2Q  62  10  06  00  00  00</v>
      </c>
      <c r="I1777" s="29" t="str">
        <f>VLOOKUP(G1777,'insumos terrapl'!$C$3:$K$47,3,0)</f>
        <v>2Q</v>
      </c>
      <c r="J1777" s="29">
        <f>VLOOKUP(G1777,'insumos terrapl'!$C$3:$K$47,4,0)</f>
        <v>62</v>
      </c>
      <c r="K1777" s="29" t="str">
        <f>VLOOKUP(G1777,'insumos terrapl'!$C$3:$K$47,5,0)</f>
        <v>10</v>
      </c>
      <c r="L1777" s="29" t="str">
        <f>VLOOKUP(G1777,'insumos terrapl'!$C$3:$K$47,6,0)</f>
        <v>06</v>
      </c>
      <c r="M1777" s="29" t="str">
        <f>VLOOKUP(G1777,'insumos terrapl'!$C$3:$K$47,7,0)</f>
        <v>00</v>
      </c>
      <c r="N1777" s="29" t="str">
        <f>VLOOKUP(G1777,'insumos terrapl'!$C$3:$K$47,8,0)</f>
        <v>00</v>
      </c>
      <c r="O1777" s="97" t="str">
        <f>VLOOKUP(G1777,'insumos terrapl'!$C$3:$K$47,9,0)</f>
        <v>00</v>
      </c>
    </row>
    <row r="1778" spans="1:15" ht="30">
      <c r="A1778" s="134"/>
      <c r="B1778" s="137"/>
      <c r="C1778" s="125"/>
      <c r="D1778" s="115"/>
      <c r="E1778" s="115"/>
      <c r="F1778" s="11" t="s">
        <v>607</v>
      </c>
      <c r="G1778" s="20" t="s">
        <v>608</v>
      </c>
      <c r="H1778" s="29" t="str">
        <f>VLOOKUP(G1778,'insumos terrapl'!$C$3:$K$47,2,0)</f>
        <v>2Q  42  06  18  02  02  00</v>
      </c>
      <c r="I1778" s="29" t="str">
        <f>VLOOKUP(G1778,'insumos terrapl'!$C$3:$K$47,3,0)</f>
        <v>2Q</v>
      </c>
      <c r="J1778" s="29">
        <f>VLOOKUP(G1778,'insumos terrapl'!$C$3:$K$47,4,0)</f>
        <v>42</v>
      </c>
      <c r="K1778" s="29" t="str">
        <f>VLOOKUP(G1778,'insumos terrapl'!$C$3:$K$47,5,0)</f>
        <v>06</v>
      </c>
      <c r="L1778" s="29">
        <f>VLOOKUP(G1778,'insumos terrapl'!$C$3:$K$47,6,0)</f>
        <v>18</v>
      </c>
      <c r="M1778" s="29" t="str">
        <f>VLOOKUP(G1778,'insumos terrapl'!$C$3:$K$47,7,0)</f>
        <v>02</v>
      </c>
      <c r="N1778" s="29" t="str">
        <f>VLOOKUP(G1778,'insumos terrapl'!$C$3:$K$47,8,0)</f>
        <v>02</v>
      </c>
      <c r="O1778" s="97" t="str">
        <f>VLOOKUP(G1778,'insumos terrapl'!$C$3:$K$47,9,0)</f>
        <v>00</v>
      </c>
    </row>
    <row r="1779" spans="1:15" ht="45">
      <c r="A1779" s="134"/>
      <c r="B1779" s="137"/>
      <c r="C1779" s="125"/>
      <c r="D1779" s="115"/>
      <c r="E1779" s="115"/>
      <c r="F1779" s="11" t="s">
        <v>609</v>
      </c>
      <c r="G1779" s="20" t="s">
        <v>610</v>
      </c>
      <c r="H1779" s="29" t="str">
        <f>VLOOKUP(G1779,'insumos terrapl'!$C$3:$K$47,2,0)</f>
        <v>2Q  42  06  02  14  02  00</v>
      </c>
      <c r="I1779" s="29" t="str">
        <f>VLOOKUP(G1779,'insumos terrapl'!$C$3:$K$47,3,0)</f>
        <v>2Q</v>
      </c>
      <c r="J1779" s="29">
        <f>VLOOKUP(G1779,'insumos terrapl'!$C$3:$K$47,4,0)</f>
        <v>42</v>
      </c>
      <c r="K1779" s="29" t="str">
        <f>VLOOKUP(G1779,'insumos terrapl'!$C$3:$K$47,5,0)</f>
        <v>06</v>
      </c>
      <c r="L1779" s="29" t="str">
        <f>VLOOKUP(G1779,'insumos terrapl'!$C$3:$K$47,6,0)</f>
        <v>02</v>
      </c>
      <c r="M1779" s="29" t="str">
        <f>VLOOKUP(G1779,'insumos terrapl'!$C$3:$K$47,7,0)</f>
        <v>14</v>
      </c>
      <c r="N1779" s="29" t="str">
        <f>VLOOKUP(G1779,'insumos terrapl'!$C$3:$K$47,8,0)</f>
        <v>02</v>
      </c>
      <c r="O1779" s="97" t="str">
        <f>VLOOKUP(G1779,'insumos terrapl'!$C$3:$K$47,9,0)</f>
        <v>00</v>
      </c>
    </row>
    <row r="1780" spans="1:15">
      <c r="A1780" s="134"/>
      <c r="B1780" s="137"/>
      <c r="C1780" s="125"/>
      <c r="D1780" s="115"/>
      <c r="E1780" s="115"/>
      <c r="F1780" s="11" t="s">
        <v>633</v>
      </c>
      <c r="G1780" s="20" t="s">
        <v>634</v>
      </c>
      <c r="H1780" s="29" t="str">
        <f>VLOOKUP(G1780,'insumos terrapl'!$C$3:$K$47,2,0)</f>
        <v>2Q  58  10  10  02  06  00</v>
      </c>
      <c r="I1780" s="29" t="str">
        <f>VLOOKUP(G1780,'insumos terrapl'!$C$3:$K$47,3,0)</f>
        <v>2Q</v>
      </c>
      <c r="J1780" s="29">
        <f>VLOOKUP(G1780,'insumos terrapl'!$C$3:$K$47,4,0)</f>
        <v>58</v>
      </c>
      <c r="K1780" s="29" t="str">
        <f>VLOOKUP(G1780,'insumos terrapl'!$C$3:$K$47,5,0)</f>
        <v>10</v>
      </c>
      <c r="L1780" s="29" t="str">
        <f>VLOOKUP(G1780,'insumos terrapl'!$C$3:$K$47,6,0)</f>
        <v>10</v>
      </c>
      <c r="M1780" s="29" t="str">
        <f>VLOOKUP(G1780,'insumos terrapl'!$C$3:$K$47,7,0)</f>
        <v>02</v>
      </c>
      <c r="N1780" s="29" t="str">
        <f>VLOOKUP(G1780,'insumos terrapl'!$C$3:$K$47,8,0)</f>
        <v>06</v>
      </c>
      <c r="O1780" s="97" t="str">
        <f>VLOOKUP(G1780,'insumos terrapl'!$C$3:$K$47,9,0)</f>
        <v>00</v>
      </c>
    </row>
    <row r="1781" spans="1:15">
      <c r="A1781" s="134"/>
      <c r="B1781" s="137"/>
      <c r="C1781" s="125"/>
      <c r="D1781" s="115"/>
      <c r="E1781" s="115"/>
      <c r="F1781" s="11" t="s">
        <v>586</v>
      </c>
      <c r="G1781" s="20" t="s">
        <v>587</v>
      </c>
      <c r="H1781" s="29" t="str">
        <f>VLOOKUP(G1781,'insumos terrapl'!$C$3:$K$47,2,0)</f>
        <v>2Q  62  30  02  14  00  00</v>
      </c>
      <c r="I1781" s="29" t="str">
        <f>VLOOKUP(G1781,'insumos terrapl'!$C$3:$K$47,3,0)</f>
        <v>2Q</v>
      </c>
      <c r="J1781" s="29">
        <f>VLOOKUP(G1781,'insumos terrapl'!$C$3:$K$47,4,0)</f>
        <v>62</v>
      </c>
      <c r="K1781" s="29">
        <f>VLOOKUP(G1781,'insumos terrapl'!$C$3:$K$47,5,0)</f>
        <v>30</v>
      </c>
      <c r="L1781" s="29" t="str">
        <f>VLOOKUP(G1781,'insumos terrapl'!$C$3:$K$47,6,0)</f>
        <v>02</v>
      </c>
      <c r="M1781" s="29" t="str">
        <f>VLOOKUP(G1781,'insumos terrapl'!$C$3:$K$47,7,0)</f>
        <v>14</v>
      </c>
      <c r="N1781" s="29" t="str">
        <f>VLOOKUP(G1781,'insumos terrapl'!$C$3:$K$47,8,0)</f>
        <v>00</v>
      </c>
      <c r="O1781" s="97" t="str">
        <f>VLOOKUP(G1781,'insumos terrapl'!$C$3:$K$47,9,0)</f>
        <v>00</v>
      </c>
    </row>
    <row r="1782" spans="1:15">
      <c r="A1782" s="134"/>
      <c r="B1782" s="137"/>
      <c r="C1782" s="125"/>
      <c r="D1782" s="115"/>
      <c r="E1782" s="115"/>
      <c r="F1782" s="11" t="s">
        <v>613</v>
      </c>
      <c r="G1782" s="20" t="s">
        <v>614</v>
      </c>
      <c r="H1782" s="29" t="str">
        <f>VLOOKUP(G1782,'insumos terrapl'!$C$3:$K$47,2,0)</f>
        <v>2N  20  14  02  00  00  00</v>
      </c>
      <c r="I1782" s="29" t="str">
        <f>VLOOKUP(G1782,'insumos terrapl'!$C$3:$K$47,3,0)</f>
        <v>2N</v>
      </c>
      <c r="J1782" s="29">
        <f>VLOOKUP(G1782,'insumos terrapl'!$C$3:$K$47,4,0)</f>
        <v>20</v>
      </c>
      <c r="K1782" s="29" t="str">
        <f>VLOOKUP(G1782,'insumos terrapl'!$C$3:$K$47,5,0)</f>
        <v>14</v>
      </c>
      <c r="L1782" s="29" t="str">
        <f>VLOOKUP(G1782,'insumos terrapl'!$C$3:$K$47,6,0)</f>
        <v>02</v>
      </c>
      <c r="M1782" s="29" t="str">
        <f>VLOOKUP(G1782,'insumos terrapl'!$C$3:$K$47,7,0)</f>
        <v>00</v>
      </c>
      <c r="N1782" s="29" t="str">
        <f>VLOOKUP(G1782,'insumos terrapl'!$C$3:$K$47,8,0)</f>
        <v>00</v>
      </c>
      <c r="O1782" s="97" t="str">
        <f>VLOOKUP(G1782,'insumos terrapl'!$C$3:$K$47,9,0)</f>
        <v>00</v>
      </c>
    </row>
    <row r="1783" spans="1:15">
      <c r="A1783" s="134"/>
      <c r="B1783" s="137"/>
      <c r="C1783" s="125"/>
      <c r="D1783" s="115"/>
      <c r="E1783" s="115"/>
      <c r="F1783" s="11" t="s">
        <v>615</v>
      </c>
      <c r="G1783" s="20" t="s">
        <v>616</v>
      </c>
      <c r="H1783" s="29" t="str">
        <f>VLOOKUP(G1783,'insumos terrapl'!$C$3:$K$47,2,0)</f>
        <v>2N  20  14  02  00  00  00</v>
      </c>
      <c r="I1783" s="29" t="str">
        <f>VLOOKUP(G1783,'insumos terrapl'!$C$3:$K$47,3,0)</f>
        <v>2N</v>
      </c>
      <c r="J1783" s="29">
        <f>VLOOKUP(G1783,'insumos terrapl'!$C$3:$K$47,4,0)</f>
        <v>20</v>
      </c>
      <c r="K1783" s="29" t="str">
        <f>VLOOKUP(G1783,'insumos terrapl'!$C$3:$K$47,5,0)</f>
        <v>14</v>
      </c>
      <c r="L1783" s="29" t="str">
        <f>VLOOKUP(G1783,'insumos terrapl'!$C$3:$K$47,6,0)</f>
        <v>02</v>
      </c>
      <c r="M1783" s="29" t="str">
        <f>VLOOKUP(G1783,'insumos terrapl'!$C$3:$K$47,7,0)</f>
        <v>00</v>
      </c>
      <c r="N1783" s="29" t="str">
        <f>VLOOKUP(G1783,'insumos terrapl'!$C$3:$K$47,8,0)</f>
        <v>00</v>
      </c>
      <c r="O1783" s="97" t="str">
        <f>VLOOKUP(G1783,'insumos terrapl'!$C$3:$K$47,9,0)</f>
        <v>00</v>
      </c>
    </row>
    <row r="1784" spans="1:15" ht="30">
      <c r="A1784" s="134"/>
      <c r="B1784" s="137"/>
      <c r="C1784" s="125"/>
      <c r="D1784" s="115"/>
      <c r="E1784" s="115"/>
      <c r="F1784" s="11" t="s">
        <v>635</v>
      </c>
      <c r="G1784" s="20" t="s">
        <v>636</v>
      </c>
      <c r="H1784" s="29" t="str">
        <f>VLOOKUP(G1784,'insumos terrapl'!$C$3:$K$47,2,0)</f>
        <v>2N  58  06  00  00  00  00</v>
      </c>
      <c r="I1784" s="29" t="str">
        <f>VLOOKUP(G1784,'insumos terrapl'!$C$3:$K$47,3,0)</f>
        <v>2N</v>
      </c>
      <c r="J1784" s="29">
        <f>VLOOKUP(G1784,'insumos terrapl'!$C$3:$K$47,4,0)</f>
        <v>58</v>
      </c>
      <c r="K1784" s="29" t="str">
        <f>VLOOKUP(G1784,'insumos terrapl'!$C$3:$K$47,5,0)</f>
        <v>06</v>
      </c>
      <c r="L1784" s="29" t="str">
        <f>VLOOKUP(G1784,'insumos terrapl'!$C$3:$K$47,6,0)</f>
        <v>00</v>
      </c>
      <c r="M1784" s="29" t="str">
        <f>VLOOKUP(G1784,'insumos terrapl'!$C$3:$K$47,7,0)</f>
        <v>00</v>
      </c>
      <c r="N1784" s="29" t="str">
        <f>VLOOKUP(G1784,'insumos terrapl'!$C$3:$K$47,8,0)</f>
        <v>00</v>
      </c>
      <c r="O1784" s="97" t="str">
        <f>VLOOKUP(G1784,'insumos terrapl'!$C$3:$K$47,9,0)</f>
        <v>00</v>
      </c>
    </row>
    <row r="1785" spans="1:15">
      <c r="A1785" s="134"/>
      <c r="B1785" s="137"/>
      <c r="C1785" s="125"/>
      <c r="D1785" s="115"/>
      <c r="E1785" s="115"/>
      <c r="F1785" s="11" t="s">
        <v>617</v>
      </c>
      <c r="G1785" s="20" t="s">
        <v>618</v>
      </c>
      <c r="H1785" s="29" t="str">
        <f>VLOOKUP(G1785,'insumos terrapl'!$C$3:$K$47,2,0)</f>
        <v>2Q  58  06  02  28  00  00</v>
      </c>
      <c r="I1785" s="29" t="str">
        <f>VLOOKUP(G1785,'insumos terrapl'!$C$3:$K$47,3,0)</f>
        <v>2Q</v>
      </c>
      <c r="J1785" s="29">
        <f>VLOOKUP(G1785,'insumos terrapl'!$C$3:$K$47,4,0)</f>
        <v>58</v>
      </c>
      <c r="K1785" s="29" t="str">
        <f>VLOOKUP(G1785,'insumos terrapl'!$C$3:$K$47,5,0)</f>
        <v>06</v>
      </c>
      <c r="L1785" s="29" t="str">
        <f>VLOOKUP(G1785,'insumos terrapl'!$C$3:$K$47,6,0)</f>
        <v>02</v>
      </c>
      <c r="M1785" s="29" t="str">
        <f>VLOOKUP(G1785,'insumos terrapl'!$C$3:$K$47,7,0)</f>
        <v>28</v>
      </c>
      <c r="N1785" s="29" t="str">
        <f>VLOOKUP(G1785,'insumos terrapl'!$C$3:$K$47,8,0)</f>
        <v>00</v>
      </c>
      <c r="O1785" s="97" t="str">
        <f>VLOOKUP(G1785,'insumos terrapl'!$C$3:$K$47,9,0)</f>
        <v>00</v>
      </c>
    </row>
    <row r="1786" spans="1:15" ht="30">
      <c r="A1786" s="134"/>
      <c r="B1786" s="137"/>
      <c r="C1786" s="125"/>
      <c r="D1786" s="115"/>
      <c r="E1786" s="115"/>
      <c r="F1786" s="11" t="s">
        <v>637</v>
      </c>
      <c r="G1786" s="20" t="s">
        <v>638</v>
      </c>
      <c r="H1786" s="29" t="str">
        <f>VLOOKUP(G1786,'insumos terrapl'!$C$3:$K$47,2,0)</f>
        <v>2N  58  06  00  00  00  00</v>
      </c>
      <c r="I1786" s="29" t="str">
        <f>VLOOKUP(G1786,'insumos terrapl'!$C$3:$K$47,3,0)</f>
        <v>2N</v>
      </c>
      <c r="J1786" s="29">
        <f>VLOOKUP(G1786,'insumos terrapl'!$C$3:$K$47,4,0)</f>
        <v>58</v>
      </c>
      <c r="K1786" s="29" t="str">
        <f>VLOOKUP(G1786,'insumos terrapl'!$C$3:$K$47,5,0)</f>
        <v>06</v>
      </c>
      <c r="L1786" s="29" t="str">
        <f>VLOOKUP(G1786,'insumos terrapl'!$C$3:$K$47,6,0)</f>
        <v>00</v>
      </c>
      <c r="M1786" s="29" t="str">
        <f>VLOOKUP(G1786,'insumos terrapl'!$C$3:$K$47,7,0)</f>
        <v>00</v>
      </c>
      <c r="N1786" s="29" t="str">
        <f>VLOOKUP(G1786,'insumos terrapl'!$C$3:$K$47,8,0)</f>
        <v>00</v>
      </c>
      <c r="O1786" s="97" t="str">
        <f>VLOOKUP(G1786,'insumos terrapl'!$C$3:$K$47,9,0)</f>
        <v>00</v>
      </c>
    </row>
    <row r="1787" spans="1:15" ht="30">
      <c r="A1787" s="134"/>
      <c r="B1787" s="137"/>
      <c r="C1787" s="125"/>
      <c r="D1787" s="115"/>
      <c r="E1787" s="115"/>
      <c r="F1787" s="11" t="s">
        <v>639</v>
      </c>
      <c r="G1787" s="20" t="s">
        <v>640</v>
      </c>
      <c r="H1787" s="29" t="str">
        <f>VLOOKUP(G1787,'insumos terrapl'!$C$3:$K$47,2,0)</f>
        <v>2N  58  06  00  00  00  00</v>
      </c>
      <c r="I1787" s="29" t="str">
        <f>VLOOKUP(G1787,'insumos terrapl'!$C$3:$K$47,3,0)</f>
        <v>2N</v>
      </c>
      <c r="J1787" s="29">
        <f>VLOOKUP(G1787,'insumos terrapl'!$C$3:$K$47,4,0)</f>
        <v>58</v>
      </c>
      <c r="K1787" s="29" t="str">
        <f>VLOOKUP(G1787,'insumos terrapl'!$C$3:$K$47,5,0)</f>
        <v>06</v>
      </c>
      <c r="L1787" s="29" t="str">
        <f>VLOOKUP(G1787,'insumos terrapl'!$C$3:$K$47,6,0)</f>
        <v>00</v>
      </c>
      <c r="M1787" s="29" t="str">
        <f>VLOOKUP(G1787,'insumos terrapl'!$C$3:$K$47,7,0)</f>
        <v>00</v>
      </c>
      <c r="N1787" s="29" t="str">
        <f>VLOOKUP(G1787,'insumos terrapl'!$C$3:$K$47,8,0)</f>
        <v>00</v>
      </c>
      <c r="O1787" s="97" t="str">
        <f>VLOOKUP(G1787,'insumos terrapl'!$C$3:$K$47,9,0)</f>
        <v>00</v>
      </c>
    </row>
    <row r="1788" spans="1:15">
      <c r="A1788" s="134"/>
      <c r="B1788" s="137"/>
      <c r="C1788" s="125"/>
      <c r="D1788" s="115"/>
      <c r="E1788" s="115"/>
      <c r="F1788" s="11" t="s">
        <v>641</v>
      </c>
      <c r="G1788" s="20" t="s">
        <v>642</v>
      </c>
      <c r="H1788" s="29" t="str">
        <f>VLOOKUP(G1788,'insumos terrapl'!$C$3:$K$47,2,0)</f>
        <v>2N  58  06  00  00  00  00</v>
      </c>
      <c r="I1788" s="29" t="str">
        <f>VLOOKUP(G1788,'insumos terrapl'!$C$3:$K$47,3,0)</f>
        <v>2N</v>
      </c>
      <c r="J1788" s="29">
        <f>VLOOKUP(G1788,'insumos terrapl'!$C$3:$K$47,4,0)</f>
        <v>58</v>
      </c>
      <c r="K1788" s="29" t="str">
        <f>VLOOKUP(G1788,'insumos terrapl'!$C$3:$K$47,5,0)</f>
        <v>06</v>
      </c>
      <c r="L1788" s="29" t="str">
        <f>VLOOKUP(G1788,'insumos terrapl'!$C$3:$K$47,6,0)</f>
        <v>00</v>
      </c>
      <c r="M1788" s="29" t="str">
        <f>VLOOKUP(G1788,'insumos terrapl'!$C$3:$K$47,7,0)</f>
        <v>00</v>
      </c>
      <c r="N1788" s="29" t="str">
        <f>VLOOKUP(G1788,'insumos terrapl'!$C$3:$K$47,8,0)</f>
        <v>00</v>
      </c>
      <c r="O1788" s="97" t="str">
        <f>VLOOKUP(G1788,'insumos terrapl'!$C$3:$K$47,9,0)</f>
        <v>00</v>
      </c>
    </row>
    <row r="1789" spans="1:15">
      <c r="A1789" s="134"/>
      <c r="B1789" s="137"/>
      <c r="C1789" s="125"/>
      <c r="D1789" s="115"/>
      <c r="E1789" s="115"/>
      <c r="F1789" s="11" t="s">
        <v>619</v>
      </c>
      <c r="G1789" s="20" t="s">
        <v>620</v>
      </c>
      <c r="H1789" s="29"/>
      <c r="I1789" s="29"/>
      <c r="J1789" s="29"/>
      <c r="K1789" s="29"/>
      <c r="L1789" s="29"/>
      <c r="M1789" s="29"/>
      <c r="N1789" s="29"/>
      <c r="O1789" s="97"/>
    </row>
    <row r="1790" spans="1:15">
      <c r="A1790" s="134"/>
      <c r="B1790" s="137"/>
      <c r="C1790" s="125"/>
      <c r="D1790" s="115"/>
      <c r="E1790" s="115"/>
      <c r="F1790" s="11" t="s">
        <v>643</v>
      </c>
      <c r="G1790" s="20" t="s">
        <v>644</v>
      </c>
      <c r="H1790" s="29" t="str">
        <f>VLOOKUP(G1790,'insumos terrapl'!$C$3:$K$47,2,0)</f>
        <v>2N  58  06  00  00  00  00</v>
      </c>
      <c r="I1790" s="29" t="str">
        <f>VLOOKUP(G1790,'insumos terrapl'!$C$3:$K$47,3,0)</f>
        <v>2N</v>
      </c>
      <c r="J1790" s="29">
        <f>VLOOKUP(G1790,'insumos terrapl'!$C$3:$K$47,4,0)</f>
        <v>58</v>
      </c>
      <c r="K1790" s="29" t="str">
        <f>VLOOKUP(G1790,'insumos terrapl'!$C$3:$K$47,5,0)</f>
        <v>06</v>
      </c>
      <c r="L1790" s="29" t="str">
        <f>VLOOKUP(G1790,'insumos terrapl'!$C$3:$K$47,6,0)</f>
        <v>00</v>
      </c>
      <c r="M1790" s="29" t="str">
        <f>VLOOKUP(G1790,'insumos terrapl'!$C$3:$K$47,7,0)</f>
        <v>00</v>
      </c>
      <c r="N1790" s="29" t="str">
        <f>VLOOKUP(G1790,'insumos terrapl'!$C$3:$K$47,8,0)</f>
        <v>00</v>
      </c>
      <c r="O1790" s="97" t="str">
        <f>VLOOKUP(G1790,'insumos terrapl'!$C$3:$K$47,9,0)</f>
        <v>00</v>
      </c>
    </row>
    <row r="1791" spans="1:15">
      <c r="A1791" s="134"/>
      <c r="B1791" s="137"/>
      <c r="C1791" s="125"/>
      <c r="D1791" s="115"/>
      <c r="E1791" s="115"/>
      <c r="F1791" s="11" t="s">
        <v>645</v>
      </c>
      <c r="G1791" s="20" t="s">
        <v>646</v>
      </c>
      <c r="H1791" s="29" t="str">
        <f>VLOOKUP(G1791,'insumos terrapl'!$C$3:$K$47,2,0)</f>
        <v>2N  58  06  00  00  00  00</v>
      </c>
      <c r="I1791" s="29" t="str">
        <f>VLOOKUP(G1791,'insumos terrapl'!$C$3:$K$47,3,0)</f>
        <v>2N</v>
      </c>
      <c r="J1791" s="29">
        <f>VLOOKUP(G1791,'insumos terrapl'!$C$3:$K$47,4,0)</f>
        <v>58</v>
      </c>
      <c r="K1791" s="29" t="str">
        <f>VLOOKUP(G1791,'insumos terrapl'!$C$3:$K$47,5,0)</f>
        <v>06</v>
      </c>
      <c r="L1791" s="29" t="str">
        <f>VLOOKUP(G1791,'insumos terrapl'!$C$3:$K$47,6,0)</f>
        <v>00</v>
      </c>
      <c r="M1791" s="29" t="str">
        <f>VLOOKUP(G1791,'insumos terrapl'!$C$3:$K$47,7,0)</f>
        <v>00</v>
      </c>
      <c r="N1791" s="29" t="str">
        <f>VLOOKUP(G1791,'insumos terrapl'!$C$3:$K$47,8,0)</f>
        <v>00</v>
      </c>
      <c r="O1791" s="97" t="str">
        <f>VLOOKUP(G1791,'insumos terrapl'!$C$3:$K$47,9,0)</f>
        <v>00</v>
      </c>
    </row>
    <row r="1792" spans="1:15" ht="30">
      <c r="A1792" s="134"/>
      <c r="B1792" s="137"/>
      <c r="C1792" s="125"/>
      <c r="D1792" s="115"/>
      <c r="E1792" s="115"/>
      <c r="F1792" s="11" t="s">
        <v>647</v>
      </c>
      <c r="G1792" s="20" t="s">
        <v>648</v>
      </c>
      <c r="H1792" s="29" t="str">
        <f>VLOOKUP(G1792,'insumos terrapl'!$C$3:$K$47,2,0)</f>
        <v>2N  58  06  00  00  00  00</v>
      </c>
      <c r="I1792" s="29" t="str">
        <f>VLOOKUP(G1792,'insumos terrapl'!$C$3:$K$47,3,0)</f>
        <v>2N</v>
      </c>
      <c r="J1792" s="29">
        <f>VLOOKUP(G1792,'insumos terrapl'!$C$3:$K$47,4,0)</f>
        <v>58</v>
      </c>
      <c r="K1792" s="29" t="str">
        <f>VLOOKUP(G1792,'insumos terrapl'!$C$3:$K$47,5,0)</f>
        <v>06</v>
      </c>
      <c r="L1792" s="29" t="str">
        <f>VLOOKUP(G1792,'insumos terrapl'!$C$3:$K$47,6,0)</f>
        <v>00</v>
      </c>
      <c r="M1792" s="29" t="str">
        <f>VLOOKUP(G1792,'insumos terrapl'!$C$3:$K$47,7,0)</f>
        <v>00</v>
      </c>
      <c r="N1792" s="29" t="str">
        <f>VLOOKUP(G1792,'insumos terrapl'!$C$3:$K$47,8,0)</f>
        <v>00</v>
      </c>
      <c r="O1792" s="97" t="str">
        <f>VLOOKUP(G1792,'insumos terrapl'!$C$3:$K$47,9,0)</f>
        <v>00</v>
      </c>
    </row>
    <row r="1793" spans="1:15">
      <c r="A1793" s="134"/>
      <c r="B1793" s="137"/>
      <c r="C1793" s="125"/>
      <c r="D1793" s="115"/>
      <c r="E1793" s="115"/>
      <c r="F1793" s="11" t="s">
        <v>621</v>
      </c>
      <c r="G1793" s="20" t="s">
        <v>622</v>
      </c>
      <c r="H1793" s="29" t="str">
        <f>VLOOKUP(G1793,'insumos terrapl'!$C$3:$K$47,2,0)</f>
        <v>2N  58  06  00  00  00  00</v>
      </c>
      <c r="I1793" s="29" t="str">
        <f>VLOOKUP(G1793,'insumos terrapl'!$C$3:$K$47,3,0)</f>
        <v>2N</v>
      </c>
      <c r="J1793" s="29">
        <f>VLOOKUP(G1793,'insumos terrapl'!$C$3:$K$47,4,0)</f>
        <v>58</v>
      </c>
      <c r="K1793" s="29" t="str">
        <f>VLOOKUP(G1793,'insumos terrapl'!$C$3:$K$47,5,0)</f>
        <v>06</v>
      </c>
      <c r="L1793" s="29" t="str">
        <f>VLOOKUP(G1793,'insumos terrapl'!$C$3:$K$47,6,0)</f>
        <v>00</v>
      </c>
      <c r="M1793" s="29" t="str">
        <f>VLOOKUP(G1793,'insumos terrapl'!$C$3:$K$47,7,0)</f>
        <v>00</v>
      </c>
      <c r="N1793" s="29" t="str">
        <f>VLOOKUP(G1793,'insumos terrapl'!$C$3:$K$47,8,0)</f>
        <v>00</v>
      </c>
      <c r="O1793" s="97" t="str">
        <f>VLOOKUP(G1793,'insumos terrapl'!$C$3:$K$47,9,0)</f>
        <v>00</v>
      </c>
    </row>
    <row r="1794" spans="1:15">
      <c r="A1794" s="134"/>
      <c r="B1794" s="137"/>
      <c r="C1794" s="132"/>
      <c r="D1794" s="116"/>
      <c r="E1794" s="116"/>
      <c r="F1794" s="13"/>
      <c r="G1794" s="21"/>
      <c r="H1794" s="31"/>
      <c r="I1794" s="31"/>
      <c r="J1794" s="31"/>
      <c r="K1794" s="31"/>
      <c r="L1794" s="31"/>
      <c r="M1794" s="31"/>
      <c r="N1794" s="31"/>
      <c r="O1794" s="98"/>
    </row>
    <row r="1795" spans="1:15">
      <c r="A1795" s="134"/>
      <c r="B1795" s="137"/>
      <c r="C1795" s="124" t="s">
        <v>269</v>
      </c>
      <c r="D1795" s="114" t="str">
        <f>$A$1095</f>
        <v>2.6.8</v>
      </c>
      <c r="E1795" s="115" t="s">
        <v>527</v>
      </c>
      <c r="F1795" s="11" t="s">
        <v>269</v>
      </c>
      <c r="G1795" s="20"/>
      <c r="H1795" s="29"/>
      <c r="I1795" s="29"/>
      <c r="J1795" s="29"/>
      <c r="K1795" s="29"/>
      <c r="L1795" s="29"/>
      <c r="M1795" s="29"/>
      <c r="N1795" s="29"/>
      <c r="O1795" s="97"/>
    </row>
    <row r="1796" spans="1:15" ht="30">
      <c r="A1796" s="134"/>
      <c r="B1796" s="137"/>
      <c r="C1796" s="125"/>
      <c r="D1796" s="115"/>
      <c r="E1796" s="115"/>
      <c r="F1796" s="11" t="s">
        <v>659</v>
      </c>
      <c r="G1796" s="20" t="s">
        <v>660</v>
      </c>
      <c r="H1796" s="29" t="str">
        <f>VLOOKUP(G1796,'insumos terrapl'!$C$3:$K$47,2,0)</f>
        <v>2Q  66  10  02  00  00  00</v>
      </c>
      <c r="I1796" s="29" t="str">
        <f>VLOOKUP(G1796,'insumos terrapl'!$C$3:$K$47,3,0)</f>
        <v>2Q</v>
      </c>
      <c r="J1796" s="29">
        <f>VLOOKUP(G1796,'insumos terrapl'!$C$3:$K$47,4,0)</f>
        <v>66</v>
      </c>
      <c r="K1796" s="29" t="str">
        <f>VLOOKUP(G1796,'insumos terrapl'!$C$3:$K$47,5,0)</f>
        <v>10</v>
      </c>
      <c r="L1796" s="29" t="str">
        <f>VLOOKUP(G1796,'insumos terrapl'!$C$3:$K$47,6,0)</f>
        <v>02</v>
      </c>
      <c r="M1796" s="29" t="str">
        <f>VLOOKUP(G1796,'insumos terrapl'!$C$3:$K$47,7,0)</f>
        <v>00</v>
      </c>
      <c r="N1796" s="29" t="str">
        <f>VLOOKUP(G1796,'insumos terrapl'!$C$3:$K$47,8,0)</f>
        <v>00</v>
      </c>
      <c r="O1796" s="97" t="str">
        <f>VLOOKUP(G1796,'insumos terrapl'!$C$3:$K$47,9,0)</f>
        <v>00</v>
      </c>
    </row>
    <row r="1797" spans="1:15" ht="30">
      <c r="A1797" s="134"/>
      <c r="B1797" s="137"/>
      <c r="C1797" s="125"/>
      <c r="D1797" s="115"/>
      <c r="E1797" s="115"/>
      <c r="F1797" s="11" t="s">
        <v>661</v>
      </c>
      <c r="G1797" s="20" t="s">
        <v>662</v>
      </c>
      <c r="H1797" s="29" t="str">
        <f>VLOOKUP(G1797,'insumos terrapl'!$C$3:$K$47,2,0)</f>
        <v>2Q  62  10  06  00  00  00</v>
      </c>
      <c r="I1797" s="29" t="str">
        <f>VLOOKUP(G1797,'insumos terrapl'!$C$3:$K$47,3,0)</f>
        <v>2Q</v>
      </c>
      <c r="J1797" s="29">
        <f>VLOOKUP(G1797,'insumos terrapl'!$C$3:$K$47,4,0)</f>
        <v>62</v>
      </c>
      <c r="K1797" s="29" t="str">
        <f>VLOOKUP(G1797,'insumos terrapl'!$C$3:$K$47,5,0)</f>
        <v>10</v>
      </c>
      <c r="L1797" s="29" t="str">
        <f>VLOOKUP(G1797,'insumos terrapl'!$C$3:$K$47,6,0)</f>
        <v>06</v>
      </c>
      <c r="M1797" s="29" t="str">
        <f>VLOOKUP(G1797,'insumos terrapl'!$C$3:$K$47,7,0)</f>
        <v>00</v>
      </c>
      <c r="N1797" s="29" t="str">
        <f>VLOOKUP(G1797,'insumos terrapl'!$C$3:$K$47,8,0)</f>
        <v>00</v>
      </c>
      <c r="O1797" s="97" t="str">
        <f>VLOOKUP(G1797,'insumos terrapl'!$C$3:$K$47,9,0)</f>
        <v>00</v>
      </c>
    </row>
    <row r="1798" spans="1:15" ht="30">
      <c r="A1798" s="134"/>
      <c r="B1798" s="137"/>
      <c r="C1798" s="125"/>
      <c r="D1798" s="115"/>
      <c r="E1798" s="115"/>
      <c r="F1798" s="11" t="s">
        <v>607</v>
      </c>
      <c r="G1798" s="20" t="s">
        <v>608</v>
      </c>
      <c r="H1798" s="29" t="str">
        <f>VLOOKUP(G1798,'insumos terrapl'!$C$3:$K$47,2,0)</f>
        <v>2Q  42  06  18  02  02  00</v>
      </c>
      <c r="I1798" s="29" t="str">
        <f>VLOOKUP(G1798,'insumos terrapl'!$C$3:$K$47,3,0)</f>
        <v>2Q</v>
      </c>
      <c r="J1798" s="29">
        <f>VLOOKUP(G1798,'insumos terrapl'!$C$3:$K$47,4,0)</f>
        <v>42</v>
      </c>
      <c r="K1798" s="29" t="str">
        <f>VLOOKUP(G1798,'insumos terrapl'!$C$3:$K$47,5,0)</f>
        <v>06</v>
      </c>
      <c r="L1798" s="29">
        <f>VLOOKUP(G1798,'insumos terrapl'!$C$3:$K$47,6,0)</f>
        <v>18</v>
      </c>
      <c r="M1798" s="29" t="str">
        <f>VLOOKUP(G1798,'insumos terrapl'!$C$3:$K$47,7,0)</f>
        <v>02</v>
      </c>
      <c r="N1798" s="29" t="str">
        <f>VLOOKUP(G1798,'insumos terrapl'!$C$3:$K$47,8,0)</f>
        <v>02</v>
      </c>
      <c r="O1798" s="97" t="str">
        <f>VLOOKUP(G1798,'insumos terrapl'!$C$3:$K$47,9,0)</f>
        <v>00</v>
      </c>
    </row>
    <row r="1799" spans="1:15" ht="45">
      <c r="A1799" s="134"/>
      <c r="B1799" s="137"/>
      <c r="C1799" s="125"/>
      <c r="D1799" s="115"/>
      <c r="E1799" s="115"/>
      <c r="F1799" s="11" t="s">
        <v>609</v>
      </c>
      <c r="G1799" s="20" t="s">
        <v>610</v>
      </c>
      <c r="H1799" s="29" t="str">
        <f>VLOOKUP(G1799,'insumos terrapl'!$C$3:$K$47,2,0)</f>
        <v>2Q  42  06  02  14  02  00</v>
      </c>
      <c r="I1799" s="29" t="str">
        <f>VLOOKUP(G1799,'insumos terrapl'!$C$3:$K$47,3,0)</f>
        <v>2Q</v>
      </c>
      <c r="J1799" s="29">
        <f>VLOOKUP(G1799,'insumos terrapl'!$C$3:$K$47,4,0)</f>
        <v>42</v>
      </c>
      <c r="K1799" s="29" t="str">
        <f>VLOOKUP(G1799,'insumos terrapl'!$C$3:$K$47,5,0)</f>
        <v>06</v>
      </c>
      <c r="L1799" s="29" t="str">
        <f>VLOOKUP(G1799,'insumos terrapl'!$C$3:$K$47,6,0)</f>
        <v>02</v>
      </c>
      <c r="M1799" s="29" t="str">
        <f>VLOOKUP(G1799,'insumos terrapl'!$C$3:$K$47,7,0)</f>
        <v>14</v>
      </c>
      <c r="N1799" s="29" t="str">
        <f>VLOOKUP(G1799,'insumos terrapl'!$C$3:$K$47,8,0)</f>
        <v>02</v>
      </c>
      <c r="O1799" s="97" t="str">
        <f>VLOOKUP(G1799,'insumos terrapl'!$C$3:$K$47,9,0)</f>
        <v>00</v>
      </c>
    </row>
    <row r="1800" spans="1:15">
      <c r="A1800" s="134"/>
      <c r="B1800" s="137"/>
      <c r="C1800" s="125"/>
      <c r="D1800" s="115"/>
      <c r="E1800" s="115"/>
      <c r="F1800" s="11" t="s">
        <v>633</v>
      </c>
      <c r="G1800" s="20" t="s">
        <v>634</v>
      </c>
      <c r="H1800" s="29" t="str">
        <f>VLOOKUP(G1800,'insumos terrapl'!$C$3:$K$47,2,0)</f>
        <v>2Q  58  10  10  02  06  00</v>
      </c>
      <c r="I1800" s="29" t="str">
        <f>VLOOKUP(G1800,'insumos terrapl'!$C$3:$K$47,3,0)</f>
        <v>2Q</v>
      </c>
      <c r="J1800" s="29">
        <f>VLOOKUP(G1800,'insumos terrapl'!$C$3:$K$47,4,0)</f>
        <v>58</v>
      </c>
      <c r="K1800" s="29" t="str">
        <f>VLOOKUP(G1800,'insumos terrapl'!$C$3:$K$47,5,0)</f>
        <v>10</v>
      </c>
      <c r="L1800" s="29" t="str">
        <f>VLOOKUP(G1800,'insumos terrapl'!$C$3:$K$47,6,0)</f>
        <v>10</v>
      </c>
      <c r="M1800" s="29" t="str">
        <f>VLOOKUP(G1800,'insumos terrapl'!$C$3:$K$47,7,0)</f>
        <v>02</v>
      </c>
      <c r="N1800" s="29" t="str">
        <f>VLOOKUP(G1800,'insumos terrapl'!$C$3:$K$47,8,0)</f>
        <v>06</v>
      </c>
      <c r="O1800" s="97" t="str">
        <f>VLOOKUP(G1800,'insumos terrapl'!$C$3:$K$47,9,0)</f>
        <v>00</v>
      </c>
    </row>
    <row r="1801" spans="1:15">
      <c r="A1801" s="134"/>
      <c r="B1801" s="137"/>
      <c r="C1801" s="125"/>
      <c r="D1801" s="115"/>
      <c r="E1801" s="115"/>
      <c r="F1801" s="11" t="s">
        <v>586</v>
      </c>
      <c r="G1801" s="20" t="s">
        <v>587</v>
      </c>
      <c r="H1801" s="29" t="str">
        <f>VLOOKUP(G1801,'insumos terrapl'!$C$3:$K$47,2,0)</f>
        <v>2Q  62  30  02  14  00  00</v>
      </c>
      <c r="I1801" s="29" t="str">
        <f>VLOOKUP(G1801,'insumos terrapl'!$C$3:$K$47,3,0)</f>
        <v>2Q</v>
      </c>
      <c r="J1801" s="29">
        <f>VLOOKUP(G1801,'insumos terrapl'!$C$3:$K$47,4,0)</f>
        <v>62</v>
      </c>
      <c r="K1801" s="29">
        <f>VLOOKUP(G1801,'insumos terrapl'!$C$3:$K$47,5,0)</f>
        <v>30</v>
      </c>
      <c r="L1801" s="29" t="str">
        <f>VLOOKUP(G1801,'insumos terrapl'!$C$3:$K$47,6,0)</f>
        <v>02</v>
      </c>
      <c r="M1801" s="29" t="str">
        <f>VLOOKUP(G1801,'insumos terrapl'!$C$3:$K$47,7,0)</f>
        <v>14</v>
      </c>
      <c r="N1801" s="29" t="str">
        <f>VLOOKUP(G1801,'insumos terrapl'!$C$3:$K$47,8,0)</f>
        <v>00</v>
      </c>
      <c r="O1801" s="97" t="str">
        <f>VLOOKUP(G1801,'insumos terrapl'!$C$3:$K$47,9,0)</f>
        <v>00</v>
      </c>
    </row>
    <row r="1802" spans="1:15">
      <c r="A1802" s="134"/>
      <c r="B1802" s="137"/>
      <c r="C1802" s="125"/>
      <c r="D1802" s="115"/>
      <c r="E1802" s="115"/>
      <c r="F1802" s="11" t="s">
        <v>613</v>
      </c>
      <c r="G1802" s="20" t="s">
        <v>614</v>
      </c>
      <c r="H1802" s="29" t="str">
        <f>VLOOKUP(G1802,'insumos terrapl'!$C$3:$K$47,2,0)</f>
        <v>2N  20  14  02  00  00  00</v>
      </c>
      <c r="I1802" s="29" t="str">
        <f>VLOOKUP(G1802,'insumos terrapl'!$C$3:$K$47,3,0)</f>
        <v>2N</v>
      </c>
      <c r="J1802" s="29">
        <f>VLOOKUP(G1802,'insumos terrapl'!$C$3:$K$47,4,0)</f>
        <v>20</v>
      </c>
      <c r="K1802" s="29" t="str">
        <f>VLOOKUP(G1802,'insumos terrapl'!$C$3:$K$47,5,0)</f>
        <v>14</v>
      </c>
      <c r="L1802" s="29" t="str">
        <f>VLOOKUP(G1802,'insumos terrapl'!$C$3:$K$47,6,0)</f>
        <v>02</v>
      </c>
      <c r="M1802" s="29" t="str">
        <f>VLOOKUP(G1802,'insumos terrapl'!$C$3:$K$47,7,0)</f>
        <v>00</v>
      </c>
      <c r="N1802" s="29" t="str">
        <f>VLOOKUP(G1802,'insumos terrapl'!$C$3:$K$47,8,0)</f>
        <v>00</v>
      </c>
      <c r="O1802" s="97" t="str">
        <f>VLOOKUP(G1802,'insumos terrapl'!$C$3:$K$47,9,0)</f>
        <v>00</v>
      </c>
    </row>
    <row r="1803" spans="1:15">
      <c r="A1803" s="134"/>
      <c r="B1803" s="137"/>
      <c r="C1803" s="125"/>
      <c r="D1803" s="115"/>
      <c r="E1803" s="115"/>
      <c r="F1803" s="11" t="s">
        <v>615</v>
      </c>
      <c r="G1803" s="20" t="s">
        <v>616</v>
      </c>
      <c r="H1803" s="29" t="str">
        <f>VLOOKUP(G1803,'insumos terrapl'!$C$3:$K$47,2,0)</f>
        <v>2N  20  14  02  00  00  00</v>
      </c>
      <c r="I1803" s="29" t="str">
        <f>VLOOKUP(G1803,'insumos terrapl'!$C$3:$K$47,3,0)</f>
        <v>2N</v>
      </c>
      <c r="J1803" s="29">
        <f>VLOOKUP(G1803,'insumos terrapl'!$C$3:$K$47,4,0)</f>
        <v>20</v>
      </c>
      <c r="K1803" s="29" t="str">
        <f>VLOOKUP(G1803,'insumos terrapl'!$C$3:$K$47,5,0)</f>
        <v>14</v>
      </c>
      <c r="L1803" s="29" t="str">
        <f>VLOOKUP(G1803,'insumos terrapl'!$C$3:$K$47,6,0)</f>
        <v>02</v>
      </c>
      <c r="M1803" s="29" t="str">
        <f>VLOOKUP(G1803,'insumos terrapl'!$C$3:$K$47,7,0)</f>
        <v>00</v>
      </c>
      <c r="N1803" s="29" t="str">
        <f>VLOOKUP(G1803,'insumos terrapl'!$C$3:$K$47,8,0)</f>
        <v>00</v>
      </c>
      <c r="O1803" s="97" t="str">
        <f>VLOOKUP(G1803,'insumos terrapl'!$C$3:$K$47,9,0)</f>
        <v>00</v>
      </c>
    </row>
    <row r="1804" spans="1:15" ht="30">
      <c r="A1804" s="134"/>
      <c r="B1804" s="137"/>
      <c r="C1804" s="125"/>
      <c r="D1804" s="115"/>
      <c r="E1804" s="115"/>
      <c r="F1804" s="11" t="s">
        <v>635</v>
      </c>
      <c r="G1804" s="20" t="s">
        <v>636</v>
      </c>
      <c r="H1804" s="29" t="str">
        <f>VLOOKUP(G1804,'insumos terrapl'!$C$3:$K$47,2,0)</f>
        <v>2N  58  06  00  00  00  00</v>
      </c>
      <c r="I1804" s="29" t="str">
        <f>VLOOKUP(G1804,'insumos terrapl'!$C$3:$K$47,3,0)</f>
        <v>2N</v>
      </c>
      <c r="J1804" s="29">
        <f>VLOOKUP(G1804,'insumos terrapl'!$C$3:$K$47,4,0)</f>
        <v>58</v>
      </c>
      <c r="K1804" s="29" t="str">
        <f>VLOOKUP(G1804,'insumos terrapl'!$C$3:$K$47,5,0)</f>
        <v>06</v>
      </c>
      <c r="L1804" s="29" t="str">
        <f>VLOOKUP(G1804,'insumos terrapl'!$C$3:$K$47,6,0)</f>
        <v>00</v>
      </c>
      <c r="M1804" s="29" t="str">
        <f>VLOOKUP(G1804,'insumos terrapl'!$C$3:$K$47,7,0)</f>
        <v>00</v>
      </c>
      <c r="N1804" s="29" t="str">
        <f>VLOOKUP(G1804,'insumos terrapl'!$C$3:$K$47,8,0)</f>
        <v>00</v>
      </c>
      <c r="O1804" s="97" t="str">
        <f>VLOOKUP(G1804,'insumos terrapl'!$C$3:$K$47,9,0)</f>
        <v>00</v>
      </c>
    </row>
    <row r="1805" spans="1:15">
      <c r="A1805" s="134"/>
      <c r="B1805" s="137"/>
      <c r="C1805" s="125"/>
      <c r="D1805" s="115"/>
      <c r="E1805" s="115"/>
      <c r="F1805" s="11" t="s">
        <v>617</v>
      </c>
      <c r="G1805" s="20" t="s">
        <v>618</v>
      </c>
      <c r="H1805" s="29" t="str">
        <f>VLOOKUP(G1805,'insumos terrapl'!$C$3:$K$47,2,0)</f>
        <v>2Q  58  06  02  28  00  00</v>
      </c>
      <c r="I1805" s="29" t="str">
        <f>VLOOKUP(G1805,'insumos terrapl'!$C$3:$K$47,3,0)</f>
        <v>2Q</v>
      </c>
      <c r="J1805" s="29">
        <f>VLOOKUP(G1805,'insumos terrapl'!$C$3:$K$47,4,0)</f>
        <v>58</v>
      </c>
      <c r="K1805" s="29" t="str">
        <f>VLOOKUP(G1805,'insumos terrapl'!$C$3:$K$47,5,0)</f>
        <v>06</v>
      </c>
      <c r="L1805" s="29" t="str">
        <f>VLOOKUP(G1805,'insumos terrapl'!$C$3:$K$47,6,0)</f>
        <v>02</v>
      </c>
      <c r="M1805" s="29" t="str">
        <f>VLOOKUP(G1805,'insumos terrapl'!$C$3:$K$47,7,0)</f>
        <v>28</v>
      </c>
      <c r="N1805" s="29" t="str">
        <f>VLOOKUP(G1805,'insumos terrapl'!$C$3:$K$47,8,0)</f>
        <v>00</v>
      </c>
      <c r="O1805" s="97" t="str">
        <f>VLOOKUP(G1805,'insumos terrapl'!$C$3:$K$47,9,0)</f>
        <v>00</v>
      </c>
    </row>
    <row r="1806" spans="1:15" ht="30">
      <c r="A1806" s="134"/>
      <c r="B1806" s="137"/>
      <c r="C1806" s="125"/>
      <c r="D1806" s="115"/>
      <c r="E1806" s="115"/>
      <c r="F1806" s="11" t="s">
        <v>637</v>
      </c>
      <c r="G1806" s="20" t="s">
        <v>638</v>
      </c>
      <c r="H1806" s="29" t="str">
        <f>VLOOKUP(G1806,'insumos terrapl'!$C$3:$K$47,2,0)</f>
        <v>2N  58  06  00  00  00  00</v>
      </c>
      <c r="I1806" s="29" t="str">
        <f>VLOOKUP(G1806,'insumos terrapl'!$C$3:$K$47,3,0)</f>
        <v>2N</v>
      </c>
      <c r="J1806" s="29">
        <f>VLOOKUP(G1806,'insumos terrapl'!$C$3:$K$47,4,0)</f>
        <v>58</v>
      </c>
      <c r="K1806" s="29" t="str">
        <f>VLOOKUP(G1806,'insumos terrapl'!$C$3:$K$47,5,0)</f>
        <v>06</v>
      </c>
      <c r="L1806" s="29" t="str">
        <f>VLOOKUP(G1806,'insumos terrapl'!$C$3:$K$47,6,0)</f>
        <v>00</v>
      </c>
      <c r="M1806" s="29" t="str">
        <f>VLOOKUP(G1806,'insumos terrapl'!$C$3:$K$47,7,0)</f>
        <v>00</v>
      </c>
      <c r="N1806" s="29" t="str">
        <f>VLOOKUP(G1806,'insumos terrapl'!$C$3:$K$47,8,0)</f>
        <v>00</v>
      </c>
      <c r="O1806" s="97" t="str">
        <f>VLOOKUP(G1806,'insumos terrapl'!$C$3:$K$47,9,0)</f>
        <v>00</v>
      </c>
    </row>
    <row r="1807" spans="1:15" ht="30">
      <c r="A1807" s="134"/>
      <c r="B1807" s="137"/>
      <c r="C1807" s="125"/>
      <c r="D1807" s="115"/>
      <c r="E1807" s="115"/>
      <c r="F1807" s="11" t="s">
        <v>639</v>
      </c>
      <c r="G1807" s="20" t="s">
        <v>640</v>
      </c>
      <c r="H1807" s="29" t="str">
        <f>VLOOKUP(G1807,'insumos terrapl'!$C$3:$K$47,2,0)</f>
        <v>2N  58  06  00  00  00  00</v>
      </c>
      <c r="I1807" s="29" t="str">
        <f>VLOOKUP(G1807,'insumos terrapl'!$C$3:$K$47,3,0)</f>
        <v>2N</v>
      </c>
      <c r="J1807" s="29">
        <f>VLOOKUP(G1807,'insumos terrapl'!$C$3:$K$47,4,0)</f>
        <v>58</v>
      </c>
      <c r="K1807" s="29" t="str">
        <f>VLOOKUP(G1807,'insumos terrapl'!$C$3:$K$47,5,0)</f>
        <v>06</v>
      </c>
      <c r="L1807" s="29" t="str">
        <f>VLOOKUP(G1807,'insumos terrapl'!$C$3:$K$47,6,0)</f>
        <v>00</v>
      </c>
      <c r="M1807" s="29" t="str">
        <f>VLOOKUP(G1807,'insumos terrapl'!$C$3:$K$47,7,0)</f>
        <v>00</v>
      </c>
      <c r="N1807" s="29" t="str">
        <f>VLOOKUP(G1807,'insumos terrapl'!$C$3:$K$47,8,0)</f>
        <v>00</v>
      </c>
      <c r="O1807" s="97" t="str">
        <f>VLOOKUP(G1807,'insumos terrapl'!$C$3:$K$47,9,0)</f>
        <v>00</v>
      </c>
    </row>
    <row r="1808" spans="1:15">
      <c r="A1808" s="134"/>
      <c r="B1808" s="137"/>
      <c r="C1808" s="125"/>
      <c r="D1808" s="115"/>
      <c r="E1808" s="115"/>
      <c r="F1808" s="11" t="s">
        <v>641</v>
      </c>
      <c r="G1808" s="20" t="s">
        <v>642</v>
      </c>
      <c r="H1808" s="29" t="str">
        <f>VLOOKUP(G1808,'insumos terrapl'!$C$3:$K$47,2,0)</f>
        <v>2N  58  06  00  00  00  00</v>
      </c>
      <c r="I1808" s="29" t="str">
        <f>VLOOKUP(G1808,'insumos terrapl'!$C$3:$K$47,3,0)</f>
        <v>2N</v>
      </c>
      <c r="J1808" s="29">
        <f>VLOOKUP(G1808,'insumos terrapl'!$C$3:$K$47,4,0)</f>
        <v>58</v>
      </c>
      <c r="K1808" s="29" t="str">
        <f>VLOOKUP(G1808,'insumos terrapl'!$C$3:$K$47,5,0)</f>
        <v>06</v>
      </c>
      <c r="L1808" s="29" t="str">
        <f>VLOOKUP(G1808,'insumos terrapl'!$C$3:$K$47,6,0)</f>
        <v>00</v>
      </c>
      <c r="M1808" s="29" t="str">
        <f>VLOOKUP(G1808,'insumos terrapl'!$C$3:$K$47,7,0)</f>
        <v>00</v>
      </c>
      <c r="N1808" s="29" t="str">
        <f>VLOOKUP(G1808,'insumos terrapl'!$C$3:$K$47,8,0)</f>
        <v>00</v>
      </c>
      <c r="O1808" s="97" t="str">
        <f>VLOOKUP(G1808,'insumos terrapl'!$C$3:$K$47,9,0)</f>
        <v>00</v>
      </c>
    </row>
    <row r="1809" spans="1:15">
      <c r="A1809" s="134"/>
      <c r="B1809" s="137"/>
      <c r="C1809" s="125"/>
      <c r="D1809" s="115"/>
      <c r="E1809" s="115"/>
      <c r="F1809" s="11" t="s">
        <v>619</v>
      </c>
      <c r="G1809" s="20" t="s">
        <v>620</v>
      </c>
      <c r="H1809" s="29"/>
      <c r="I1809" s="29"/>
      <c r="J1809" s="29"/>
      <c r="K1809" s="29"/>
      <c r="L1809" s="29"/>
      <c r="M1809" s="29"/>
      <c r="N1809" s="29"/>
      <c r="O1809" s="97"/>
    </row>
    <row r="1810" spans="1:15">
      <c r="A1810" s="134"/>
      <c r="B1810" s="137"/>
      <c r="C1810" s="125"/>
      <c r="D1810" s="115"/>
      <c r="E1810" s="115"/>
      <c r="F1810" s="11" t="s">
        <v>643</v>
      </c>
      <c r="G1810" s="20" t="s">
        <v>644</v>
      </c>
      <c r="H1810" s="29" t="str">
        <f>VLOOKUP(G1810,'insumos terrapl'!$C$3:$K$47,2,0)</f>
        <v>2N  58  06  00  00  00  00</v>
      </c>
      <c r="I1810" s="29" t="str">
        <f>VLOOKUP(G1810,'insumos terrapl'!$C$3:$K$47,3,0)</f>
        <v>2N</v>
      </c>
      <c r="J1810" s="29">
        <f>VLOOKUP(G1810,'insumos terrapl'!$C$3:$K$47,4,0)</f>
        <v>58</v>
      </c>
      <c r="K1810" s="29" t="str">
        <f>VLOOKUP(G1810,'insumos terrapl'!$C$3:$K$47,5,0)</f>
        <v>06</v>
      </c>
      <c r="L1810" s="29" t="str">
        <f>VLOOKUP(G1810,'insumos terrapl'!$C$3:$K$47,6,0)</f>
        <v>00</v>
      </c>
      <c r="M1810" s="29" t="str">
        <f>VLOOKUP(G1810,'insumos terrapl'!$C$3:$K$47,7,0)</f>
        <v>00</v>
      </c>
      <c r="N1810" s="29" t="str">
        <f>VLOOKUP(G1810,'insumos terrapl'!$C$3:$K$47,8,0)</f>
        <v>00</v>
      </c>
      <c r="O1810" s="97" t="str">
        <f>VLOOKUP(G1810,'insumos terrapl'!$C$3:$K$47,9,0)</f>
        <v>00</v>
      </c>
    </row>
    <row r="1811" spans="1:15">
      <c r="A1811" s="134"/>
      <c r="B1811" s="137"/>
      <c r="C1811" s="125"/>
      <c r="D1811" s="115"/>
      <c r="E1811" s="115"/>
      <c r="F1811" s="11" t="s">
        <v>645</v>
      </c>
      <c r="G1811" s="20" t="s">
        <v>646</v>
      </c>
      <c r="H1811" s="29" t="str">
        <f>VLOOKUP(G1811,'insumos terrapl'!$C$3:$K$47,2,0)</f>
        <v>2N  58  06  00  00  00  00</v>
      </c>
      <c r="I1811" s="29" t="str">
        <f>VLOOKUP(G1811,'insumos terrapl'!$C$3:$K$47,3,0)</f>
        <v>2N</v>
      </c>
      <c r="J1811" s="29">
        <f>VLOOKUP(G1811,'insumos terrapl'!$C$3:$K$47,4,0)</f>
        <v>58</v>
      </c>
      <c r="K1811" s="29" t="str">
        <f>VLOOKUP(G1811,'insumos terrapl'!$C$3:$K$47,5,0)</f>
        <v>06</v>
      </c>
      <c r="L1811" s="29" t="str">
        <f>VLOOKUP(G1811,'insumos terrapl'!$C$3:$K$47,6,0)</f>
        <v>00</v>
      </c>
      <c r="M1811" s="29" t="str">
        <f>VLOOKUP(G1811,'insumos terrapl'!$C$3:$K$47,7,0)</f>
        <v>00</v>
      </c>
      <c r="N1811" s="29" t="str">
        <f>VLOOKUP(G1811,'insumos terrapl'!$C$3:$K$47,8,0)</f>
        <v>00</v>
      </c>
      <c r="O1811" s="97" t="str">
        <f>VLOOKUP(G1811,'insumos terrapl'!$C$3:$K$47,9,0)</f>
        <v>00</v>
      </c>
    </row>
    <row r="1812" spans="1:15" ht="30">
      <c r="A1812" s="134"/>
      <c r="B1812" s="137"/>
      <c r="C1812" s="125"/>
      <c r="D1812" s="115"/>
      <c r="E1812" s="115"/>
      <c r="F1812" s="11" t="s">
        <v>647</v>
      </c>
      <c r="G1812" s="20" t="s">
        <v>648</v>
      </c>
      <c r="H1812" s="29" t="str">
        <f>VLOOKUP(G1812,'insumos terrapl'!$C$3:$K$47,2,0)</f>
        <v>2N  58  06  00  00  00  00</v>
      </c>
      <c r="I1812" s="29" t="str">
        <f>VLOOKUP(G1812,'insumos terrapl'!$C$3:$K$47,3,0)</f>
        <v>2N</v>
      </c>
      <c r="J1812" s="29">
        <f>VLOOKUP(G1812,'insumos terrapl'!$C$3:$K$47,4,0)</f>
        <v>58</v>
      </c>
      <c r="K1812" s="29" t="str">
        <f>VLOOKUP(G1812,'insumos terrapl'!$C$3:$K$47,5,0)</f>
        <v>06</v>
      </c>
      <c r="L1812" s="29" t="str">
        <f>VLOOKUP(G1812,'insumos terrapl'!$C$3:$K$47,6,0)</f>
        <v>00</v>
      </c>
      <c r="M1812" s="29" t="str">
        <f>VLOOKUP(G1812,'insumos terrapl'!$C$3:$K$47,7,0)</f>
        <v>00</v>
      </c>
      <c r="N1812" s="29" t="str">
        <f>VLOOKUP(G1812,'insumos terrapl'!$C$3:$K$47,8,0)</f>
        <v>00</v>
      </c>
      <c r="O1812" s="97" t="str">
        <f>VLOOKUP(G1812,'insumos terrapl'!$C$3:$K$47,9,0)</f>
        <v>00</v>
      </c>
    </row>
    <row r="1813" spans="1:15">
      <c r="A1813" s="134"/>
      <c r="B1813" s="137"/>
      <c r="C1813" s="125"/>
      <c r="D1813" s="115"/>
      <c r="E1813" s="115"/>
      <c r="F1813" s="11" t="s">
        <v>621</v>
      </c>
      <c r="G1813" s="20" t="s">
        <v>622</v>
      </c>
      <c r="H1813" s="29" t="str">
        <f>VLOOKUP(G1813,'insumos terrapl'!$C$3:$K$47,2,0)</f>
        <v>2N  58  06  00  00  00  00</v>
      </c>
      <c r="I1813" s="29" t="str">
        <f>VLOOKUP(G1813,'insumos terrapl'!$C$3:$K$47,3,0)</f>
        <v>2N</v>
      </c>
      <c r="J1813" s="29">
        <f>VLOOKUP(G1813,'insumos terrapl'!$C$3:$K$47,4,0)</f>
        <v>58</v>
      </c>
      <c r="K1813" s="29" t="str">
        <f>VLOOKUP(G1813,'insumos terrapl'!$C$3:$K$47,5,0)</f>
        <v>06</v>
      </c>
      <c r="L1813" s="29" t="str">
        <f>VLOOKUP(G1813,'insumos terrapl'!$C$3:$K$47,6,0)</f>
        <v>00</v>
      </c>
      <c r="M1813" s="29" t="str">
        <f>VLOOKUP(G1813,'insumos terrapl'!$C$3:$K$47,7,0)</f>
        <v>00</v>
      </c>
      <c r="N1813" s="29" t="str">
        <f>VLOOKUP(G1813,'insumos terrapl'!$C$3:$K$47,8,0)</f>
        <v>00</v>
      </c>
      <c r="O1813" s="97" t="str">
        <f>VLOOKUP(G1813,'insumos terrapl'!$C$3:$K$47,9,0)</f>
        <v>00</v>
      </c>
    </row>
    <row r="1814" spans="1:15">
      <c r="A1814" s="134"/>
      <c r="B1814" s="137"/>
      <c r="C1814" s="132"/>
      <c r="D1814" s="116"/>
      <c r="E1814" s="116"/>
      <c r="F1814" s="10"/>
      <c r="G1814" s="20"/>
      <c r="H1814" s="29"/>
      <c r="I1814" s="29"/>
      <c r="J1814" s="29"/>
      <c r="K1814" s="29"/>
      <c r="L1814" s="29"/>
      <c r="M1814" s="29"/>
      <c r="N1814" s="29"/>
      <c r="O1814" s="97"/>
    </row>
    <row r="1815" spans="1:15">
      <c r="A1815" s="134"/>
      <c r="B1815" s="137"/>
      <c r="C1815" s="124" t="s">
        <v>270</v>
      </c>
      <c r="D1815" s="114" t="str">
        <f>$A$1095</f>
        <v>2.6.8</v>
      </c>
      <c r="E1815" s="114" t="s">
        <v>528</v>
      </c>
      <c r="F1815" s="11" t="s">
        <v>270</v>
      </c>
      <c r="G1815" s="20"/>
      <c r="H1815" s="29"/>
      <c r="I1815" s="29"/>
      <c r="J1815" s="29"/>
      <c r="K1815" s="29"/>
      <c r="L1815" s="29"/>
      <c r="M1815" s="29"/>
      <c r="N1815" s="29"/>
      <c r="O1815" s="97"/>
    </row>
    <row r="1816" spans="1:15" ht="30">
      <c r="A1816" s="134"/>
      <c r="B1816" s="137"/>
      <c r="C1816" s="125"/>
      <c r="D1816" s="115"/>
      <c r="E1816" s="115"/>
      <c r="F1816" s="11" t="s">
        <v>659</v>
      </c>
      <c r="G1816" s="20" t="s">
        <v>660</v>
      </c>
      <c r="H1816" s="29" t="str">
        <f>VLOOKUP(G1816,'insumos terrapl'!$C$3:$K$47,2,0)</f>
        <v>2Q  66  10  02  00  00  00</v>
      </c>
      <c r="I1816" s="29" t="str">
        <f>VLOOKUP(G1816,'insumos terrapl'!$C$3:$K$47,3,0)</f>
        <v>2Q</v>
      </c>
      <c r="J1816" s="29">
        <f>VLOOKUP(G1816,'insumos terrapl'!$C$3:$K$47,4,0)</f>
        <v>66</v>
      </c>
      <c r="K1816" s="29" t="str">
        <f>VLOOKUP(G1816,'insumos terrapl'!$C$3:$K$47,5,0)</f>
        <v>10</v>
      </c>
      <c r="L1816" s="29" t="str">
        <f>VLOOKUP(G1816,'insumos terrapl'!$C$3:$K$47,6,0)</f>
        <v>02</v>
      </c>
      <c r="M1816" s="29" t="str">
        <f>VLOOKUP(G1816,'insumos terrapl'!$C$3:$K$47,7,0)</f>
        <v>00</v>
      </c>
      <c r="N1816" s="29" t="str">
        <f>VLOOKUP(G1816,'insumos terrapl'!$C$3:$K$47,8,0)</f>
        <v>00</v>
      </c>
      <c r="O1816" s="97" t="str">
        <f>VLOOKUP(G1816,'insumos terrapl'!$C$3:$K$47,9,0)</f>
        <v>00</v>
      </c>
    </row>
    <row r="1817" spans="1:15" ht="30">
      <c r="A1817" s="134"/>
      <c r="B1817" s="137"/>
      <c r="C1817" s="125"/>
      <c r="D1817" s="115"/>
      <c r="E1817" s="115"/>
      <c r="F1817" s="11" t="s">
        <v>661</v>
      </c>
      <c r="G1817" s="20" t="s">
        <v>662</v>
      </c>
      <c r="H1817" s="29" t="str">
        <f>VLOOKUP(G1817,'insumos terrapl'!$C$3:$K$47,2,0)</f>
        <v>2Q  62  10  06  00  00  00</v>
      </c>
      <c r="I1817" s="29" t="str">
        <f>VLOOKUP(G1817,'insumos terrapl'!$C$3:$K$47,3,0)</f>
        <v>2Q</v>
      </c>
      <c r="J1817" s="29">
        <f>VLOOKUP(G1817,'insumos terrapl'!$C$3:$K$47,4,0)</f>
        <v>62</v>
      </c>
      <c r="K1817" s="29" t="str">
        <f>VLOOKUP(G1817,'insumos terrapl'!$C$3:$K$47,5,0)</f>
        <v>10</v>
      </c>
      <c r="L1817" s="29" t="str">
        <f>VLOOKUP(G1817,'insumos terrapl'!$C$3:$K$47,6,0)</f>
        <v>06</v>
      </c>
      <c r="M1817" s="29" t="str">
        <f>VLOOKUP(G1817,'insumos terrapl'!$C$3:$K$47,7,0)</f>
        <v>00</v>
      </c>
      <c r="N1817" s="29" t="str">
        <f>VLOOKUP(G1817,'insumos terrapl'!$C$3:$K$47,8,0)</f>
        <v>00</v>
      </c>
      <c r="O1817" s="97" t="str">
        <f>VLOOKUP(G1817,'insumos terrapl'!$C$3:$K$47,9,0)</f>
        <v>00</v>
      </c>
    </row>
    <row r="1818" spans="1:15" ht="30">
      <c r="A1818" s="134"/>
      <c r="B1818" s="137"/>
      <c r="C1818" s="125"/>
      <c r="D1818" s="115"/>
      <c r="E1818" s="115"/>
      <c r="F1818" s="11" t="s">
        <v>607</v>
      </c>
      <c r="G1818" s="20" t="s">
        <v>608</v>
      </c>
      <c r="H1818" s="29" t="str">
        <f>VLOOKUP(G1818,'insumos terrapl'!$C$3:$K$47,2,0)</f>
        <v>2Q  42  06  18  02  02  00</v>
      </c>
      <c r="I1818" s="29" t="str">
        <f>VLOOKUP(G1818,'insumos terrapl'!$C$3:$K$47,3,0)</f>
        <v>2Q</v>
      </c>
      <c r="J1818" s="29">
        <f>VLOOKUP(G1818,'insumos terrapl'!$C$3:$K$47,4,0)</f>
        <v>42</v>
      </c>
      <c r="K1818" s="29" t="str">
        <f>VLOOKUP(G1818,'insumos terrapl'!$C$3:$K$47,5,0)</f>
        <v>06</v>
      </c>
      <c r="L1818" s="29">
        <f>VLOOKUP(G1818,'insumos terrapl'!$C$3:$K$47,6,0)</f>
        <v>18</v>
      </c>
      <c r="M1818" s="29" t="str">
        <f>VLOOKUP(G1818,'insumos terrapl'!$C$3:$K$47,7,0)</f>
        <v>02</v>
      </c>
      <c r="N1818" s="29" t="str">
        <f>VLOOKUP(G1818,'insumos terrapl'!$C$3:$K$47,8,0)</f>
        <v>02</v>
      </c>
      <c r="O1818" s="97" t="str">
        <f>VLOOKUP(G1818,'insumos terrapl'!$C$3:$K$47,9,0)</f>
        <v>00</v>
      </c>
    </row>
    <row r="1819" spans="1:15" ht="45">
      <c r="A1819" s="134"/>
      <c r="B1819" s="137"/>
      <c r="C1819" s="125"/>
      <c r="D1819" s="115"/>
      <c r="E1819" s="115"/>
      <c r="F1819" s="11" t="s">
        <v>609</v>
      </c>
      <c r="G1819" s="20" t="s">
        <v>610</v>
      </c>
      <c r="H1819" s="29" t="str">
        <f>VLOOKUP(G1819,'insumos terrapl'!$C$3:$K$47,2,0)</f>
        <v>2Q  42  06  02  14  02  00</v>
      </c>
      <c r="I1819" s="29" t="str">
        <f>VLOOKUP(G1819,'insumos terrapl'!$C$3:$K$47,3,0)</f>
        <v>2Q</v>
      </c>
      <c r="J1819" s="29">
        <f>VLOOKUP(G1819,'insumos terrapl'!$C$3:$K$47,4,0)</f>
        <v>42</v>
      </c>
      <c r="K1819" s="29" t="str">
        <f>VLOOKUP(G1819,'insumos terrapl'!$C$3:$K$47,5,0)</f>
        <v>06</v>
      </c>
      <c r="L1819" s="29" t="str">
        <f>VLOOKUP(G1819,'insumos terrapl'!$C$3:$K$47,6,0)</f>
        <v>02</v>
      </c>
      <c r="M1819" s="29" t="str">
        <f>VLOOKUP(G1819,'insumos terrapl'!$C$3:$K$47,7,0)</f>
        <v>14</v>
      </c>
      <c r="N1819" s="29" t="str">
        <f>VLOOKUP(G1819,'insumos terrapl'!$C$3:$K$47,8,0)</f>
        <v>02</v>
      </c>
      <c r="O1819" s="97" t="str">
        <f>VLOOKUP(G1819,'insumos terrapl'!$C$3:$K$47,9,0)</f>
        <v>00</v>
      </c>
    </row>
    <row r="1820" spans="1:15">
      <c r="A1820" s="134"/>
      <c r="B1820" s="137"/>
      <c r="C1820" s="125"/>
      <c r="D1820" s="115"/>
      <c r="E1820" s="115"/>
      <c r="F1820" s="11" t="s">
        <v>633</v>
      </c>
      <c r="G1820" s="20" t="s">
        <v>634</v>
      </c>
      <c r="H1820" s="29" t="str">
        <f>VLOOKUP(G1820,'insumos terrapl'!$C$3:$K$47,2,0)</f>
        <v>2Q  58  10  10  02  06  00</v>
      </c>
      <c r="I1820" s="29" t="str">
        <f>VLOOKUP(G1820,'insumos terrapl'!$C$3:$K$47,3,0)</f>
        <v>2Q</v>
      </c>
      <c r="J1820" s="29">
        <f>VLOOKUP(G1820,'insumos terrapl'!$C$3:$K$47,4,0)</f>
        <v>58</v>
      </c>
      <c r="K1820" s="29" t="str">
        <f>VLOOKUP(G1820,'insumos terrapl'!$C$3:$K$47,5,0)</f>
        <v>10</v>
      </c>
      <c r="L1820" s="29" t="str">
        <f>VLOOKUP(G1820,'insumos terrapl'!$C$3:$K$47,6,0)</f>
        <v>10</v>
      </c>
      <c r="M1820" s="29" t="str">
        <f>VLOOKUP(G1820,'insumos terrapl'!$C$3:$K$47,7,0)</f>
        <v>02</v>
      </c>
      <c r="N1820" s="29" t="str">
        <f>VLOOKUP(G1820,'insumos terrapl'!$C$3:$K$47,8,0)</f>
        <v>06</v>
      </c>
      <c r="O1820" s="97" t="str">
        <f>VLOOKUP(G1820,'insumos terrapl'!$C$3:$K$47,9,0)</f>
        <v>00</v>
      </c>
    </row>
    <row r="1821" spans="1:15">
      <c r="A1821" s="134"/>
      <c r="B1821" s="137"/>
      <c r="C1821" s="125"/>
      <c r="D1821" s="115"/>
      <c r="E1821" s="115"/>
      <c r="F1821" s="11" t="s">
        <v>586</v>
      </c>
      <c r="G1821" s="20" t="s">
        <v>587</v>
      </c>
      <c r="H1821" s="29" t="str">
        <f>VLOOKUP(G1821,'insumos terrapl'!$C$3:$K$47,2,0)</f>
        <v>2Q  62  30  02  14  00  00</v>
      </c>
      <c r="I1821" s="29" t="str">
        <f>VLOOKUP(G1821,'insumos terrapl'!$C$3:$K$47,3,0)</f>
        <v>2Q</v>
      </c>
      <c r="J1821" s="29">
        <f>VLOOKUP(G1821,'insumos terrapl'!$C$3:$K$47,4,0)</f>
        <v>62</v>
      </c>
      <c r="K1821" s="29">
        <f>VLOOKUP(G1821,'insumos terrapl'!$C$3:$K$47,5,0)</f>
        <v>30</v>
      </c>
      <c r="L1821" s="29" t="str">
        <f>VLOOKUP(G1821,'insumos terrapl'!$C$3:$K$47,6,0)</f>
        <v>02</v>
      </c>
      <c r="M1821" s="29" t="str">
        <f>VLOOKUP(G1821,'insumos terrapl'!$C$3:$K$47,7,0)</f>
        <v>14</v>
      </c>
      <c r="N1821" s="29" t="str">
        <f>VLOOKUP(G1821,'insumos terrapl'!$C$3:$K$47,8,0)</f>
        <v>00</v>
      </c>
      <c r="O1821" s="97" t="str">
        <f>VLOOKUP(G1821,'insumos terrapl'!$C$3:$K$47,9,0)</f>
        <v>00</v>
      </c>
    </row>
    <row r="1822" spans="1:15">
      <c r="A1822" s="134"/>
      <c r="B1822" s="137"/>
      <c r="C1822" s="125"/>
      <c r="D1822" s="115"/>
      <c r="E1822" s="115"/>
      <c r="F1822" s="11" t="s">
        <v>613</v>
      </c>
      <c r="G1822" s="20" t="s">
        <v>614</v>
      </c>
      <c r="H1822" s="29" t="str">
        <f>VLOOKUP(G1822,'insumos terrapl'!$C$3:$K$47,2,0)</f>
        <v>2N  20  14  02  00  00  00</v>
      </c>
      <c r="I1822" s="29" t="str">
        <f>VLOOKUP(G1822,'insumos terrapl'!$C$3:$K$47,3,0)</f>
        <v>2N</v>
      </c>
      <c r="J1822" s="29">
        <f>VLOOKUP(G1822,'insumos terrapl'!$C$3:$K$47,4,0)</f>
        <v>20</v>
      </c>
      <c r="K1822" s="29" t="str">
        <f>VLOOKUP(G1822,'insumos terrapl'!$C$3:$K$47,5,0)</f>
        <v>14</v>
      </c>
      <c r="L1822" s="29" t="str">
        <f>VLOOKUP(G1822,'insumos terrapl'!$C$3:$K$47,6,0)</f>
        <v>02</v>
      </c>
      <c r="M1822" s="29" t="str">
        <f>VLOOKUP(G1822,'insumos terrapl'!$C$3:$K$47,7,0)</f>
        <v>00</v>
      </c>
      <c r="N1822" s="29" t="str">
        <f>VLOOKUP(G1822,'insumos terrapl'!$C$3:$K$47,8,0)</f>
        <v>00</v>
      </c>
      <c r="O1822" s="97" t="str">
        <f>VLOOKUP(G1822,'insumos terrapl'!$C$3:$K$47,9,0)</f>
        <v>00</v>
      </c>
    </row>
    <row r="1823" spans="1:15">
      <c r="A1823" s="134"/>
      <c r="B1823" s="137"/>
      <c r="C1823" s="125"/>
      <c r="D1823" s="115"/>
      <c r="E1823" s="115"/>
      <c r="F1823" s="11" t="s">
        <v>615</v>
      </c>
      <c r="G1823" s="20" t="s">
        <v>616</v>
      </c>
      <c r="H1823" s="29" t="str">
        <f>VLOOKUP(G1823,'insumos terrapl'!$C$3:$K$47,2,0)</f>
        <v>2N  20  14  02  00  00  00</v>
      </c>
      <c r="I1823" s="29" t="str">
        <f>VLOOKUP(G1823,'insumos terrapl'!$C$3:$K$47,3,0)</f>
        <v>2N</v>
      </c>
      <c r="J1823" s="29">
        <f>VLOOKUP(G1823,'insumos terrapl'!$C$3:$K$47,4,0)</f>
        <v>20</v>
      </c>
      <c r="K1823" s="29" t="str">
        <f>VLOOKUP(G1823,'insumos terrapl'!$C$3:$K$47,5,0)</f>
        <v>14</v>
      </c>
      <c r="L1823" s="29" t="str">
        <f>VLOOKUP(G1823,'insumos terrapl'!$C$3:$K$47,6,0)</f>
        <v>02</v>
      </c>
      <c r="M1823" s="29" t="str">
        <f>VLOOKUP(G1823,'insumos terrapl'!$C$3:$K$47,7,0)</f>
        <v>00</v>
      </c>
      <c r="N1823" s="29" t="str">
        <f>VLOOKUP(G1823,'insumos terrapl'!$C$3:$K$47,8,0)</f>
        <v>00</v>
      </c>
      <c r="O1823" s="97" t="str">
        <f>VLOOKUP(G1823,'insumos terrapl'!$C$3:$K$47,9,0)</f>
        <v>00</v>
      </c>
    </row>
    <row r="1824" spans="1:15" ht="30">
      <c r="A1824" s="134"/>
      <c r="B1824" s="137"/>
      <c r="C1824" s="125"/>
      <c r="D1824" s="115"/>
      <c r="E1824" s="115"/>
      <c r="F1824" s="11" t="s">
        <v>635</v>
      </c>
      <c r="G1824" s="20" t="s">
        <v>636</v>
      </c>
      <c r="H1824" s="29" t="str">
        <f>VLOOKUP(G1824,'insumos terrapl'!$C$3:$K$47,2,0)</f>
        <v>2N  58  06  00  00  00  00</v>
      </c>
      <c r="I1824" s="29" t="str">
        <f>VLOOKUP(G1824,'insumos terrapl'!$C$3:$K$47,3,0)</f>
        <v>2N</v>
      </c>
      <c r="J1824" s="29">
        <f>VLOOKUP(G1824,'insumos terrapl'!$C$3:$K$47,4,0)</f>
        <v>58</v>
      </c>
      <c r="K1824" s="29" t="str">
        <f>VLOOKUP(G1824,'insumos terrapl'!$C$3:$K$47,5,0)</f>
        <v>06</v>
      </c>
      <c r="L1824" s="29" t="str">
        <f>VLOOKUP(G1824,'insumos terrapl'!$C$3:$K$47,6,0)</f>
        <v>00</v>
      </c>
      <c r="M1824" s="29" t="str">
        <f>VLOOKUP(G1824,'insumos terrapl'!$C$3:$K$47,7,0)</f>
        <v>00</v>
      </c>
      <c r="N1824" s="29" t="str">
        <f>VLOOKUP(G1824,'insumos terrapl'!$C$3:$K$47,8,0)</f>
        <v>00</v>
      </c>
      <c r="O1824" s="97" t="str">
        <f>VLOOKUP(G1824,'insumos terrapl'!$C$3:$K$47,9,0)</f>
        <v>00</v>
      </c>
    </row>
    <row r="1825" spans="1:15">
      <c r="A1825" s="134"/>
      <c r="B1825" s="137"/>
      <c r="C1825" s="125"/>
      <c r="D1825" s="115"/>
      <c r="E1825" s="115"/>
      <c r="F1825" s="11" t="s">
        <v>617</v>
      </c>
      <c r="G1825" s="20" t="s">
        <v>618</v>
      </c>
      <c r="H1825" s="29" t="str">
        <f>VLOOKUP(G1825,'insumos terrapl'!$C$3:$K$47,2,0)</f>
        <v>2Q  58  06  02  28  00  00</v>
      </c>
      <c r="I1825" s="29" t="str">
        <f>VLOOKUP(G1825,'insumos terrapl'!$C$3:$K$47,3,0)</f>
        <v>2Q</v>
      </c>
      <c r="J1825" s="29">
        <f>VLOOKUP(G1825,'insumos terrapl'!$C$3:$K$47,4,0)</f>
        <v>58</v>
      </c>
      <c r="K1825" s="29" t="str">
        <f>VLOOKUP(G1825,'insumos terrapl'!$C$3:$K$47,5,0)</f>
        <v>06</v>
      </c>
      <c r="L1825" s="29" t="str">
        <f>VLOOKUP(G1825,'insumos terrapl'!$C$3:$K$47,6,0)</f>
        <v>02</v>
      </c>
      <c r="M1825" s="29" t="str">
        <f>VLOOKUP(G1825,'insumos terrapl'!$C$3:$K$47,7,0)</f>
        <v>28</v>
      </c>
      <c r="N1825" s="29" t="str">
        <f>VLOOKUP(G1825,'insumos terrapl'!$C$3:$K$47,8,0)</f>
        <v>00</v>
      </c>
      <c r="O1825" s="97" t="str">
        <f>VLOOKUP(G1825,'insumos terrapl'!$C$3:$K$47,9,0)</f>
        <v>00</v>
      </c>
    </row>
    <row r="1826" spans="1:15" ht="30">
      <c r="A1826" s="134"/>
      <c r="B1826" s="137"/>
      <c r="C1826" s="125"/>
      <c r="D1826" s="115"/>
      <c r="E1826" s="115"/>
      <c r="F1826" s="11" t="s">
        <v>637</v>
      </c>
      <c r="G1826" s="20" t="s">
        <v>638</v>
      </c>
      <c r="H1826" s="29" t="str">
        <f>VLOOKUP(G1826,'insumos terrapl'!$C$3:$K$47,2,0)</f>
        <v>2N  58  06  00  00  00  00</v>
      </c>
      <c r="I1826" s="29" t="str">
        <f>VLOOKUP(G1826,'insumos terrapl'!$C$3:$K$47,3,0)</f>
        <v>2N</v>
      </c>
      <c r="J1826" s="29">
        <f>VLOOKUP(G1826,'insumos terrapl'!$C$3:$K$47,4,0)</f>
        <v>58</v>
      </c>
      <c r="K1826" s="29" t="str">
        <f>VLOOKUP(G1826,'insumos terrapl'!$C$3:$K$47,5,0)</f>
        <v>06</v>
      </c>
      <c r="L1826" s="29" t="str">
        <f>VLOOKUP(G1826,'insumos terrapl'!$C$3:$K$47,6,0)</f>
        <v>00</v>
      </c>
      <c r="M1826" s="29" t="str">
        <f>VLOOKUP(G1826,'insumos terrapl'!$C$3:$K$47,7,0)</f>
        <v>00</v>
      </c>
      <c r="N1826" s="29" t="str">
        <f>VLOOKUP(G1826,'insumos terrapl'!$C$3:$K$47,8,0)</f>
        <v>00</v>
      </c>
      <c r="O1826" s="97" t="str">
        <f>VLOOKUP(G1826,'insumos terrapl'!$C$3:$K$47,9,0)</f>
        <v>00</v>
      </c>
    </row>
    <row r="1827" spans="1:15" ht="30">
      <c r="A1827" s="134"/>
      <c r="B1827" s="137"/>
      <c r="C1827" s="125"/>
      <c r="D1827" s="115"/>
      <c r="E1827" s="115"/>
      <c r="F1827" s="11" t="s">
        <v>639</v>
      </c>
      <c r="G1827" s="20" t="s">
        <v>640</v>
      </c>
      <c r="H1827" s="29" t="str">
        <f>VLOOKUP(G1827,'insumos terrapl'!$C$3:$K$47,2,0)</f>
        <v>2N  58  06  00  00  00  00</v>
      </c>
      <c r="I1827" s="29" t="str">
        <f>VLOOKUP(G1827,'insumos terrapl'!$C$3:$K$47,3,0)</f>
        <v>2N</v>
      </c>
      <c r="J1827" s="29">
        <f>VLOOKUP(G1827,'insumos terrapl'!$C$3:$K$47,4,0)</f>
        <v>58</v>
      </c>
      <c r="K1827" s="29" t="str">
        <f>VLOOKUP(G1827,'insumos terrapl'!$C$3:$K$47,5,0)</f>
        <v>06</v>
      </c>
      <c r="L1827" s="29" t="str">
        <f>VLOOKUP(G1827,'insumos terrapl'!$C$3:$K$47,6,0)</f>
        <v>00</v>
      </c>
      <c r="M1827" s="29" t="str">
        <f>VLOOKUP(G1827,'insumos terrapl'!$C$3:$K$47,7,0)</f>
        <v>00</v>
      </c>
      <c r="N1827" s="29" t="str">
        <f>VLOOKUP(G1827,'insumos terrapl'!$C$3:$K$47,8,0)</f>
        <v>00</v>
      </c>
      <c r="O1827" s="97" t="str">
        <f>VLOOKUP(G1827,'insumos terrapl'!$C$3:$K$47,9,0)</f>
        <v>00</v>
      </c>
    </row>
    <row r="1828" spans="1:15">
      <c r="A1828" s="134"/>
      <c r="B1828" s="137"/>
      <c r="C1828" s="125"/>
      <c r="D1828" s="115"/>
      <c r="E1828" s="115"/>
      <c r="F1828" s="11" t="s">
        <v>641</v>
      </c>
      <c r="G1828" s="20" t="s">
        <v>642</v>
      </c>
      <c r="H1828" s="29" t="str">
        <f>VLOOKUP(G1828,'insumos terrapl'!$C$3:$K$47,2,0)</f>
        <v>2N  58  06  00  00  00  00</v>
      </c>
      <c r="I1828" s="29" t="str">
        <f>VLOOKUP(G1828,'insumos terrapl'!$C$3:$K$47,3,0)</f>
        <v>2N</v>
      </c>
      <c r="J1828" s="29">
        <f>VLOOKUP(G1828,'insumos terrapl'!$C$3:$K$47,4,0)</f>
        <v>58</v>
      </c>
      <c r="K1828" s="29" t="str">
        <f>VLOOKUP(G1828,'insumos terrapl'!$C$3:$K$47,5,0)</f>
        <v>06</v>
      </c>
      <c r="L1828" s="29" t="str">
        <f>VLOOKUP(G1828,'insumos terrapl'!$C$3:$K$47,6,0)</f>
        <v>00</v>
      </c>
      <c r="M1828" s="29" t="str">
        <f>VLOOKUP(G1828,'insumos terrapl'!$C$3:$K$47,7,0)</f>
        <v>00</v>
      </c>
      <c r="N1828" s="29" t="str">
        <f>VLOOKUP(G1828,'insumos terrapl'!$C$3:$K$47,8,0)</f>
        <v>00</v>
      </c>
      <c r="O1828" s="97" t="str">
        <f>VLOOKUP(G1828,'insumos terrapl'!$C$3:$K$47,9,0)</f>
        <v>00</v>
      </c>
    </row>
    <row r="1829" spans="1:15">
      <c r="A1829" s="134"/>
      <c r="B1829" s="137"/>
      <c r="C1829" s="125"/>
      <c r="D1829" s="115"/>
      <c r="E1829" s="115"/>
      <c r="F1829" s="11" t="s">
        <v>619</v>
      </c>
      <c r="G1829" s="20" t="s">
        <v>620</v>
      </c>
      <c r="H1829" s="29"/>
      <c r="I1829" s="29"/>
      <c r="J1829" s="29"/>
      <c r="K1829" s="29"/>
      <c r="L1829" s="29"/>
      <c r="M1829" s="29"/>
      <c r="N1829" s="29"/>
      <c r="O1829" s="97"/>
    </row>
    <row r="1830" spans="1:15">
      <c r="A1830" s="134"/>
      <c r="B1830" s="137"/>
      <c r="C1830" s="125"/>
      <c r="D1830" s="115"/>
      <c r="E1830" s="115"/>
      <c r="F1830" s="11" t="s">
        <v>643</v>
      </c>
      <c r="G1830" s="20" t="s">
        <v>644</v>
      </c>
      <c r="H1830" s="29" t="str">
        <f>VLOOKUP(G1830,'insumos terrapl'!$C$3:$K$47,2,0)</f>
        <v>2N  58  06  00  00  00  00</v>
      </c>
      <c r="I1830" s="29" t="str">
        <f>VLOOKUP(G1830,'insumos terrapl'!$C$3:$K$47,3,0)</f>
        <v>2N</v>
      </c>
      <c r="J1830" s="29">
        <f>VLOOKUP(G1830,'insumos terrapl'!$C$3:$K$47,4,0)</f>
        <v>58</v>
      </c>
      <c r="K1830" s="29" t="str">
        <f>VLOOKUP(G1830,'insumos terrapl'!$C$3:$K$47,5,0)</f>
        <v>06</v>
      </c>
      <c r="L1830" s="29" t="str">
        <f>VLOOKUP(G1830,'insumos terrapl'!$C$3:$K$47,6,0)</f>
        <v>00</v>
      </c>
      <c r="M1830" s="29" t="str">
        <f>VLOOKUP(G1830,'insumos terrapl'!$C$3:$K$47,7,0)</f>
        <v>00</v>
      </c>
      <c r="N1830" s="29" t="str">
        <f>VLOOKUP(G1830,'insumos terrapl'!$C$3:$K$47,8,0)</f>
        <v>00</v>
      </c>
      <c r="O1830" s="97" t="str">
        <f>VLOOKUP(G1830,'insumos terrapl'!$C$3:$K$47,9,0)</f>
        <v>00</v>
      </c>
    </row>
    <row r="1831" spans="1:15">
      <c r="A1831" s="134"/>
      <c r="B1831" s="137"/>
      <c r="C1831" s="125"/>
      <c r="D1831" s="115"/>
      <c r="E1831" s="115"/>
      <c r="F1831" s="11" t="s">
        <v>645</v>
      </c>
      <c r="G1831" s="20" t="s">
        <v>646</v>
      </c>
      <c r="H1831" s="29" t="str">
        <f>VLOOKUP(G1831,'insumos terrapl'!$C$3:$K$47,2,0)</f>
        <v>2N  58  06  00  00  00  00</v>
      </c>
      <c r="I1831" s="29" t="str">
        <f>VLOOKUP(G1831,'insumos terrapl'!$C$3:$K$47,3,0)</f>
        <v>2N</v>
      </c>
      <c r="J1831" s="29">
        <f>VLOOKUP(G1831,'insumos terrapl'!$C$3:$K$47,4,0)</f>
        <v>58</v>
      </c>
      <c r="K1831" s="29" t="str">
        <f>VLOOKUP(G1831,'insumos terrapl'!$C$3:$K$47,5,0)</f>
        <v>06</v>
      </c>
      <c r="L1831" s="29" t="str">
        <f>VLOOKUP(G1831,'insumos terrapl'!$C$3:$K$47,6,0)</f>
        <v>00</v>
      </c>
      <c r="M1831" s="29" t="str">
        <f>VLOOKUP(G1831,'insumos terrapl'!$C$3:$K$47,7,0)</f>
        <v>00</v>
      </c>
      <c r="N1831" s="29" t="str">
        <f>VLOOKUP(G1831,'insumos terrapl'!$C$3:$K$47,8,0)</f>
        <v>00</v>
      </c>
      <c r="O1831" s="97" t="str">
        <f>VLOOKUP(G1831,'insumos terrapl'!$C$3:$K$47,9,0)</f>
        <v>00</v>
      </c>
    </row>
    <row r="1832" spans="1:15" ht="30">
      <c r="A1832" s="134"/>
      <c r="B1832" s="137"/>
      <c r="C1832" s="125"/>
      <c r="D1832" s="115"/>
      <c r="E1832" s="115"/>
      <c r="F1832" s="11" t="s">
        <v>647</v>
      </c>
      <c r="G1832" s="20" t="s">
        <v>648</v>
      </c>
      <c r="H1832" s="29" t="str">
        <f>VLOOKUP(G1832,'insumos terrapl'!$C$3:$K$47,2,0)</f>
        <v>2N  58  06  00  00  00  00</v>
      </c>
      <c r="I1832" s="29" t="str">
        <f>VLOOKUP(G1832,'insumos terrapl'!$C$3:$K$47,3,0)</f>
        <v>2N</v>
      </c>
      <c r="J1832" s="29">
        <f>VLOOKUP(G1832,'insumos terrapl'!$C$3:$K$47,4,0)</f>
        <v>58</v>
      </c>
      <c r="K1832" s="29" t="str">
        <f>VLOOKUP(G1832,'insumos terrapl'!$C$3:$K$47,5,0)</f>
        <v>06</v>
      </c>
      <c r="L1832" s="29" t="str">
        <f>VLOOKUP(G1832,'insumos terrapl'!$C$3:$K$47,6,0)</f>
        <v>00</v>
      </c>
      <c r="M1832" s="29" t="str">
        <f>VLOOKUP(G1832,'insumos terrapl'!$C$3:$K$47,7,0)</f>
        <v>00</v>
      </c>
      <c r="N1832" s="29" t="str">
        <f>VLOOKUP(G1832,'insumos terrapl'!$C$3:$K$47,8,0)</f>
        <v>00</v>
      </c>
      <c r="O1832" s="97" t="str">
        <f>VLOOKUP(G1832,'insumos terrapl'!$C$3:$K$47,9,0)</f>
        <v>00</v>
      </c>
    </row>
    <row r="1833" spans="1:15">
      <c r="A1833" s="134"/>
      <c r="B1833" s="137"/>
      <c r="C1833" s="125"/>
      <c r="D1833" s="115"/>
      <c r="E1833" s="115"/>
      <c r="F1833" s="11" t="s">
        <v>621</v>
      </c>
      <c r="G1833" s="20" t="s">
        <v>622</v>
      </c>
      <c r="H1833" s="29" t="str">
        <f>VLOOKUP(G1833,'insumos terrapl'!$C$3:$K$47,2,0)</f>
        <v>2N  58  06  00  00  00  00</v>
      </c>
      <c r="I1833" s="29" t="str">
        <f>VLOOKUP(G1833,'insumos terrapl'!$C$3:$K$47,3,0)</f>
        <v>2N</v>
      </c>
      <c r="J1833" s="29">
        <f>VLOOKUP(G1833,'insumos terrapl'!$C$3:$K$47,4,0)</f>
        <v>58</v>
      </c>
      <c r="K1833" s="29" t="str">
        <f>VLOOKUP(G1833,'insumos terrapl'!$C$3:$K$47,5,0)</f>
        <v>06</v>
      </c>
      <c r="L1833" s="29" t="str">
        <f>VLOOKUP(G1833,'insumos terrapl'!$C$3:$K$47,6,0)</f>
        <v>00</v>
      </c>
      <c r="M1833" s="29" t="str">
        <f>VLOOKUP(G1833,'insumos terrapl'!$C$3:$K$47,7,0)</f>
        <v>00</v>
      </c>
      <c r="N1833" s="29" t="str">
        <f>VLOOKUP(G1833,'insumos terrapl'!$C$3:$K$47,8,0)</f>
        <v>00</v>
      </c>
      <c r="O1833" s="97" t="str">
        <f>VLOOKUP(G1833,'insumos terrapl'!$C$3:$K$47,9,0)</f>
        <v>00</v>
      </c>
    </row>
    <row r="1834" spans="1:15">
      <c r="A1834" s="134"/>
      <c r="B1834" s="137"/>
      <c r="C1834" s="132"/>
      <c r="D1834" s="116"/>
      <c r="E1834" s="115"/>
      <c r="F1834" s="10"/>
      <c r="G1834" s="20"/>
      <c r="H1834" s="29"/>
      <c r="I1834" s="29"/>
      <c r="J1834" s="29"/>
      <c r="K1834" s="29"/>
      <c r="L1834" s="29"/>
      <c r="M1834" s="29"/>
      <c r="N1834" s="29"/>
      <c r="O1834" s="97"/>
    </row>
    <row r="1835" spans="1:15">
      <c r="A1835" s="134"/>
      <c r="B1835" s="137"/>
      <c r="C1835" s="124" t="s">
        <v>271</v>
      </c>
      <c r="D1835" s="114" t="str">
        <f>$A$1095</f>
        <v>2.6.8</v>
      </c>
      <c r="E1835" s="114" t="s">
        <v>529</v>
      </c>
      <c r="F1835" s="12" t="s">
        <v>271</v>
      </c>
      <c r="G1835" s="19"/>
      <c r="H1835" s="28"/>
      <c r="I1835" s="28"/>
      <c r="J1835" s="28"/>
      <c r="K1835" s="28"/>
      <c r="L1835" s="28"/>
      <c r="M1835" s="28"/>
      <c r="N1835" s="28"/>
      <c r="O1835" s="99"/>
    </row>
    <row r="1836" spans="1:15" ht="30">
      <c r="A1836" s="134"/>
      <c r="B1836" s="137"/>
      <c r="C1836" s="125"/>
      <c r="D1836" s="115"/>
      <c r="E1836" s="115"/>
      <c r="F1836" s="11" t="s">
        <v>659</v>
      </c>
      <c r="G1836" s="20" t="s">
        <v>660</v>
      </c>
      <c r="H1836" s="29" t="str">
        <f>VLOOKUP(G1836,'insumos terrapl'!$C$3:$K$47,2,0)</f>
        <v>2Q  66  10  02  00  00  00</v>
      </c>
      <c r="I1836" s="29" t="str">
        <f>VLOOKUP(G1836,'insumos terrapl'!$C$3:$K$47,3,0)</f>
        <v>2Q</v>
      </c>
      <c r="J1836" s="29">
        <f>VLOOKUP(G1836,'insumos terrapl'!$C$3:$K$47,4,0)</f>
        <v>66</v>
      </c>
      <c r="K1836" s="29" t="str">
        <f>VLOOKUP(G1836,'insumos terrapl'!$C$3:$K$47,5,0)</f>
        <v>10</v>
      </c>
      <c r="L1836" s="29" t="str">
        <f>VLOOKUP(G1836,'insumos terrapl'!$C$3:$K$47,6,0)</f>
        <v>02</v>
      </c>
      <c r="M1836" s="29" t="str">
        <f>VLOOKUP(G1836,'insumos terrapl'!$C$3:$K$47,7,0)</f>
        <v>00</v>
      </c>
      <c r="N1836" s="29" t="str">
        <f>VLOOKUP(G1836,'insumos terrapl'!$C$3:$K$47,8,0)</f>
        <v>00</v>
      </c>
      <c r="O1836" s="97" t="str">
        <f>VLOOKUP(G1836,'insumos terrapl'!$C$3:$K$47,9,0)</f>
        <v>00</v>
      </c>
    </row>
    <row r="1837" spans="1:15" ht="30">
      <c r="A1837" s="134"/>
      <c r="B1837" s="137"/>
      <c r="C1837" s="125"/>
      <c r="D1837" s="115"/>
      <c r="E1837" s="115"/>
      <c r="F1837" s="11" t="s">
        <v>661</v>
      </c>
      <c r="G1837" s="20" t="s">
        <v>662</v>
      </c>
      <c r="H1837" s="29" t="str">
        <f>VLOOKUP(G1837,'insumos terrapl'!$C$3:$K$47,2,0)</f>
        <v>2Q  62  10  06  00  00  00</v>
      </c>
      <c r="I1837" s="29" t="str">
        <f>VLOOKUP(G1837,'insumos terrapl'!$C$3:$K$47,3,0)</f>
        <v>2Q</v>
      </c>
      <c r="J1837" s="29">
        <f>VLOOKUP(G1837,'insumos terrapl'!$C$3:$K$47,4,0)</f>
        <v>62</v>
      </c>
      <c r="K1837" s="29" t="str">
        <f>VLOOKUP(G1837,'insumos terrapl'!$C$3:$K$47,5,0)</f>
        <v>10</v>
      </c>
      <c r="L1837" s="29" t="str">
        <f>VLOOKUP(G1837,'insumos terrapl'!$C$3:$K$47,6,0)</f>
        <v>06</v>
      </c>
      <c r="M1837" s="29" t="str">
        <f>VLOOKUP(G1837,'insumos terrapl'!$C$3:$K$47,7,0)</f>
        <v>00</v>
      </c>
      <c r="N1837" s="29" t="str">
        <f>VLOOKUP(G1837,'insumos terrapl'!$C$3:$K$47,8,0)</f>
        <v>00</v>
      </c>
      <c r="O1837" s="97" t="str">
        <f>VLOOKUP(G1837,'insumos terrapl'!$C$3:$K$47,9,0)</f>
        <v>00</v>
      </c>
    </row>
    <row r="1838" spans="1:15" ht="30">
      <c r="A1838" s="134"/>
      <c r="B1838" s="137"/>
      <c r="C1838" s="125"/>
      <c r="D1838" s="115"/>
      <c r="E1838" s="115"/>
      <c r="F1838" s="11" t="s">
        <v>607</v>
      </c>
      <c r="G1838" s="20" t="s">
        <v>608</v>
      </c>
      <c r="H1838" s="29" t="str">
        <f>VLOOKUP(G1838,'insumos terrapl'!$C$3:$K$47,2,0)</f>
        <v>2Q  42  06  18  02  02  00</v>
      </c>
      <c r="I1838" s="29" t="str">
        <f>VLOOKUP(G1838,'insumos terrapl'!$C$3:$K$47,3,0)</f>
        <v>2Q</v>
      </c>
      <c r="J1838" s="29">
        <f>VLOOKUP(G1838,'insumos terrapl'!$C$3:$K$47,4,0)</f>
        <v>42</v>
      </c>
      <c r="K1838" s="29" t="str">
        <f>VLOOKUP(G1838,'insumos terrapl'!$C$3:$K$47,5,0)</f>
        <v>06</v>
      </c>
      <c r="L1838" s="29">
        <f>VLOOKUP(G1838,'insumos terrapl'!$C$3:$K$47,6,0)</f>
        <v>18</v>
      </c>
      <c r="M1838" s="29" t="str">
        <f>VLOOKUP(G1838,'insumos terrapl'!$C$3:$K$47,7,0)</f>
        <v>02</v>
      </c>
      <c r="N1838" s="29" t="str">
        <f>VLOOKUP(G1838,'insumos terrapl'!$C$3:$K$47,8,0)</f>
        <v>02</v>
      </c>
      <c r="O1838" s="97" t="str">
        <f>VLOOKUP(G1838,'insumos terrapl'!$C$3:$K$47,9,0)</f>
        <v>00</v>
      </c>
    </row>
    <row r="1839" spans="1:15" ht="45">
      <c r="A1839" s="134"/>
      <c r="B1839" s="137"/>
      <c r="C1839" s="125"/>
      <c r="D1839" s="115"/>
      <c r="E1839" s="115"/>
      <c r="F1839" s="11" t="s">
        <v>609</v>
      </c>
      <c r="G1839" s="20" t="s">
        <v>610</v>
      </c>
      <c r="H1839" s="29" t="str">
        <f>VLOOKUP(G1839,'insumos terrapl'!$C$3:$K$47,2,0)</f>
        <v>2Q  42  06  02  14  02  00</v>
      </c>
      <c r="I1839" s="29" t="str">
        <f>VLOOKUP(G1839,'insumos terrapl'!$C$3:$K$47,3,0)</f>
        <v>2Q</v>
      </c>
      <c r="J1839" s="29">
        <f>VLOOKUP(G1839,'insumos terrapl'!$C$3:$K$47,4,0)</f>
        <v>42</v>
      </c>
      <c r="K1839" s="29" t="str">
        <f>VLOOKUP(G1839,'insumos terrapl'!$C$3:$K$47,5,0)</f>
        <v>06</v>
      </c>
      <c r="L1839" s="29" t="str">
        <f>VLOOKUP(G1839,'insumos terrapl'!$C$3:$K$47,6,0)</f>
        <v>02</v>
      </c>
      <c r="M1839" s="29" t="str">
        <f>VLOOKUP(G1839,'insumos terrapl'!$C$3:$K$47,7,0)</f>
        <v>14</v>
      </c>
      <c r="N1839" s="29" t="str">
        <f>VLOOKUP(G1839,'insumos terrapl'!$C$3:$K$47,8,0)</f>
        <v>02</v>
      </c>
      <c r="O1839" s="97" t="str">
        <f>VLOOKUP(G1839,'insumos terrapl'!$C$3:$K$47,9,0)</f>
        <v>00</v>
      </c>
    </row>
    <row r="1840" spans="1:15">
      <c r="A1840" s="134"/>
      <c r="B1840" s="137"/>
      <c r="C1840" s="125"/>
      <c r="D1840" s="115"/>
      <c r="E1840" s="115"/>
      <c r="F1840" s="11" t="s">
        <v>633</v>
      </c>
      <c r="G1840" s="20" t="s">
        <v>634</v>
      </c>
      <c r="H1840" s="29" t="str">
        <f>VLOOKUP(G1840,'insumos terrapl'!$C$3:$K$47,2,0)</f>
        <v>2Q  58  10  10  02  06  00</v>
      </c>
      <c r="I1840" s="29" t="str">
        <f>VLOOKUP(G1840,'insumos terrapl'!$C$3:$K$47,3,0)</f>
        <v>2Q</v>
      </c>
      <c r="J1840" s="29">
        <f>VLOOKUP(G1840,'insumos terrapl'!$C$3:$K$47,4,0)</f>
        <v>58</v>
      </c>
      <c r="K1840" s="29" t="str">
        <f>VLOOKUP(G1840,'insumos terrapl'!$C$3:$K$47,5,0)</f>
        <v>10</v>
      </c>
      <c r="L1840" s="29" t="str">
        <f>VLOOKUP(G1840,'insumos terrapl'!$C$3:$K$47,6,0)</f>
        <v>10</v>
      </c>
      <c r="M1840" s="29" t="str">
        <f>VLOOKUP(G1840,'insumos terrapl'!$C$3:$K$47,7,0)</f>
        <v>02</v>
      </c>
      <c r="N1840" s="29" t="str">
        <f>VLOOKUP(G1840,'insumos terrapl'!$C$3:$K$47,8,0)</f>
        <v>06</v>
      </c>
      <c r="O1840" s="97" t="str">
        <f>VLOOKUP(G1840,'insumos terrapl'!$C$3:$K$47,9,0)</f>
        <v>00</v>
      </c>
    </row>
    <row r="1841" spans="1:15">
      <c r="A1841" s="134"/>
      <c r="B1841" s="137"/>
      <c r="C1841" s="125"/>
      <c r="D1841" s="115"/>
      <c r="E1841" s="115"/>
      <c r="F1841" s="11" t="s">
        <v>586</v>
      </c>
      <c r="G1841" s="20" t="s">
        <v>587</v>
      </c>
      <c r="H1841" s="29" t="str">
        <f>VLOOKUP(G1841,'insumos terrapl'!$C$3:$K$47,2,0)</f>
        <v>2Q  62  30  02  14  00  00</v>
      </c>
      <c r="I1841" s="29" t="str">
        <f>VLOOKUP(G1841,'insumos terrapl'!$C$3:$K$47,3,0)</f>
        <v>2Q</v>
      </c>
      <c r="J1841" s="29">
        <f>VLOOKUP(G1841,'insumos terrapl'!$C$3:$K$47,4,0)</f>
        <v>62</v>
      </c>
      <c r="K1841" s="29">
        <f>VLOOKUP(G1841,'insumos terrapl'!$C$3:$K$47,5,0)</f>
        <v>30</v>
      </c>
      <c r="L1841" s="29" t="str">
        <f>VLOOKUP(G1841,'insumos terrapl'!$C$3:$K$47,6,0)</f>
        <v>02</v>
      </c>
      <c r="M1841" s="29" t="str">
        <f>VLOOKUP(G1841,'insumos terrapl'!$C$3:$K$47,7,0)</f>
        <v>14</v>
      </c>
      <c r="N1841" s="29" t="str">
        <f>VLOOKUP(G1841,'insumos terrapl'!$C$3:$K$47,8,0)</f>
        <v>00</v>
      </c>
      <c r="O1841" s="97" t="str">
        <f>VLOOKUP(G1841,'insumos terrapl'!$C$3:$K$47,9,0)</f>
        <v>00</v>
      </c>
    </row>
    <row r="1842" spans="1:15">
      <c r="A1842" s="134"/>
      <c r="B1842" s="137"/>
      <c r="C1842" s="125"/>
      <c r="D1842" s="115"/>
      <c r="E1842" s="115"/>
      <c r="F1842" s="11" t="s">
        <v>613</v>
      </c>
      <c r="G1842" s="20" t="s">
        <v>614</v>
      </c>
      <c r="H1842" s="29" t="str">
        <f>VLOOKUP(G1842,'insumos terrapl'!$C$3:$K$47,2,0)</f>
        <v>2N  20  14  02  00  00  00</v>
      </c>
      <c r="I1842" s="29" t="str">
        <f>VLOOKUP(G1842,'insumos terrapl'!$C$3:$K$47,3,0)</f>
        <v>2N</v>
      </c>
      <c r="J1842" s="29">
        <f>VLOOKUP(G1842,'insumos terrapl'!$C$3:$K$47,4,0)</f>
        <v>20</v>
      </c>
      <c r="K1842" s="29" t="str">
        <f>VLOOKUP(G1842,'insumos terrapl'!$C$3:$K$47,5,0)</f>
        <v>14</v>
      </c>
      <c r="L1842" s="29" t="str">
        <f>VLOOKUP(G1842,'insumos terrapl'!$C$3:$K$47,6,0)</f>
        <v>02</v>
      </c>
      <c r="M1842" s="29" t="str">
        <f>VLOOKUP(G1842,'insumos terrapl'!$C$3:$K$47,7,0)</f>
        <v>00</v>
      </c>
      <c r="N1842" s="29" t="str">
        <f>VLOOKUP(G1842,'insumos terrapl'!$C$3:$K$47,8,0)</f>
        <v>00</v>
      </c>
      <c r="O1842" s="97" t="str">
        <f>VLOOKUP(G1842,'insumos terrapl'!$C$3:$K$47,9,0)</f>
        <v>00</v>
      </c>
    </row>
    <row r="1843" spans="1:15">
      <c r="A1843" s="134"/>
      <c r="B1843" s="137"/>
      <c r="C1843" s="125"/>
      <c r="D1843" s="115"/>
      <c r="E1843" s="115"/>
      <c r="F1843" s="11" t="s">
        <v>615</v>
      </c>
      <c r="G1843" s="20" t="s">
        <v>616</v>
      </c>
      <c r="H1843" s="29" t="str">
        <f>VLOOKUP(G1843,'insumos terrapl'!$C$3:$K$47,2,0)</f>
        <v>2N  20  14  02  00  00  00</v>
      </c>
      <c r="I1843" s="29" t="str">
        <f>VLOOKUP(G1843,'insumos terrapl'!$C$3:$K$47,3,0)</f>
        <v>2N</v>
      </c>
      <c r="J1843" s="29">
        <f>VLOOKUP(G1843,'insumos terrapl'!$C$3:$K$47,4,0)</f>
        <v>20</v>
      </c>
      <c r="K1843" s="29" t="str">
        <f>VLOOKUP(G1843,'insumos terrapl'!$C$3:$K$47,5,0)</f>
        <v>14</v>
      </c>
      <c r="L1843" s="29" t="str">
        <f>VLOOKUP(G1843,'insumos terrapl'!$C$3:$K$47,6,0)</f>
        <v>02</v>
      </c>
      <c r="M1843" s="29" t="str">
        <f>VLOOKUP(G1843,'insumos terrapl'!$C$3:$K$47,7,0)</f>
        <v>00</v>
      </c>
      <c r="N1843" s="29" t="str">
        <f>VLOOKUP(G1843,'insumos terrapl'!$C$3:$K$47,8,0)</f>
        <v>00</v>
      </c>
      <c r="O1843" s="97" t="str">
        <f>VLOOKUP(G1843,'insumos terrapl'!$C$3:$K$47,9,0)</f>
        <v>00</v>
      </c>
    </row>
    <row r="1844" spans="1:15" ht="30">
      <c r="A1844" s="134"/>
      <c r="B1844" s="137"/>
      <c r="C1844" s="125"/>
      <c r="D1844" s="115"/>
      <c r="E1844" s="115"/>
      <c r="F1844" s="11" t="s">
        <v>635</v>
      </c>
      <c r="G1844" s="20" t="s">
        <v>636</v>
      </c>
      <c r="H1844" s="29" t="str">
        <f>VLOOKUP(G1844,'insumos terrapl'!$C$3:$K$47,2,0)</f>
        <v>2N  58  06  00  00  00  00</v>
      </c>
      <c r="I1844" s="29" t="str">
        <f>VLOOKUP(G1844,'insumos terrapl'!$C$3:$K$47,3,0)</f>
        <v>2N</v>
      </c>
      <c r="J1844" s="29">
        <f>VLOOKUP(G1844,'insumos terrapl'!$C$3:$K$47,4,0)</f>
        <v>58</v>
      </c>
      <c r="K1844" s="29" t="str">
        <f>VLOOKUP(G1844,'insumos terrapl'!$C$3:$K$47,5,0)</f>
        <v>06</v>
      </c>
      <c r="L1844" s="29" t="str">
        <f>VLOOKUP(G1844,'insumos terrapl'!$C$3:$K$47,6,0)</f>
        <v>00</v>
      </c>
      <c r="M1844" s="29" t="str">
        <f>VLOOKUP(G1844,'insumos terrapl'!$C$3:$K$47,7,0)</f>
        <v>00</v>
      </c>
      <c r="N1844" s="29" t="str">
        <f>VLOOKUP(G1844,'insumos terrapl'!$C$3:$K$47,8,0)</f>
        <v>00</v>
      </c>
      <c r="O1844" s="97" t="str">
        <f>VLOOKUP(G1844,'insumos terrapl'!$C$3:$K$47,9,0)</f>
        <v>00</v>
      </c>
    </row>
    <row r="1845" spans="1:15">
      <c r="A1845" s="134"/>
      <c r="B1845" s="137"/>
      <c r="C1845" s="125"/>
      <c r="D1845" s="115"/>
      <c r="E1845" s="115"/>
      <c r="F1845" s="11" t="s">
        <v>617</v>
      </c>
      <c r="G1845" s="20" t="s">
        <v>618</v>
      </c>
      <c r="H1845" s="29" t="str">
        <f>VLOOKUP(G1845,'insumos terrapl'!$C$3:$K$47,2,0)</f>
        <v>2Q  58  06  02  28  00  00</v>
      </c>
      <c r="I1845" s="29" t="str">
        <f>VLOOKUP(G1845,'insumos terrapl'!$C$3:$K$47,3,0)</f>
        <v>2Q</v>
      </c>
      <c r="J1845" s="29">
        <f>VLOOKUP(G1845,'insumos terrapl'!$C$3:$K$47,4,0)</f>
        <v>58</v>
      </c>
      <c r="K1845" s="29" t="str">
        <f>VLOOKUP(G1845,'insumos terrapl'!$C$3:$K$47,5,0)</f>
        <v>06</v>
      </c>
      <c r="L1845" s="29" t="str">
        <f>VLOOKUP(G1845,'insumos terrapl'!$C$3:$K$47,6,0)</f>
        <v>02</v>
      </c>
      <c r="M1845" s="29" t="str">
        <f>VLOOKUP(G1845,'insumos terrapl'!$C$3:$K$47,7,0)</f>
        <v>28</v>
      </c>
      <c r="N1845" s="29" t="str">
        <f>VLOOKUP(G1845,'insumos terrapl'!$C$3:$K$47,8,0)</f>
        <v>00</v>
      </c>
      <c r="O1845" s="97" t="str">
        <f>VLOOKUP(G1845,'insumos terrapl'!$C$3:$K$47,9,0)</f>
        <v>00</v>
      </c>
    </row>
    <row r="1846" spans="1:15" ht="30">
      <c r="A1846" s="134"/>
      <c r="B1846" s="137"/>
      <c r="C1846" s="125"/>
      <c r="D1846" s="115"/>
      <c r="E1846" s="115"/>
      <c r="F1846" s="11" t="s">
        <v>637</v>
      </c>
      <c r="G1846" s="20" t="s">
        <v>638</v>
      </c>
      <c r="H1846" s="29" t="str">
        <f>VLOOKUP(G1846,'insumos terrapl'!$C$3:$K$47,2,0)</f>
        <v>2N  58  06  00  00  00  00</v>
      </c>
      <c r="I1846" s="29" t="str">
        <f>VLOOKUP(G1846,'insumos terrapl'!$C$3:$K$47,3,0)</f>
        <v>2N</v>
      </c>
      <c r="J1846" s="29">
        <f>VLOOKUP(G1846,'insumos terrapl'!$C$3:$K$47,4,0)</f>
        <v>58</v>
      </c>
      <c r="K1846" s="29" t="str">
        <f>VLOOKUP(G1846,'insumos terrapl'!$C$3:$K$47,5,0)</f>
        <v>06</v>
      </c>
      <c r="L1846" s="29" t="str">
        <f>VLOOKUP(G1846,'insumos terrapl'!$C$3:$K$47,6,0)</f>
        <v>00</v>
      </c>
      <c r="M1846" s="29" t="str">
        <f>VLOOKUP(G1846,'insumos terrapl'!$C$3:$K$47,7,0)</f>
        <v>00</v>
      </c>
      <c r="N1846" s="29" t="str">
        <f>VLOOKUP(G1846,'insumos terrapl'!$C$3:$K$47,8,0)</f>
        <v>00</v>
      </c>
      <c r="O1846" s="97" t="str">
        <f>VLOOKUP(G1846,'insumos terrapl'!$C$3:$K$47,9,0)</f>
        <v>00</v>
      </c>
    </row>
    <row r="1847" spans="1:15" ht="30">
      <c r="A1847" s="134"/>
      <c r="B1847" s="137"/>
      <c r="C1847" s="125"/>
      <c r="D1847" s="115"/>
      <c r="E1847" s="115"/>
      <c r="F1847" s="11" t="s">
        <v>639</v>
      </c>
      <c r="G1847" s="20" t="s">
        <v>640</v>
      </c>
      <c r="H1847" s="29" t="str">
        <f>VLOOKUP(G1847,'insumos terrapl'!$C$3:$K$47,2,0)</f>
        <v>2N  58  06  00  00  00  00</v>
      </c>
      <c r="I1847" s="29" t="str">
        <f>VLOOKUP(G1847,'insumos terrapl'!$C$3:$K$47,3,0)</f>
        <v>2N</v>
      </c>
      <c r="J1847" s="29">
        <f>VLOOKUP(G1847,'insumos terrapl'!$C$3:$K$47,4,0)</f>
        <v>58</v>
      </c>
      <c r="K1847" s="29" t="str">
        <f>VLOOKUP(G1847,'insumos terrapl'!$C$3:$K$47,5,0)</f>
        <v>06</v>
      </c>
      <c r="L1847" s="29" t="str">
        <f>VLOOKUP(G1847,'insumos terrapl'!$C$3:$K$47,6,0)</f>
        <v>00</v>
      </c>
      <c r="M1847" s="29" t="str">
        <f>VLOOKUP(G1847,'insumos terrapl'!$C$3:$K$47,7,0)</f>
        <v>00</v>
      </c>
      <c r="N1847" s="29" t="str">
        <f>VLOOKUP(G1847,'insumos terrapl'!$C$3:$K$47,8,0)</f>
        <v>00</v>
      </c>
      <c r="O1847" s="97" t="str">
        <f>VLOOKUP(G1847,'insumos terrapl'!$C$3:$K$47,9,0)</f>
        <v>00</v>
      </c>
    </row>
    <row r="1848" spans="1:15">
      <c r="A1848" s="134"/>
      <c r="B1848" s="137"/>
      <c r="C1848" s="125"/>
      <c r="D1848" s="115"/>
      <c r="E1848" s="115"/>
      <c r="F1848" s="11" t="s">
        <v>641</v>
      </c>
      <c r="G1848" s="20" t="s">
        <v>642</v>
      </c>
      <c r="H1848" s="29" t="str">
        <f>VLOOKUP(G1848,'insumos terrapl'!$C$3:$K$47,2,0)</f>
        <v>2N  58  06  00  00  00  00</v>
      </c>
      <c r="I1848" s="29" t="str">
        <f>VLOOKUP(G1848,'insumos terrapl'!$C$3:$K$47,3,0)</f>
        <v>2N</v>
      </c>
      <c r="J1848" s="29">
        <f>VLOOKUP(G1848,'insumos terrapl'!$C$3:$K$47,4,0)</f>
        <v>58</v>
      </c>
      <c r="K1848" s="29" t="str">
        <f>VLOOKUP(G1848,'insumos terrapl'!$C$3:$K$47,5,0)</f>
        <v>06</v>
      </c>
      <c r="L1848" s="29" t="str">
        <f>VLOOKUP(G1848,'insumos terrapl'!$C$3:$K$47,6,0)</f>
        <v>00</v>
      </c>
      <c r="M1848" s="29" t="str">
        <f>VLOOKUP(G1848,'insumos terrapl'!$C$3:$K$47,7,0)</f>
        <v>00</v>
      </c>
      <c r="N1848" s="29" t="str">
        <f>VLOOKUP(G1848,'insumos terrapl'!$C$3:$K$47,8,0)</f>
        <v>00</v>
      </c>
      <c r="O1848" s="97" t="str">
        <f>VLOOKUP(G1848,'insumos terrapl'!$C$3:$K$47,9,0)</f>
        <v>00</v>
      </c>
    </row>
    <row r="1849" spans="1:15">
      <c r="A1849" s="134"/>
      <c r="B1849" s="137"/>
      <c r="C1849" s="125"/>
      <c r="D1849" s="115"/>
      <c r="E1849" s="115"/>
      <c r="F1849" s="11" t="s">
        <v>619</v>
      </c>
      <c r="G1849" s="20" t="s">
        <v>620</v>
      </c>
      <c r="H1849" s="29"/>
      <c r="I1849" s="29"/>
      <c r="J1849" s="29"/>
      <c r="K1849" s="29"/>
      <c r="L1849" s="29"/>
      <c r="M1849" s="29"/>
      <c r="N1849" s="29"/>
      <c r="O1849" s="97"/>
    </row>
    <row r="1850" spans="1:15">
      <c r="A1850" s="134"/>
      <c r="B1850" s="137"/>
      <c r="C1850" s="125"/>
      <c r="D1850" s="115"/>
      <c r="E1850" s="115"/>
      <c r="F1850" s="11" t="s">
        <v>643</v>
      </c>
      <c r="G1850" s="20" t="s">
        <v>644</v>
      </c>
      <c r="H1850" s="29" t="str">
        <f>VLOOKUP(G1850,'insumos terrapl'!$C$3:$K$47,2,0)</f>
        <v>2N  58  06  00  00  00  00</v>
      </c>
      <c r="I1850" s="29" t="str">
        <f>VLOOKUP(G1850,'insumos terrapl'!$C$3:$K$47,3,0)</f>
        <v>2N</v>
      </c>
      <c r="J1850" s="29">
        <f>VLOOKUP(G1850,'insumos terrapl'!$C$3:$K$47,4,0)</f>
        <v>58</v>
      </c>
      <c r="K1850" s="29" t="str">
        <f>VLOOKUP(G1850,'insumos terrapl'!$C$3:$K$47,5,0)</f>
        <v>06</v>
      </c>
      <c r="L1850" s="29" t="str">
        <f>VLOOKUP(G1850,'insumos terrapl'!$C$3:$K$47,6,0)</f>
        <v>00</v>
      </c>
      <c r="M1850" s="29" t="str">
        <f>VLOOKUP(G1850,'insumos terrapl'!$C$3:$K$47,7,0)</f>
        <v>00</v>
      </c>
      <c r="N1850" s="29" t="str">
        <f>VLOOKUP(G1850,'insumos terrapl'!$C$3:$K$47,8,0)</f>
        <v>00</v>
      </c>
      <c r="O1850" s="97" t="str">
        <f>VLOOKUP(G1850,'insumos terrapl'!$C$3:$K$47,9,0)</f>
        <v>00</v>
      </c>
    </row>
    <row r="1851" spans="1:15">
      <c r="A1851" s="134"/>
      <c r="B1851" s="137"/>
      <c r="C1851" s="125"/>
      <c r="D1851" s="115"/>
      <c r="E1851" s="115"/>
      <c r="F1851" s="11" t="s">
        <v>645</v>
      </c>
      <c r="G1851" s="20" t="s">
        <v>646</v>
      </c>
      <c r="H1851" s="29" t="str">
        <f>VLOOKUP(G1851,'insumos terrapl'!$C$3:$K$47,2,0)</f>
        <v>2N  58  06  00  00  00  00</v>
      </c>
      <c r="I1851" s="29" t="str">
        <f>VLOOKUP(G1851,'insumos terrapl'!$C$3:$K$47,3,0)</f>
        <v>2N</v>
      </c>
      <c r="J1851" s="29">
        <f>VLOOKUP(G1851,'insumos terrapl'!$C$3:$K$47,4,0)</f>
        <v>58</v>
      </c>
      <c r="K1851" s="29" t="str">
        <f>VLOOKUP(G1851,'insumos terrapl'!$C$3:$K$47,5,0)</f>
        <v>06</v>
      </c>
      <c r="L1851" s="29" t="str">
        <f>VLOOKUP(G1851,'insumos terrapl'!$C$3:$K$47,6,0)</f>
        <v>00</v>
      </c>
      <c r="M1851" s="29" t="str">
        <f>VLOOKUP(G1851,'insumos terrapl'!$C$3:$K$47,7,0)</f>
        <v>00</v>
      </c>
      <c r="N1851" s="29" t="str">
        <f>VLOOKUP(G1851,'insumos terrapl'!$C$3:$K$47,8,0)</f>
        <v>00</v>
      </c>
      <c r="O1851" s="97" t="str">
        <f>VLOOKUP(G1851,'insumos terrapl'!$C$3:$K$47,9,0)</f>
        <v>00</v>
      </c>
    </row>
    <row r="1852" spans="1:15" ht="30">
      <c r="A1852" s="134"/>
      <c r="B1852" s="137"/>
      <c r="C1852" s="125"/>
      <c r="D1852" s="115"/>
      <c r="E1852" s="115"/>
      <c r="F1852" s="11" t="s">
        <v>647</v>
      </c>
      <c r="G1852" s="20" t="s">
        <v>648</v>
      </c>
      <c r="H1852" s="29" t="str">
        <f>VLOOKUP(G1852,'insumos terrapl'!$C$3:$K$47,2,0)</f>
        <v>2N  58  06  00  00  00  00</v>
      </c>
      <c r="I1852" s="29" t="str">
        <f>VLOOKUP(G1852,'insumos terrapl'!$C$3:$K$47,3,0)</f>
        <v>2N</v>
      </c>
      <c r="J1852" s="29">
        <f>VLOOKUP(G1852,'insumos terrapl'!$C$3:$K$47,4,0)</f>
        <v>58</v>
      </c>
      <c r="K1852" s="29" t="str">
        <f>VLOOKUP(G1852,'insumos terrapl'!$C$3:$K$47,5,0)</f>
        <v>06</v>
      </c>
      <c r="L1852" s="29" t="str">
        <f>VLOOKUP(G1852,'insumos terrapl'!$C$3:$K$47,6,0)</f>
        <v>00</v>
      </c>
      <c r="M1852" s="29" t="str">
        <f>VLOOKUP(G1852,'insumos terrapl'!$C$3:$K$47,7,0)</f>
        <v>00</v>
      </c>
      <c r="N1852" s="29" t="str">
        <f>VLOOKUP(G1852,'insumos terrapl'!$C$3:$K$47,8,0)</f>
        <v>00</v>
      </c>
      <c r="O1852" s="97" t="str">
        <f>VLOOKUP(G1852,'insumos terrapl'!$C$3:$K$47,9,0)</f>
        <v>00</v>
      </c>
    </row>
    <row r="1853" spans="1:15">
      <c r="A1853" s="134"/>
      <c r="B1853" s="137"/>
      <c r="C1853" s="125"/>
      <c r="D1853" s="115"/>
      <c r="E1853" s="115"/>
      <c r="F1853" s="11" t="s">
        <v>621</v>
      </c>
      <c r="G1853" s="20" t="s">
        <v>622</v>
      </c>
      <c r="H1853" s="29" t="str">
        <f>VLOOKUP(G1853,'insumos terrapl'!$C$3:$K$47,2,0)</f>
        <v>2N  58  06  00  00  00  00</v>
      </c>
      <c r="I1853" s="29" t="str">
        <f>VLOOKUP(G1853,'insumos terrapl'!$C$3:$K$47,3,0)</f>
        <v>2N</v>
      </c>
      <c r="J1853" s="29">
        <f>VLOOKUP(G1853,'insumos terrapl'!$C$3:$K$47,4,0)</f>
        <v>58</v>
      </c>
      <c r="K1853" s="29" t="str">
        <f>VLOOKUP(G1853,'insumos terrapl'!$C$3:$K$47,5,0)</f>
        <v>06</v>
      </c>
      <c r="L1853" s="29" t="str">
        <f>VLOOKUP(G1853,'insumos terrapl'!$C$3:$K$47,6,0)</f>
        <v>00</v>
      </c>
      <c r="M1853" s="29" t="str">
        <f>VLOOKUP(G1853,'insumos terrapl'!$C$3:$K$47,7,0)</f>
        <v>00</v>
      </c>
      <c r="N1853" s="29" t="str">
        <f>VLOOKUP(G1853,'insumos terrapl'!$C$3:$K$47,8,0)</f>
        <v>00</v>
      </c>
      <c r="O1853" s="97" t="str">
        <f>VLOOKUP(G1853,'insumos terrapl'!$C$3:$K$47,9,0)</f>
        <v>00</v>
      </c>
    </row>
    <row r="1854" spans="1:15">
      <c r="A1854" s="134"/>
      <c r="B1854" s="137"/>
      <c r="C1854" s="132"/>
      <c r="D1854" s="116"/>
      <c r="E1854" s="116"/>
      <c r="F1854" s="13"/>
      <c r="G1854" s="21"/>
      <c r="H1854" s="31"/>
      <c r="I1854" s="31"/>
      <c r="J1854" s="31"/>
      <c r="K1854" s="31"/>
      <c r="L1854" s="31"/>
      <c r="M1854" s="31"/>
      <c r="N1854" s="31"/>
      <c r="O1854" s="98"/>
    </row>
    <row r="1855" spans="1:15">
      <c r="A1855" s="134"/>
      <c r="B1855" s="137"/>
      <c r="C1855" s="124" t="s">
        <v>272</v>
      </c>
      <c r="D1855" s="114" t="str">
        <f>$A$1095</f>
        <v>2.6.8</v>
      </c>
      <c r="E1855" s="114" t="s">
        <v>530</v>
      </c>
      <c r="F1855" s="12" t="s">
        <v>272</v>
      </c>
      <c r="G1855" s="19"/>
      <c r="H1855" s="28"/>
      <c r="I1855" s="28"/>
      <c r="J1855" s="28"/>
      <c r="K1855" s="28"/>
      <c r="L1855" s="28"/>
      <c r="M1855" s="28"/>
      <c r="N1855" s="28"/>
      <c r="O1855" s="99"/>
    </row>
    <row r="1856" spans="1:15" ht="30">
      <c r="A1856" s="134"/>
      <c r="B1856" s="137"/>
      <c r="C1856" s="125"/>
      <c r="D1856" s="115"/>
      <c r="E1856" s="115"/>
      <c r="F1856" s="11" t="s">
        <v>659</v>
      </c>
      <c r="G1856" s="20" t="s">
        <v>660</v>
      </c>
      <c r="H1856" s="29" t="str">
        <f>VLOOKUP(G1856,'insumos terrapl'!$C$3:$K$47,2,0)</f>
        <v>2Q  66  10  02  00  00  00</v>
      </c>
      <c r="I1856" s="29" t="str">
        <f>VLOOKUP(G1856,'insumos terrapl'!$C$3:$K$47,3,0)</f>
        <v>2Q</v>
      </c>
      <c r="J1856" s="29">
        <f>VLOOKUP(G1856,'insumos terrapl'!$C$3:$K$47,4,0)</f>
        <v>66</v>
      </c>
      <c r="K1856" s="29" t="str">
        <f>VLOOKUP(G1856,'insumos terrapl'!$C$3:$K$47,5,0)</f>
        <v>10</v>
      </c>
      <c r="L1856" s="29" t="str">
        <f>VLOOKUP(G1856,'insumos terrapl'!$C$3:$K$47,6,0)</f>
        <v>02</v>
      </c>
      <c r="M1856" s="29" t="str">
        <f>VLOOKUP(G1856,'insumos terrapl'!$C$3:$K$47,7,0)</f>
        <v>00</v>
      </c>
      <c r="N1856" s="29" t="str">
        <f>VLOOKUP(G1856,'insumos terrapl'!$C$3:$K$47,8,0)</f>
        <v>00</v>
      </c>
      <c r="O1856" s="97" t="str">
        <f>VLOOKUP(G1856,'insumos terrapl'!$C$3:$K$47,9,0)</f>
        <v>00</v>
      </c>
    </row>
    <row r="1857" spans="1:15" ht="30">
      <c r="A1857" s="134"/>
      <c r="B1857" s="137"/>
      <c r="C1857" s="125"/>
      <c r="D1857" s="115"/>
      <c r="E1857" s="115"/>
      <c r="F1857" s="11" t="s">
        <v>661</v>
      </c>
      <c r="G1857" s="20" t="s">
        <v>662</v>
      </c>
      <c r="H1857" s="29" t="str">
        <f>VLOOKUP(G1857,'insumos terrapl'!$C$3:$K$47,2,0)</f>
        <v>2Q  62  10  06  00  00  00</v>
      </c>
      <c r="I1857" s="29" t="str">
        <f>VLOOKUP(G1857,'insumos terrapl'!$C$3:$K$47,3,0)</f>
        <v>2Q</v>
      </c>
      <c r="J1857" s="29">
        <f>VLOOKUP(G1857,'insumos terrapl'!$C$3:$K$47,4,0)</f>
        <v>62</v>
      </c>
      <c r="K1857" s="29" t="str">
        <f>VLOOKUP(G1857,'insumos terrapl'!$C$3:$K$47,5,0)</f>
        <v>10</v>
      </c>
      <c r="L1857" s="29" t="str">
        <f>VLOOKUP(G1857,'insumos terrapl'!$C$3:$K$47,6,0)</f>
        <v>06</v>
      </c>
      <c r="M1857" s="29" t="str">
        <f>VLOOKUP(G1857,'insumos terrapl'!$C$3:$K$47,7,0)</f>
        <v>00</v>
      </c>
      <c r="N1857" s="29" t="str">
        <f>VLOOKUP(G1857,'insumos terrapl'!$C$3:$K$47,8,0)</f>
        <v>00</v>
      </c>
      <c r="O1857" s="97" t="str">
        <f>VLOOKUP(G1857,'insumos terrapl'!$C$3:$K$47,9,0)</f>
        <v>00</v>
      </c>
    </row>
    <row r="1858" spans="1:15" ht="30">
      <c r="A1858" s="134"/>
      <c r="B1858" s="137"/>
      <c r="C1858" s="125"/>
      <c r="D1858" s="115"/>
      <c r="E1858" s="115"/>
      <c r="F1858" s="11" t="s">
        <v>607</v>
      </c>
      <c r="G1858" s="20" t="s">
        <v>608</v>
      </c>
      <c r="H1858" s="29" t="str">
        <f>VLOOKUP(G1858,'insumos terrapl'!$C$3:$K$47,2,0)</f>
        <v>2Q  42  06  18  02  02  00</v>
      </c>
      <c r="I1858" s="29" t="str">
        <f>VLOOKUP(G1858,'insumos terrapl'!$C$3:$K$47,3,0)</f>
        <v>2Q</v>
      </c>
      <c r="J1858" s="29">
        <f>VLOOKUP(G1858,'insumos terrapl'!$C$3:$K$47,4,0)</f>
        <v>42</v>
      </c>
      <c r="K1858" s="29" t="str">
        <f>VLOOKUP(G1858,'insumos terrapl'!$C$3:$K$47,5,0)</f>
        <v>06</v>
      </c>
      <c r="L1858" s="29">
        <f>VLOOKUP(G1858,'insumos terrapl'!$C$3:$K$47,6,0)</f>
        <v>18</v>
      </c>
      <c r="M1858" s="29" t="str">
        <f>VLOOKUP(G1858,'insumos terrapl'!$C$3:$K$47,7,0)</f>
        <v>02</v>
      </c>
      <c r="N1858" s="29" t="str">
        <f>VLOOKUP(G1858,'insumos terrapl'!$C$3:$K$47,8,0)</f>
        <v>02</v>
      </c>
      <c r="O1858" s="97" t="str">
        <f>VLOOKUP(G1858,'insumos terrapl'!$C$3:$K$47,9,0)</f>
        <v>00</v>
      </c>
    </row>
    <row r="1859" spans="1:15" ht="45">
      <c r="A1859" s="134"/>
      <c r="B1859" s="137"/>
      <c r="C1859" s="125"/>
      <c r="D1859" s="115"/>
      <c r="E1859" s="115"/>
      <c r="F1859" s="11" t="s">
        <v>609</v>
      </c>
      <c r="G1859" s="20" t="s">
        <v>610</v>
      </c>
      <c r="H1859" s="29" t="str">
        <f>VLOOKUP(G1859,'insumos terrapl'!$C$3:$K$47,2,0)</f>
        <v>2Q  42  06  02  14  02  00</v>
      </c>
      <c r="I1859" s="29" t="str">
        <f>VLOOKUP(G1859,'insumos terrapl'!$C$3:$K$47,3,0)</f>
        <v>2Q</v>
      </c>
      <c r="J1859" s="29">
        <f>VLOOKUP(G1859,'insumos terrapl'!$C$3:$K$47,4,0)</f>
        <v>42</v>
      </c>
      <c r="K1859" s="29" t="str">
        <f>VLOOKUP(G1859,'insumos terrapl'!$C$3:$K$47,5,0)</f>
        <v>06</v>
      </c>
      <c r="L1859" s="29" t="str">
        <f>VLOOKUP(G1859,'insumos terrapl'!$C$3:$K$47,6,0)</f>
        <v>02</v>
      </c>
      <c r="M1859" s="29" t="str">
        <f>VLOOKUP(G1859,'insumos terrapl'!$C$3:$K$47,7,0)</f>
        <v>14</v>
      </c>
      <c r="N1859" s="29" t="str">
        <f>VLOOKUP(G1859,'insumos terrapl'!$C$3:$K$47,8,0)</f>
        <v>02</v>
      </c>
      <c r="O1859" s="97" t="str">
        <f>VLOOKUP(G1859,'insumos terrapl'!$C$3:$K$47,9,0)</f>
        <v>00</v>
      </c>
    </row>
    <row r="1860" spans="1:15">
      <c r="A1860" s="134"/>
      <c r="B1860" s="137"/>
      <c r="C1860" s="125"/>
      <c r="D1860" s="115"/>
      <c r="E1860" s="115"/>
      <c r="F1860" s="11" t="s">
        <v>633</v>
      </c>
      <c r="G1860" s="20" t="s">
        <v>634</v>
      </c>
      <c r="H1860" s="29" t="str">
        <f>VLOOKUP(G1860,'insumos terrapl'!$C$3:$K$47,2,0)</f>
        <v>2Q  58  10  10  02  06  00</v>
      </c>
      <c r="I1860" s="29" t="str">
        <f>VLOOKUP(G1860,'insumos terrapl'!$C$3:$K$47,3,0)</f>
        <v>2Q</v>
      </c>
      <c r="J1860" s="29">
        <f>VLOOKUP(G1860,'insumos terrapl'!$C$3:$K$47,4,0)</f>
        <v>58</v>
      </c>
      <c r="K1860" s="29" t="str">
        <f>VLOOKUP(G1860,'insumos terrapl'!$C$3:$K$47,5,0)</f>
        <v>10</v>
      </c>
      <c r="L1860" s="29" t="str">
        <f>VLOOKUP(G1860,'insumos terrapl'!$C$3:$K$47,6,0)</f>
        <v>10</v>
      </c>
      <c r="M1860" s="29" t="str">
        <f>VLOOKUP(G1860,'insumos terrapl'!$C$3:$K$47,7,0)</f>
        <v>02</v>
      </c>
      <c r="N1860" s="29" t="str">
        <f>VLOOKUP(G1860,'insumos terrapl'!$C$3:$K$47,8,0)</f>
        <v>06</v>
      </c>
      <c r="O1860" s="97" t="str">
        <f>VLOOKUP(G1860,'insumos terrapl'!$C$3:$K$47,9,0)</f>
        <v>00</v>
      </c>
    </row>
    <row r="1861" spans="1:15">
      <c r="A1861" s="134"/>
      <c r="B1861" s="137"/>
      <c r="C1861" s="125"/>
      <c r="D1861" s="115"/>
      <c r="E1861" s="115"/>
      <c r="F1861" s="11" t="s">
        <v>586</v>
      </c>
      <c r="G1861" s="20" t="s">
        <v>587</v>
      </c>
      <c r="H1861" s="29" t="str">
        <f>VLOOKUP(G1861,'insumos terrapl'!$C$3:$K$47,2,0)</f>
        <v>2Q  62  30  02  14  00  00</v>
      </c>
      <c r="I1861" s="29" t="str">
        <f>VLOOKUP(G1861,'insumos terrapl'!$C$3:$K$47,3,0)</f>
        <v>2Q</v>
      </c>
      <c r="J1861" s="29">
        <f>VLOOKUP(G1861,'insumos terrapl'!$C$3:$K$47,4,0)</f>
        <v>62</v>
      </c>
      <c r="K1861" s="29">
        <f>VLOOKUP(G1861,'insumos terrapl'!$C$3:$K$47,5,0)</f>
        <v>30</v>
      </c>
      <c r="L1861" s="29" t="str">
        <f>VLOOKUP(G1861,'insumos terrapl'!$C$3:$K$47,6,0)</f>
        <v>02</v>
      </c>
      <c r="M1861" s="29" t="str">
        <f>VLOOKUP(G1861,'insumos terrapl'!$C$3:$K$47,7,0)</f>
        <v>14</v>
      </c>
      <c r="N1861" s="29" t="str">
        <f>VLOOKUP(G1861,'insumos terrapl'!$C$3:$K$47,8,0)</f>
        <v>00</v>
      </c>
      <c r="O1861" s="97" t="str">
        <f>VLOOKUP(G1861,'insumos terrapl'!$C$3:$K$47,9,0)</f>
        <v>00</v>
      </c>
    </row>
    <row r="1862" spans="1:15">
      <c r="A1862" s="134"/>
      <c r="B1862" s="137"/>
      <c r="C1862" s="125"/>
      <c r="D1862" s="115"/>
      <c r="E1862" s="115"/>
      <c r="F1862" s="11" t="s">
        <v>613</v>
      </c>
      <c r="G1862" s="20" t="s">
        <v>614</v>
      </c>
      <c r="H1862" s="29" t="str">
        <f>VLOOKUP(G1862,'insumos terrapl'!$C$3:$K$47,2,0)</f>
        <v>2N  20  14  02  00  00  00</v>
      </c>
      <c r="I1862" s="29" t="str">
        <f>VLOOKUP(G1862,'insumos terrapl'!$C$3:$K$47,3,0)</f>
        <v>2N</v>
      </c>
      <c r="J1862" s="29">
        <f>VLOOKUP(G1862,'insumos terrapl'!$C$3:$K$47,4,0)</f>
        <v>20</v>
      </c>
      <c r="K1862" s="29" t="str">
        <f>VLOOKUP(G1862,'insumos terrapl'!$C$3:$K$47,5,0)</f>
        <v>14</v>
      </c>
      <c r="L1862" s="29" t="str">
        <f>VLOOKUP(G1862,'insumos terrapl'!$C$3:$K$47,6,0)</f>
        <v>02</v>
      </c>
      <c r="M1862" s="29" t="str">
        <f>VLOOKUP(G1862,'insumos terrapl'!$C$3:$K$47,7,0)</f>
        <v>00</v>
      </c>
      <c r="N1862" s="29" t="str">
        <f>VLOOKUP(G1862,'insumos terrapl'!$C$3:$K$47,8,0)</f>
        <v>00</v>
      </c>
      <c r="O1862" s="97" t="str">
        <f>VLOOKUP(G1862,'insumos terrapl'!$C$3:$K$47,9,0)</f>
        <v>00</v>
      </c>
    </row>
    <row r="1863" spans="1:15">
      <c r="A1863" s="134"/>
      <c r="B1863" s="137"/>
      <c r="C1863" s="125"/>
      <c r="D1863" s="115"/>
      <c r="E1863" s="115"/>
      <c r="F1863" s="11" t="s">
        <v>615</v>
      </c>
      <c r="G1863" s="20" t="s">
        <v>616</v>
      </c>
      <c r="H1863" s="29" t="str">
        <f>VLOOKUP(G1863,'insumos terrapl'!$C$3:$K$47,2,0)</f>
        <v>2N  20  14  02  00  00  00</v>
      </c>
      <c r="I1863" s="29" t="str">
        <f>VLOOKUP(G1863,'insumos terrapl'!$C$3:$K$47,3,0)</f>
        <v>2N</v>
      </c>
      <c r="J1863" s="29">
        <f>VLOOKUP(G1863,'insumos terrapl'!$C$3:$K$47,4,0)</f>
        <v>20</v>
      </c>
      <c r="K1863" s="29" t="str">
        <f>VLOOKUP(G1863,'insumos terrapl'!$C$3:$K$47,5,0)</f>
        <v>14</v>
      </c>
      <c r="L1863" s="29" t="str">
        <f>VLOOKUP(G1863,'insumos terrapl'!$C$3:$K$47,6,0)</f>
        <v>02</v>
      </c>
      <c r="M1863" s="29" t="str">
        <f>VLOOKUP(G1863,'insumos terrapl'!$C$3:$K$47,7,0)</f>
        <v>00</v>
      </c>
      <c r="N1863" s="29" t="str">
        <f>VLOOKUP(G1863,'insumos terrapl'!$C$3:$K$47,8,0)</f>
        <v>00</v>
      </c>
      <c r="O1863" s="97" t="str">
        <f>VLOOKUP(G1863,'insumos terrapl'!$C$3:$K$47,9,0)</f>
        <v>00</v>
      </c>
    </row>
    <row r="1864" spans="1:15" ht="30">
      <c r="A1864" s="134"/>
      <c r="B1864" s="137"/>
      <c r="C1864" s="125"/>
      <c r="D1864" s="115"/>
      <c r="E1864" s="115"/>
      <c r="F1864" s="11" t="s">
        <v>635</v>
      </c>
      <c r="G1864" s="20" t="s">
        <v>636</v>
      </c>
      <c r="H1864" s="29" t="str">
        <f>VLOOKUP(G1864,'insumos terrapl'!$C$3:$K$47,2,0)</f>
        <v>2N  58  06  00  00  00  00</v>
      </c>
      <c r="I1864" s="29" t="str">
        <f>VLOOKUP(G1864,'insumos terrapl'!$C$3:$K$47,3,0)</f>
        <v>2N</v>
      </c>
      <c r="J1864" s="29">
        <f>VLOOKUP(G1864,'insumos terrapl'!$C$3:$K$47,4,0)</f>
        <v>58</v>
      </c>
      <c r="K1864" s="29" t="str">
        <f>VLOOKUP(G1864,'insumos terrapl'!$C$3:$K$47,5,0)</f>
        <v>06</v>
      </c>
      <c r="L1864" s="29" t="str">
        <f>VLOOKUP(G1864,'insumos terrapl'!$C$3:$K$47,6,0)</f>
        <v>00</v>
      </c>
      <c r="M1864" s="29" t="str">
        <f>VLOOKUP(G1864,'insumos terrapl'!$C$3:$K$47,7,0)</f>
        <v>00</v>
      </c>
      <c r="N1864" s="29" t="str">
        <f>VLOOKUP(G1864,'insumos terrapl'!$C$3:$K$47,8,0)</f>
        <v>00</v>
      </c>
      <c r="O1864" s="97" t="str">
        <f>VLOOKUP(G1864,'insumos terrapl'!$C$3:$K$47,9,0)</f>
        <v>00</v>
      </c>
    </row>
    <row r="1865" spans="1:15">
      <c r="A1865" s="134"/>
      <c r="B1865" s="137"/>
      <c r="C1865" s="125"/>
      <c r="D1865" s="115"/>
      <c r="E1865" s="115"/>
      <c r="F1865" s="11" t="s">
        <v>617</v>
      </c>
      <c r="G1865" s="20" t="s">
        <v>618</v>
      </c>
      <c r="H1865" s="29" t="str">
        <f>VLOOKUP(G1865,'insumos terrapl'!$C$3:$K$47,2,0)</f>
        <v>2Q  58  06  02  28  00  00</v>
      </c>
      <c r="I1865" s="29" t="str">
        <f>VLOOKUP(G1865,'insumos terrapl'!$C$3:$K$47,3,0)</f>
        <v>2Q</v>
      </c>
      <c r="J1865" s="29">
        <f>VLOOKUP(G1865,'insumos terrapl'!$C$3:$K$47,4,0)</f>
        <v>58</v>
      </c>
      <c r="K1865" s="29" t="str">
        <f>VLOOKUP(G1865,'insumos terrapl'!$C$3:$K$47,5,0)</f>
        <v>06</v>
      </c>
      <c r="L1865" s="29" t="str">
        <f>VLOOKUP(G1865,'insumos terrapl'!$C$3:$K$47,6,0)</f>
        <v>02</v>
      </c>
      <c r="M1865" s="29" t="str">
        <f>VLOOKUP(G1865,'insumos terrapl'!$C$3:$K$47,7,0)</f>
        <v>28</v>
      </c>
      <c r="N1865" s="29" t="str">
        <f>VLOOKUP(G1865,'insumos terrapl'!$C$3:$K$47,8,0)</f>
        <v>00</v>
      </c>
      <c r="O1865" s="97" t="str">
        <f>VLOOKUP(G1865,'insumos terrapl'!$C$3:$K$47,9,0)</f>
        <v>00</v>
      </c>
    </row>
    <row r="1866" spans="1:15" ht="30">
      <c r="A1866" s="134"/>
      <c r="B1866" s="137"/>
      <c r="C1866" s="125"/>
      <c r="D1866" s="115"/>
      <c r="E1866" s="115"/>
      <c r="F1866" s="11" t="s">
        <v>637</v>
      </c>
      <c r="G1866" s="20" t="s">
        <v>638</v>
      </c>
      <c r="H1866" s="29" t="str">
        <f>VLOOKUP(G1866,'insumos terrapl'!$C$3:$K$47,2,0)</f>
        <v>2N  58  06  00  00  00  00</v>
      </c>
      <c r="I1866" s="29" t="str">
        <f>VLOOKUP(G1866,'insumos terrapl'!$C$3:$K$47,3,0)</f>
        <v>2N</v>
      </c>
      <c r="J1866" s="29">
        <f>VLOOKUP(G1866,'insumos terrapl'!$C$3:$K$47,4,0)</f>
        <v>58</v>
      </c>
      <c r="K1866" s="29" t="str">
        <f>VLOOKUP(G1866,'insumos terrapl'!$C$3:$K$47,5,0)</f>
        <v>06</v>
      </c>
      <c r="L1866" s="29" t="str">
        <f>VLOOKUP(G1866,'insumos terrapl'!$C$3:$K$47,6,0)</f>
        <v>00</v>
      </c>
      <c r="M1866" s="29" t="str">
        <f>VLOOKUP(G1866,'insumos terrapl'!$C$3:$K$47,7,0)</f>
        <v>00</v>
      </c>
      <c r="N1866" s="29" t="str">
        <f>VLOOKUP(G1866,'insumos terrapl'!$C$3:$K$47,8,0)</f>
        <v>00</v>
      </c>
      <c r="O1866" s="97" t="str">
        <f>VLOOKUP(G1866,'insumos terrapl'!$C$3:$K$47,9,0)</f>
        <v>00</v>
      </c>
    </row>
    <row r="1867" spans="1:15" ht="30">
      <c r="A1867" s="134"/>
      <c r="B1867" s="137"/>
      <c r="C1867" s="125"/>
      <c r="D1867" s="115"/>
      <c r="E1867" s="115"/>
      <c r="F1867" s="11" t="s">
        <v>639</v>
      </c>
      <c r="G1867" s="20" t="s">
        <v>640</v>
      </c>
      <c r="H1867" s="29" t="str">
        <f>VLOOKUP(G1867,'insumos terrapl'!$C$3:$K$47,2,0)</f>
        <v>2N  58  06  00  00  00  00</v>
      </c>
      <c r="I1867" s="29" t="str">
        <f>VLOOKUP(G1867,'insumos terrapl'!$C$3:$K$47,3,0)</f>
        <v>2N</v>
      </c>
      <c r="J1867" s="29">
        <f>VLOOKUP(G1867,'insumos terrapl'!$C$3:$K$47,4,0)</f>
        <v>58</v>
      </c>
      <c r="K1867" s="29" t="str">
        <f>VLOOKUP(G1867,'insumos terrapl'!$C$3:$K$47,5,0)</f>
        <v>06</v>
      </c>
      <c r="L1867" s="29" t="str">
        <f>VLOOKUP(G1867,'insumos terrapl'!$C$3:$K$47,6,0)</f>
        <v>00</v>
      </c>
      <c r="M1867" s="29" t="str">
        <f>VLOOKUP(G1867,'insumos terrapl'!$C$3:$K$47,7,0)</f>
        <v>00</v>
      </c>
      <c r="N1867" s="29" t="str">
        <f>VLOOKUP(G1867,'insumos terrapl'!$C$3:$K$47,8,0)</f>
        <v>00</v>
      </c>
      <c r="O1867" s="97" t="str">
        <f>VLOOKUP(G1867,'insumos terrapl'!$C$3:$K$47,9,0)</f>
        <v>00</v>
      </c>
    </row>
    <row r="1868" spans="1:15">
      <c r="A1868" s="134"/>
      <c r="B1868" s="137"/>
      <c r="C1868" s="125"/>
      <c r="D1868" s="115"/>
      <c r="E1868" s="115"/>
      <c r="F1868" s="11" t="s">
        <v>641</v>
      </c>
      <c r="G1868" s="20" t="s">
        <v>642</v>
      </c>
      <c r="H1868" s="29" t="str">
        <f>VLOOKUP(G1868,'insumos terrapl'!$C$3:$K$47,2,0)</f>
        <v>2N  58  06  00  00  00  00</v>
      </c>
      <c r="I1868" s="29" t="str">
        <f>VLOOKUP(G1868,'insumos terrapl'!$C$3:$K$47,3,0)</f>
        <v>2N</v>
      </c>
      <c r="J1868" s="29">
        <f>VLOOKUP(G1868,'insumos terrapl'!$C$3:$K$47,4,0)</f>
        <v>58</v>
      </c>
      <c r="K1868" s="29" t="str">
        <f>VLOOKUP(G1868,'insumos terrapl'!$C$3:$K$47,5,0)</f>
        <v>06</v>
      </c>
      <c r="L1868" s="29" t="str">
        <f>VLOOKUP(G1868,'insumos terrapl'!$C$3:$K$47,6,0)</f>
        <v>00</v>
      </c>
      <c r="M1868" s="29" t="str">
        <f>VLOOKUP(G1868,'insumos terrapl'!$C$3:$K$47,7,0)</f>
        <v>00</v>
      </c>
      <c r="N1868" s="29" t="str">
        <f>VLOOKUP(G1868,'insumos terrapl'!$C$3:$K$47,8,0)</f>
        <v>00</v>
      </c>
      <c r="O1868" s="97" t="str">
        <f>VLOOKUP(G1868,'insumos terrapl'!$C$3:$K$47,9,0)</f>
        <v>00</v>
      </c>
    </row>
    <row r="1869" spans="1:15">
      <c r="A1869" s="134"/>
      <c r="B1869" s="137"/>
      <c r="C1869" s="125"/>
      <c r="D1869" s="115"/>
      <c r="E1869" s="115"/>
      <c r="F1869" s="11" t="s">
        <v>619</v>
      </c>
      <c r="G1869" s="20" t="s">
        <v>620</v>
      </c>
      <c r="H1869" s="29"/>
      <c r="I1869" s="29"/>
      <c r="J1869" s="29"/>
      <c r="K1869" s="29"/>
      <c r="L1869" s="29"/>
      <c r="M1869" s="29"/>
      <c r="N1869" s="29"/>
      <c r="O1869" s="97"/>
    </row>
    <row r="1870" spans="1:15">
      <c r="A1870" s="134"/>
      <c r="B1870" s="137"/>
      <c r="C1870" s="125"/>
      <c r="D1870" s="115"/>
      <c r="E1870" s="115"/>
      <c r="F1870" s="11" t="s">
        <v>643</v>
      </c>
      <c r="G1870" s="20" t="s">
        <v>644</v>
      </c>
      <c r="H1870" s="29" t="str">
        <f>VLOOKUP(G1870,'insumos terrapl'!$C$3:$K$47,2,0)</f>
        <v>2N  58  06  00  00  00  00</v>
      </c>
      <c r="I1870" s="29" t="str">
        <f>VLOOKUP(G1870,'insumos terrapl'!$C$3:$K$47,3,0)</f>
        <v>2N</v>
      </c>
      <c r="J1870" s="29">
        <f>VLOOKUP(G1870,'insumos terrapl'!$C$3:$K$47,4,0)</f>
        <v>58</v>
      </c>
      <c r="K1870" s="29" t="str">
        <f>VLOOKUP(G1870,'insumos terrapl'!$C$3:$K$47,5,0)</f>
        <v>06</v>
      </c>
      <c r="L1870" s="29" t="str">
        <f>VLOOKUP(G1870,'insumos terrapl'!$C$3:$K$47,6,0)</f>
        <v>00</v>
      </c>
      <c r="M1870" s="29" t="str">
        <f>VLOOKUP(G1870,'insumos terrapl'!$C$3:$K$47,7,0)</f>
        <v>00</v>
      </c>
      <c r="N1870" s="29" t="str">
        <f>VLOOKUP(G1870,'insumos terrapl'!$C$3:$K$47,8,0)</f>
        <v>00</v>
      </c>
      <c r="O1870" s="97" t="str">
        <f>VLOOKUP(G1870,'insumos terrapl'!$C$3:$K$47,9,0)</f>
        <v>00</v>
      </c>
    </row>
    <row r="1871" spans="1:15">
      <c r="A1871" s="134"/>
      <c r="B1871" s="137"/>
      <c r="C1871" s="125"/>
      <c r="D1871" s="115"/>
      <c r="E1871" s="115"/>
      <c r="F1871" s="11" t="s">
        <v>645</v>
      </c>
      <c r="G1871" s="20" t="s">
        <v>646</v>
      </c>
      <c r="H1871" s="29" t="str">
        <f>VLOOKUP(G1871,'insumos terrapl'!$C$3:$K$47,2,0)</f>
        <v>2N  58  06  00  00  00  00</v>
      </c>
      <c r="I1871" s="29" t="str">
        <f>VLOOKUP(G1871,'insumos terrapl'!$C$3:$K$47,3,0)</f>
        <v>2N</v>
      </c>
      <c r="J1871" s="29">
        <f>VLOOKUP(G1871,'insumos terrapl'!$C$3:$K$47,4,0)</f>
        <v>58</v>
      </c>
      <c r="K1871" s="29" t="str">
        <f>VLOOKUP(G1871,'insumos terrapl'!$C$3:$K$47,5,0)</f>
        <v>06</v>
      </c>
      <c r="L1871" s="29" t="str">
        <f>VLOOKUP(G1871,'insumos terrapl'!$C$3:$K$47,6,0)</f>
        <v>00</v>
      </c>
      <c r="M1871" s="29" t="str">
        <f>VLOOKUP(G1871,'insumos terrapl'!$C$3:$K$47,7,0)</f>
        <v>00</v>
      </c>
      <c r="N1871" s="29" t="str">
        <f>VLOOKUP(G1871,'insumos terrapl'!$C$3:$K$47,8,0)</f>
        <v>00</v>
      </c>
      <c r="O1871" s="97" t="str">
        <f>VLOOKUP(G1871,'insumos terrapl'!$C$3:$K$47,9,0)</f>
        <v>00</v>
      </c>
    </row>
    <row r="1872" spans="1:15" ht="30">
      <c r="A1872" s="134"/>
      <c r="B1872" s="137"/>
      <c r="C1872" s="125"/>
      <c r="D1872" s="115"/>
      <c r="E1872" s="115"/>
      <c r="F1872" s="11" t="s">
        <v>647</v>
      </c>
      <c r="G1872" s="20" t="s">
        <v>648</v>
      </c>
      <c r="H1872" s="29" t="str">
        <f>VLOOKUP(G1872,'insumos terrapl'!$C$3:$K$47,2,0)</f>
        <v>2N  58  06  00  00  00  00</v>
      </c>
      <c r="I1872" s="29" t="str">
        <f>VLOOKUP(G1872,'insumos terrapl'!$C$3:$K$47,3,0)</f>
        <v>2N</v>
      </c>
      <c r="J1872" s="29">
        <f>VLOOKUP(G1872,'insumos terrapl'!$C$3:$K$47,4,0)</f>
        <v>58</v>
      </c>
      <c r="K1872" s="29" t="str">
        <f>VLOOKUP(G1872,'insumos terrapl'!$C$3:$K$47,5,0)</f>
        <v>06</v>
      </c>
      <c r="L1872" s="29" t="str">
        <f>VLOOKUP(G1872,'insumos terrapl'!$C$3:$K$47,6,0)</f>
        <v>00</v>
      </c>
      <c r="M1872" s="29" t="str">
        <f>VLOOKUP(G1872,'insumos terrapl'!$C$3:$K$47,7,0)</f>
        <v>00</v>
      </c>
      <c r="N1872" s="29" t="str">
        <f>VLOOKUP(G1872,'insumos terrapl'!$C$3:$K$47,8,0)</f>
        <v>00</v>
      </c>
      <c r="O1872" s="97" t="str">
        <f>VLOOKUP(G1872,'insumos terrapl'!$C$3:$K$47,9,0)</f>
        <v>00</v>
      </c>
    </row>
    <row r="1873" spans="1:15">
      <c r="A1873" s="134"/>
      <c r="B1873" s="137"/>
      <c r="C1873" s="125"/>
      <c r="D1873" s="115"/>
      <c r="E1873" s="115"/>
      <c r="F1873" s="11" t="s">
        <v>621</v>
      </c>
      <c r="G1873" s="20" t="s">
        <v>622</v>
      </c>
      <c r="H1873" s="29" t="str">
        <f>VLOOKUP(G1873,'insumos terrapl'!$C$3:$K$47,2,0)</f>
        <v>2N  58  06  00  00  00  00</v>
      </c>
      <c r="I1873" s="29" t="str">
        <f>VLOOKUP(G1873,'insumos terrapl'!$C$3:$K$47,3,0)</f>
        <v>2N</v>
      </c>
      <c r="J1873" s="29">
        <f>VLOOKUP(G1873,'insumos terrapl'!$C$3:$K$47,4,0)</f>
        <v>58</v>
      </c>
      <c r="K1873" s="29" t="str">
        <f>VLOOKUP(G1873,'insumos terrapl'!$C$3:$K$47,5,0)</f>
        <v>06</v>
      </c>
      <c r="L1873" s="29" t="str">
        <f>VLOOKUP(G1873,'insumos terrapl'!$C$3:$K$47,6,0)</f>
        <v>00</v>
      </c>
      <c r="M1873" s="29" t="str">
        <f>VLOOKUP(G1873,'insumos terrapl'!$C$3:$K$47,7,0)</f>
        <v>00</v>
      </c>
      <c r="N1873" s="29" t="str">
        <f>VLOOKUP(G1873,'insumos terrapl'!$C$3:$K$47,8,0)</f>
        <v>00</v>
      </c>
      <c r="O1873" s="97" t="str">
        <f>VLOOKUP(G1873,'insumos terrapl'!$C$3:$K$47,9,0)</f>
        <v>00</v>
      </c>
    </row>
    <row r="1874" spans="1:15">
      <c r="A1874" s="135"/>
      <c r="B1874" s="138"/>
      <c r="C1874" s="132"/>
      <c r="D1874" s="116"/>
      <c r="E1874" s="116"/>
      <c r="F1874" s="13"/>
      <c r="G1874" s="21"/>
      <c r="H1874" s="31"/>
      <c r="I1874" s="31"/>
      <c r="J1874" s="31"/>
      <c r="K1874" s="31"/>
      <c r="L1874" s="31"/>
      <c r="M1874" s="31"/>
      <c r="N1874" s="31"/>
      <c r="O1874" s="98"/>
    </row>
    <row r="1875" spans="1:15">
      <c r="A1875" s="124" t="s">
        <v>53</v>
      </c>
      <c r="B1875" s="126" t="s">
        <v>16</v>
      </c>
      <c r="C1875" s="124" t="s">
        <v>273</v>
      </c>
      <c r="D1875" s="114" t="str">
        <f>A1875</f>
        <v>2.6.9</v>
      </c>
      <c r="E1875" s="114" t="s">
        <v>531</v>
      </c>
      <c r="F1875" s="12" t="s">
        <v>273</v>
      </c>
      <c r="G1875" s="19"/>
      <c r="H1875" s="28"/>
      <c r="I1875" s="28"/>
      <c r="J1875" s="28"/>
      <c r="K1875" s="28"/>
      <c r="L1875" s="28"/>
      <c r="M1875" s="28"/>
      <c r="N1875" s="28"/>
      <c r="O1875" s="99"/>
    </row>
    <row r="1876" spans="1:15" ht="30">
      <c r="A1876" s="125"/>
      <c r="B1876" s="127"/>
      <c r="C1876" s="125"/>
      <c r="D1876" s="115"/>
      <c r="E1876" s="115"/>
      <c r="F1876" s="11" t="s">
        <v>663</v>
      </c>
      <c r="G1876" s="20" t="s">
        <v>664</v>
      </c>
      <c r="H1876" s="29" t="str">
        <f>VLOOKUP(G1876,'insumos terrapl'!$C$3:$K$47,2,0)</f>
        <v>2Q  62  02  18  00  00  00</v>
      </c>
      <c r="I1876" s="29" t="str">
        <f>VLOOKUP(G1876,'insumos terrapl'!$C$3:$K$47,3,0)</f>
        <v>2Q</v>
      </c>
      <c r="J1876" s="29">
        <f>VLOOKUP(G1876,'insumos terrapl'!$C$3:$K$47,4,0)</f>
        <v>62</v>
      </c>
      <c r="K1876" s="29" t="str">
        <f>VLOOKUP(G1876,'insumos terrapl'!$C$3:$K$47,5,0)</f>
        <v>02</v>
      </c>
      <c r="L1876" s="29" t="str">
        <f>VLOOKUP(G1876,'insumos terrapl'!$C$3:$K$47,6,0)</f>
        <v>18</v>
      </c>
      <c r="M1876" s="29" t="str">
        <f>VLOOKUP(G1876,'insumos terrapl'!$C$3:$K$47,7,0)</f>
        <v>00</v>
      </c>
      <c r="N1876" s="29" t="str">
        <f>VLOOKUP(G1876,'insumos terrapl'!$C$3:$K$47,8,0)</f>
        <v>00</v>
      </c>
      <c r="O1876" s="97" t="str">
        <f>VLOOKUP(G1876,'insumos terrapl'!$C$3:$K$47,9,0)</f>
        <v>00</v>
      </c>
    </row>
    <row r="1877" spans="1:15">
      <c r="A1877" s="125"/>
      <c r="B1877" s="127"/>
      <c r="C1877" s="125"/>
      <c r="D1877" s="115"/>
      <c r="E1877" s="115"/>
      <c r="F1877" s="11" t="s">
        <v>588</v>
      </c>
      <c r="G1877" s="20" t="s">
        <v>589</v>
      </c>
      <c r="H1877" s="29" t="str">
        <f>VLOOKUP(G1877,'insumos terrapl'!$C$3:$K$47,2,0)</f>
        <v>2N  20  14  08  00  00  00</v>
      </c>
      <c r="I1877" s="29" t="str">
        <f>VLOOKUP(G1877,'insumos terrapl'!$C$3:$K$47,3,0)</f>
        <v>2N</v>
      </c>
      <c r="J1877" s="29">
        <f>VLOOKUP(G1877,'insumos terrapl'!$C$3:$K$47,4,0)</f>
        <v>20</v>
      </c>
      <c r="K1877" s="29">
        <f>VLOOKUP(G1877,'insumos terrapl'!$C$3:$K$47,5,0)</f>
        <v>14</v>
      </c>
      <c r="L1877" s="29" t="str">
        <f>VLOOKUP(G1877,'insumos terrapl'!$C$3:$K$47,6,0)</f>
        <v>08</v>
      </c>
      <c r="M1877" s="29" t="str">
        <f>VLOOKUP(G1877,'insumos terrapl'!$C$3:$K$47,7,0)</f>
        <v>00</v>
      </c>
      <c r="N1877" s="29" t="str">
        <f>VLOOKUP(G1877,'insumos terrapl'!$C$3:$K$47,8,0)</f>
        <v>00</v>
      </c>
      <c r="O1877" s="97" t="str">
        <f>VLOOKUP(G1877,'insumos terrapl'!$C$3:$K$47,9,0)</f>
        <v>00</v>
      </c>
    </row>
    <row r="1878" spans="1:15">
      <c r="A1878" s="125"/>
      <c r="B1878" s="127"/>
      <c r="C1878" s="132"/>
      <c r="D1878" s="116"/>
      <c r="E1878" s="116"/>
      <c r="F1878" s="13"/>
      <c r="G1878" s="21"/>
      <c r="H1878" s="31"/>
      <c r="I1878" s="31"/>
      <c r="J1878" s="31"/>
      <c r="K1878" s="31"/>
      <c r="L1878" s="31"/>
      <c r="M1878" s="31"/>
      <c r="N1878" s="31"/>
      <c r="O1878" s="98"/>
    </row>
    <row r="1879" spans="1:15">
      <c r="A1879" s="125"/>
      <c r="B1879" s="127"/>
      <c r="C1879" s="124" t="s">
        <v>274</v>
      </c>
      <c r="D1879" s="114" t="str">
        <f>A1875</f>
        <v>2.6.9</v>
      </c>
      <c r="E1879" s="115" t="s">
        <v>532</v>
      </c>
      <c r="F1879" s="11" t="s">
        <v>274</v>
      </c>
      <c r="G1879" s="20"/>
      <c r="H1879" s="29"/>
      <c r="I1879" s="29"/>
      <c r="J1879" s="29"/>
      <c r="K1879" s="29"/>
      <c r="L1879" s="29"/>
      <c r="M1879" s="29"/>
      <c r="N1879" s="29"/>
      <c r="O1879" s="97"/>
    </row>
    <row r="1880" spans="1:15" ht="30">
      <c r="A1880" s="125"/>
      <c r="B1880" s="127"/>
      <c r="C1880" s="125"/>
      <c r="D1880" s="115"/>
      <c r="E1880" s="115"/>
      <c r="F1880" s="11" t="s">
        <v>665</v>
      </c>
      <c r="G1880" s="20" t="s">
        <v>666</v>
      </c>
      <c r="H1880" s="29" t="str">
        <f>VLOOKUP(G1880,'insumos terrapl'!$C$3:$K$47,2,0)</f>
        <v>2Q  66  10  02  00  00  00</v>
      </c>
      <c r="I1880" s="29" t="str">
        <f>VLOOKUP(G1880,'insumos terrapl'!$C$3:$K$47,3,0)</f>
        <v>2Q</v>
      </c>
      <c r="J1880" s="29">
        <f>VLOOKUP(G1880,'insumos terrapl'!$C$3:$K$47,4,0)</f>
        <v>66</v>
      </c>
      <c r="K1880" s="29" t="str">
        <f>VLOOKUP(G1880,'insumos terrapl'!$C$3:$K$47,5,0)</f>
        <v>10</v>
      </c>
      <c r="L1880" s="29" t="str">
        <f>VLOOKUP(G1880,'insumos terrapl'!$C$3:$K$47,6,0)</f>
        <v>02</v>
      </c>
      <c r="M1880" s="29" t="str">
        <f>VLOOKUP(G1880,'insumos terrapl'!$C$3:$K$47,7,0)</f>
        <v>00</v>
      </c>
      <c r="N1880" s="29" t="str">
        <f>VLOOKUP(G1880,'insumos terrapl'!$C$3:$K$47,8,0)</f>
        <v>00</v>
      </c>
      <c r="O1880" s="97" t="str">
        <f>VLOOKUP(G1880,'insumos terrapl'!$C$3:$K$47,9,0)</f>
        <v>00</v>
      </c>
    </row>
    <row r="1881" spans="1:15" ht="30">
      <c r="A1881" s="125"/>
      <c r="B1881" s="127"/>
      <c r="C1881" s="125"/>
      <c r="D1881" s="115"/>
      <c r="E1881" s="115"/>
      <c r="F1881" s="11" t="s">
        <v>663</v>
      </c>
      <c r="G1881" s="20" t="s">
        <v>664</v>
      </c>
      <c r="H1881" s="29" t="str">
        <f>VLOOKUP(G1881,'insumos terrapl'!$C$3:$K$47,2,0)</f>
        <v>2Q  62  02  18  00  00  00</v>
      </c>
      <c r="I1881" s="29" t="str">
        <f>VLOOKUP(G1881,'insumos terrapl'!$C$3:$K$47,3,0)</f>
        <v>2Q</v>
      </c>
      <c r="J1881" s="29">
        <f>VLOOKUP(G1881,'insumos terrapl'!$C$3:$K$47,4,0)</f>
        <v>62</v>
      </c>
      <c r="K1881" s="29" t="str">
        <f>VLOOKUP(G1881,'insumos terrapl'!$C$3:$K$47,5,0)</f>
        <v>02</v>
      </c>
      <c r="L1881" s="29" t="str">
        <f>VLOOKUP(G1881,'insumos terrapl'!$C$3:$K$47,6,0)</f>
        <v>18</v>
      </c>
      <c r="M1881" s="29" t="str">
        <f>VLOOKUP(G1881,'insumos terrapl'!$C$3:$K$47,7,0)</f>
        <v>00</v>
      </c>
      <c r="N1881" s="29" t="str">
        <f>VLOOKUP(G1881,'insumos terrapl'!$C$3:$K$47,8,0)</f>
        <v>00</v>
      </c>
      <c r="O1881" s="97" t="str">
        <f>VLOOKUP(G1881,'insumos terrapl'!$C$3:$K$47,9,0)</f>
        <v>00</v>
      </c>
    </row>
    <row r="1882" spans="1:15">
      <c r="A1882" s="125"/>
      <c r="B1882" s="127"/>
      <c r="C1882" s="125"/>
      <c r="D1882" s="115"/>
      <c r="E1882" s="115"/>
      <c r="F1882" s="11" t="s">
        <v>588</v>
      </c>
      <c r="G1882" s="20" t="s">
        <v>589</v>
      </c>
      <c r="H1882" s="29" t="str">
        <f>VLOOKUP(G1882,'insumos terrapl'!$C$3:$K$47,2,0)</f>
        <v>2N  20  14  08  00  00  00</v>
      </c>
      <c r="I1882" s="29" t="str">
        <f>VLOOKUP(G1882,'insumos terrapl'!$C$3:$K$47,3,0)</f>
        <v>2N</v>
      </c>
      <c r="J1882" s="29">
        <f>VLOOKUP(G1882,'insumos terrapl'!$C$3:$K$47,4,0)</f>
        <v>20</v>
      </c>
      <c r="K1882" s="29">
        <f>VLOOKUP(G1882,'insumos terrapl'!$C$3:$K$47,5,0)</f>
        <v>14</v>
      </c>
      <c r="L1882" s="29" t="str">
        <f>VLOOKUP(G1882,'insumos terrapl'!$C$3:$K$47,6,0)</f>
        <v>08</v>
      </c>
      <c r="M1882" s="29" t="str">
        <f>VLOOKUP(G1882,'insumos terrapl'!$C$3:$K$47,7,0)</f>
        <v>00</v>
      </c>
      <c r="N1882" s="29" t="str">
        <f>VLOOKUP(G1882,'insumos terrapl'!$C$3:$K$47,8,0)</f>
        <v>00</v>
      </c>
      <c r="O1882" s="97" t="str">
        <f>VLOOKUP(G1882,'insumos terrapl'!$C$3:$K$47,9,0)</f>
        <v>00</v>
      </c>
    </row>
    <row r="1883" spans="1:15">
      <c r="A1883" s="125"/>
      <c r="B1883" s="127"/>
      <c r="C1883" s="132"/>
      <c r="D1883" s="116"/>
      <c r="E1883" s="115"/>
      <c r="F1883" s="10"/>
      <c r="G1883" s="20"/>
      <c r="H1883" s="29"/>
      <c r="I1883" s="29"/>
      <c r="J1883" s="29"/>
      <c r="K1883" s="29"/>
      <c r="L1883" s="29"/>
      <c r="M1883" s="29"/>
      <c r="N1883" s="29"/>
      <c r="O1883" s="97"/>
    </row>
    <row r="1884" spans="1:15">
      <c r="A1884" s="125"/>
      <c r="B1884" s="127"/>
      <c r="C1884" s="124" t="s">
        <v>275</v>
      </c>
      <c r="D1884" s="114" t="str">
        <f>A1875</f>
        <v>2.6.9</v>
      </c>
      <c r="E1884" s="114" t="s">
        <v>533</v>
      </c>
      <c r="F1884" s="12" t="s">
        <v>275</v>
      </c>
      <c r="G1884" s="19"/>
      <c r="H1884" s="28"/>
      <c r="I1884" s="28"/>
      <c r="J1884" s="28"/>
      <c r="K1884" s="28"/>
      <c r="L1884" s="28"/>
      <c r="M1884" s="28"/>
      <c r="N1884" s="28"/>
      <c r="O1884" s="99"/>
    </row>
    <row r="1885" spans="1:15" ht="30">
      <c r="A1885" s="125"/>
      <c r="B1885" s="127"/>
      <c r="C1885" s="125"/>
      <c r="D1885" s="115"/>
      <c r="E1885" s="115"/>
      <c r="F1885" s="11" t="s">
        <v>665</v>
      </c>
      <c r="G1885" s="20" t="s">
        <v>666</v>
      </c>
      <c r="H1885" s="29" t="str">
        <f>VLOOKUP(G1885,'insumos terrapl'!$C$3:$K$47,2,0)</f>
        <v>2Q  66  10  02  00  00  00</v>
      </c>
      <c r="I1885" s="29" t="str">
        <f>VLOOKUP(G1885,'insumos terrapl'!$C$3:$K$47,3,0)</f>
        <v>2Q</v>
      </c>
      <c r="J1885" s="29">
        <f>VLOOKUP(G1885,'insumos terrapl'!$C$3:$K$47,4,0)</f>
        <v>66</v>
      </c>
      <c r="K1885" s="29" t="str">
        <f>VLOOKUP(G1885,'insumos terrapl'!$C$3:$K$47,5,0)</f>
        <v>10</v>
      </c>
      <c r="L1885" s="29" t="str">
        <f>VLOOKUP(G1885,'insumos terrapl'!$C$3:$K$47,6,0)</f>
        <v>02</v>
      </c>
      <c r="M1885" s="29" t="str">
        <f>VLOOKUP(G1885,'insumos terrapl'!$C$3:$K$47,7,0)</f>
        <v>00</v>
      </c>
      <c r="N1885" s="29" t="str">
        <f>VLOOKUP(G1885,'insumos terrapl'!$C$3:$K$47,8,0)</f>
        <v>00</v>
      </c>
      <c r="O1885" s="97" t="str">
        <f>VLOOKUP(G1885,'insumos terrapl'!$C$3:$K$47,9,0)</f>
        <v>00</v>
      </c>
    </row>
    <row r="1886" spans="1:15" ht="30">
      <c r="A1886" s="125"/>
      <c r="B1886" s="127"/>
      <c r="C1886" s="125"/>
      <c r="D1886" s="115"/>
      <c r="E1886" s="115"/>
      <c r="F1886" s="11" t="s">
        <v>663</v>
      </c>
      <c r="G1886" s="20" t="s">
        <v>664</v>
      </c>
      <c r="H1886" s="29" t="str">
        <f>VLOOKUP(G1886,'insumos terrapl'!$C$3:$K$47,2,0)</f>
        <v>2Q  62  02  18  00  00  00</v>
      </c>
      <c r="I1886" s="29" t="str">
        <f>VLOOKUP(G1886,'insumos terrapl'!$C$3:$K$47,3,0)</f>
        <v>2Q</v>
      </c>
      <c r="J1886" s="29">
        <f>VLOOKUP(G1886,'insumos terrapl'!$C$3:$K$47,4,0)</f>
        <v>62</v>
      </c>
      <c r="K1886" s="29" t="str">
        <f>VLOOKUP(G1886,'insumos terrapl'!$C$3:$K$47,5,0)</f>
        <v>02</v>
      </c>
      <c r="L1886" s="29" t="str">
        <f>VLOOKUP(G1886,'insumos terrapl'!$C$3:$K$47,6,0)</f>
        <v>18</v>
      </c>
      <c r="M1886" s="29" t="str">
        <f>VLOOKUP(G1886,'insumos terrapl'!$C$3:$K$47,7,0)</f>
        <v>00</v>
      </c>
      <c r="N1886" s="29" t="str">
        <f>VLOOKUP(G1886,'insumos terrapl'!$C$3:$K$47,8,0)</f>
        <v>00</v>
      </c>
      <c r="O1886" s="97" t="str">
        <f>VLOOKUP(G1886,'insumos terrapl'!$C$3:$K$47,9,0)</f>
        <v>00</v>
      </c>
    </row>
    <row r="1887" spans="1:15">
      <c r="A1887" s="125"/>
      <c r="B1887" s="127"/>
      <c r="C1887" s="125"/>
      <c r="D1887" s="115"/>
      <c r="E1887" s="115"/>
      <c r="F1887" s="11" t="s">
        <v>588</v>
      </c>
      <c r="G1887" s="20" t="s">
        <v>589</v>
      </c>
      <c r="H1887" s="29" t="str">
        <f>VLOOKUP(G1887,'insumos terrapl'!$C$3:$K$47,2,0)</f>
        <v>2N  20  14  08  00  00  00</v>
      </c>
      <c r="I1887" s="29" t="str">
        <f>VLOOKUP(G1887,'insumos terrapl'!$C$3:$K$47,3,0)</f>
        <v>2N</v>
      </c>
      <c r="J1887" s="29">
        <f>VLOOKUP(G1887,'insumos terrapl'!$C$3:$K$47,4,0)</f>
        <v>20</v>
      </c>
      <c r="K1887" s="29">
        <f>VLOOKUP(G1887,'insumos terrapl'!$C$3:$K$47,5,0)</f>
        <v>14</v>
      </c>
      <c r="L1887" s="29" t="str">
        <f>VLOOKUP(G1887,'insumos terrapl'!$C$3:$K$47,6,0)</f>
        <v>08</v>
      </c>
      <c r="M1887" s="29" t="str">
        <f>VLOOKUP(G1887,'insumos terrapl'!$C$3:$K$47,7,0)</f>
        <v>00</v>
      </c>
      <c r="N1887" s="29" t="str">
        <f>VLOOKUP(G1887,'insumos terrapl'!$C$3:$K$47,8,0)</f>
        <v>00</v>
      </c>
      <c r="O1887" s="97" t="str">
        <f>VLOOKUP(G1887,'insumos terrapl'!$C$3:$K$47,9,0)</f>
        <v>00</v>
      </c>
    </row>
    <row r="1888" spans="1:15">
      <c r="A1888" s="125"/>
      <c r="B1888" s="127"/>
      <c r="C1888" s="132"/>
      <c r="D1888" s="116"/>
      <c r="E1888" s="115"/>
      <c r="F1888" s="11"/>
      <c r="G1888" s="20"/>
      <c r="H1888" s="29"/>
      <c r="I1888" s="29"/>
      <c r="J1888" s="29"/>
      <c r="K1888" s="29"/>
      <c r="L1888" s="29"/>
      <c r="M1888" s="29"/>
      <c r="N1888" s="29"/>
      <c r="O1888" s="97"/>
    </row>
    <row r="1889" spans="1:15">
      <c r="A1889" s="125"/>
      <c r="B1889" s="127"/>
      <c r="C1889" s="124" t="s">
        <v>276</v>
      </c>
      <c r="D1889" s="114" t="str">
        <f>$A$1875</f>
        <v>2.6.9</v>
      </c>
      <c r="E1889" s="114" t="s">
        <v>534</v>
      </c>
      <c r="F1889" s="12" t="s">
        <v>276</v>
      </c>
      <c r="G1889" s="19"/>
      <c r="H1889" s="28"/>
      <c r="I1889" s="28"/>
      <c r="J1889" s="28"/>
      <c r="K1889" s="28"/>
      <c r="L1889" s="28"/>
      <c r="M1889" s="28"/>
      <c r="N1889" s="28"/>
      <c r="O1889" s="99"/>
    </row>
    <row r="1890" spans="1:15" ht="30">
      <c r="A1890" s="125"/>
      <c r="B1890" s="127"/>
      <c r="C1890" s="125"/>
      <c r="D1890" s="115"/>
      <c r="E1890" s="115"/>
      <c r="F1890" s="11" t="s">
        <v>665</v>
      </c>
      <c r="G1890" s="20" t="s">
        <v>666</v>
      </c>
      <c r="H1890" s="29" t="str">
        <f>VLOOKUP(G1890,'insumos terrapl'!$C$3:$K$47,2,0)</f>
        <v>2Q  66  10  02  00  00  00</v>
      </c>
      <c r="I1890" s="29" t="str">
        <f>VLOOKUP(G1890,'insumos terrapl'!$C$3:$K$47,3,0)</f>
        <v>2Q</v>
      </c>
      <c r="J1890" s="29">
        <f>VLOOKUP(G1890,'insumos terrapl'!$C$3:$K$47,4,0)</f>
        <v>66</v>
      </c>
      <c r="K1890" s="29" t="str">
        <f>VLOOKUP(G1890,'insumos terrapl'!$C$3:$K$47,5,0)</f>
        <v>10</v>
      </c>
      <c r="L1890" s="29" t="str">
        <f>VLOOKUP(G1890,'insumos terrapl'!$C$3:$K$47,6,0)</f>
        <v>02</v>
      </c>
      <c r="M1890" s="29" t="str">
        <f>VLOOKUP(G1890,'insumos terrapl'!$C$3:$K$47,7,0)</f>
        <v>00</v>
      </c>
      <c r="N1890" s="29" t="str">
        <f>VLOOKUP(G1890,'insumos terrapl'!$C$3:$K$47,8,0)</f>
        <v>00</v>
      </c>
      <c r="O1890" s="97" t="str">
        <f>VLOOKUP(G1890,'insumos terrapl'!$C$3:$K$47,9,0)</f>
        <v>00</v>
      </c>
    </row>
    <row r="1891" spans="1:15" ht="30">
      <c r="A1891" s="125"/>
      <c r="B1891" s="127"/>
      <c r="C1891" s="125"/>
      <c r="D1891" s="115"/>
      <c r="E1891" s="115"/>
      <c r="F1891" s="11" t="s">
        <v>663</v>
      </c>
      <c r="G1891" s="20" t="s">
        <v>664</v>
      </c>
      <c r="H1891" s="29" t="str">
        <f>VLOOKUP(G1891,'insumos terrapl'!$C$3:$K$47,2,0)</f>
        <v>2Q  62  02  18  00  00  00</v>
      </c>
      <c r="I1891" s="29" t="str">
        <f>VLOOKUP(G1891,'insumos terrapl'!$C$3:$K$47,3,0)</f>
        <v>2Q</v>
      </c>
      <c r="J1891" s="29">
        <f>VLOOKUP(G1891,'insumos terrapl'!$C$3:$K$47,4,0)</f>
        <v>62</v>
      </c>
      <c r="K1891" s="29" t="str">
        <f>VLOOKUP(G1891,'insumos terrapl'!$C$3:$K$47,5,0)</f>
        <v>02</v>
      </c>
      <c r="L1891" s="29" t="str">
        <f>VLOOKUP(G1891,'insumos terrapl'!$C$3:$K$47,6,0)</f>
        <v>18</v>
      </c>
      <c r="M1891" s="29" t="str">
        <f>VLOOKUP(G1891,'insumos terrapl'!$C$3:$K$47,7,0)</f>
        <v>00</v>
      </c>
      <c r="N1891" s="29" t="str">
        <f>VLOOKUP(G1891,'insumos terrapl'!$C$3:$K$47,8,0)</f>
        <v>00</v>
      </c>
      <c r="O1891" s="97" t="str">
        <f>VLOOKUP(G1891,'insumos terrapl'!$C$3:$K$47,9,0)</f>
        <v>00</v>
      </c>
    </row>
    <row r="1892" spans="1:15">
      <c r="A1892" s="125"/>
      <c r="B1892" s="127"/>
      <c r="C1892" s="125"/>
      <c r="D1892" s="115"/>
      <c r="E1892" s="115"/>
      <c r="F1892" s="11" t="s">
        <v>588</v>
      </c>
      <c r="G1892" s="20" t="s">
        <v>589</v>
      </c>
      <c r="H1892" s="29" t="str">
        <f>VLOOKUP(G1892,'insumos terrapl'!$C$3:$K$47,2,0)</f>
        <v>2N  20  14  08  00  00  00</v>
      </c>
      <c r="I1892" s="29" t="str">
        <f>VLOOKUP(G1892,'insumos terrapl'!$C$3:$K$47,3,0)</f>
        <v>2N</v>
      </c>
      <c r="J1892" s="29">
        <f>VLOOKUP(G1892,'insumos terrapl'!$C$3:$K$47,4,0)</f>
        <v>20</v>
      </c>
      <c r="K1892" s="29">
        <f>VLOOKUP(G1892,'insumos terrapl'!$C$3:$K$47,5,0)</f>
        <v>14</v>
      </c>
      <c r="L1892" s="29" t="str">
        <f>VLOOKUP(G1892,'insumos terrapl'!$C$3:$K$47,6,0)</f>
        <v>08</v>
      </c>
      <c r="M1892" s="29" t="str">
        <f>VLOOKUP(G1892,'insumos terrapl'!$C$3:$K$47,7,0)</f>
        <v>00</v>
      </c>
      <c r="N1892" s="29" t="str">
        <f>VLOOKUP(G1892,'insumos terrapl'!$C$3:$K$47,8,0)</f>
        <v>00</v>
      </c>
      <c r="O1892" s="97" t="str">
        <f>VLOOKUP(G1892,'insumos terrapl'!$C$3:$K$47,9,0)</f>
        <v>00</v>
      </c>
    </row>
    <row r="1893" spans="1:15">
      <c r="A1893" s="125"/>
      <c r="B1893" s="127"/>
      <c r="C1893" s="132"/>
      <c r="D1893" s="116"/>
      <c r="E1893" s="115"/>
      <c r="F1893" s="11"/>
      <c r="G1893" s="20"/>
      <c r="H1893" s="29"/>
      <c r="I1893" s="29"/>
      <c r="J1893" s="29"/>
      <c r="K1893" s="29"/>
      <c r="L1893" s="29"/>
      <c r="M1893" s="29"/>
      <c r="N1893" s="29"/>
      <c r="O1893" s="97"/>
    </row>
    <row r="1894" spans="1:15">
      <c r="A1894" s="125"/>
      <c r="B1894" s="127"/>
      <c r="C1894" s="124" t="s">
        <v>277</v>
      </c>
      <c r="D1894" s="114" t="str">
        <f>$A$1875</f>
        <v>2.6.9</v>
      </c>
      <c r="E1894" s="114" t="s">
        <v>535</v>
      </c>
      <c r="F1894" s="12" t="s">
        <v>277</v>
      </c>
      <c r="G1894" s="19"/>
      <c r="H1894" s="28"/>
      <c r="I1894" s="28"/>
      <c r="J1894" s="28"/>
      <c r="K1894" s="28"/>
      <c r="L1894" s="28"/>
      <c r="M1894" s="28"/>
      <c r="N1894" s="28"/>
      <c r="O1894" s="99"/>
    </row>
    <row r="1895" spans="1:15" ht="30">
      <c r="A1895" s="125"/>
      <c r="B1895" s="127"/>
      <c r="C1895" s="125"/>
      <c r="D1895" s="115"/>
      <c r="E1895" s="115"/>
      <c r="F1895" s="11" t="s">
        <v>665</v>
      </c>
      <c r="G1895" s="20" t="s">
        <v>666</v>
      </c>
      <c r="H1895" s="29" t="str">
        <f>VLOOKUP(G1895,'insumos terrapl'!$C$3:$K$47,2,0)</f>
        <v>2Q  66  10  02  00  00  00</v>
      </c>
      <c r="I1895" s="29" t="str">
        <f>VLOOKUP(G1895,'insumos terrapl'!$C$3:$K$47,3,0)</f>
        <v>2Q</v>
      </c>
      <c r="J1895" s="29">
        <f>VLOOKUP(G1895,'insumos terrapl'!$C$3:$K$47,4,0)</f>
        <v>66</v>
      </c>
      <c r="K1895" s="29" t="str">
        <f>VLOOKUP(G1895,'insumos terrapl'!$C$3:$K$47,5,0)</f>
        <v>10</v>
      </c>
      <c r="L1895" s="29" t="str">
        <f>VLOOKUP(G1895,'insumos terrapl'!$C$3:$K$47,6,0)</f>
        <v>02</v>
      </c>
      <c r="M1895" s="29" t="str">
        <f>VLOOKUP(G1895,'insumos terrapl'!$C$3:$K$47,7,0)</f>
        <v>00</v>
      </c>
      <c r="N1895" s="29" t="str">
        <f>VLOOKUP(G1895,'insumos terrapl'!$C$3:$K$47,8,0)</f>
        <v>00</v>
      </c>
      <c r="O1895" s="97" t="str">
        <f>VLOOKUP(G1895,'insumos terrapl'!$C$3:$K$47,9,0)</f>
        <v>00</v>
      </c>
    </row>
    <row r="1896" spans="1:15" ht="30">
      <c r="A1896" s="125"/>
      <c r="B1896" s="127"/>
      <c r="C1896" s="125"/>
      <c r="D1896" s="115"/>
      <c r="E1896" s="115"/>
      <c r="F1896" s="11" t="s">
        <v>663</v>
      </c>
      <c r="G1896" s="20" t="s">
        <v>664</v>
      </c>
      <c r="H1896" s="29" t="str">
        <f>VLOOKUP(G1896,'insumos terrapl'!$C$3:$K$47,2,0)</f>
        <v>2Q  62  02  18  00  00  00</v>
      </c>
      <c r="I1896" s="29" t="str">
        <f>VLOOKUP(G1896,'insumos terrapl'!$C$3:$K$47,3,0)</f>
        <v>2Q</v>
      </c>
      <c r="J1896" s="29">
        <f>VLOOKUP(G1896,'insumos terrapl'!$C$3:$K$47,4,0)</f>
        <v>62</v>
      </c>
      <c r="K1896" s="29" t="str">
        <f>VLOOKUP(G1896,'insumos terrapl'!$C$3:$K$47,5,0)</f>
        <v>02</v>
      </c>
      <c r="L1896" s="29" t="str">
        <f>VLOOKUP(G1896,'insumos terrapl'!$C$3:$K$47,6,0)</f>
        <v>18</v>
      </c>
      <c r="M1896" s="29" t="str">
        <f>VLOOKUP(G1896,'insumos terrapl'!$C$3:$K$47,7,0)</f>
        <v>00</v>
      </c>
      <c r="N1896" s="29" t="str">
        <f>VLOOKUP(G1896,'insumos terrapl'!$C$3:$K$47,8,0)</f>
        <v>00</v>
      </c>
      <c r="O1896" s="97" t="str">
        <f>VLOOKUP(G1896,'insumos terrapl'!$C$3:$K$47,9,0)</f>
        <v>00</v>
      </c>
    </row>
    <row r="1897" spans="1:15">
      <c r="A1897" s="125"/>
      <c r="B1897" s="127"/>
      <c r="C1897" s="125"/>
      <c r="D1897" s="115"/>
      <c r="E1897" s="115"/>
      <c r="F1897" s="11" t="s">
        <v>588</v>
      </c>
      <c r="G1897" s="20" t="s">
        <v>589</v>
      </c>
      <c r="H1897" s="29" t="str">
        <f>VLOOKUP(G1897,'insumos terrapl'!$C$3:$K$47,2,0)</f>
        <v>2N  20  14  08  00  00  00</v>
      </c>
      <c r="I1897" s="29" t="str">
        <f>VLOOKUP(G1897,'insumos terrapl'!$C$3:$K$47,3,0)</f>
        <v>2N</v>
      </c>
      <c r="J1897" s="29">
        <f>VLOOKUP(G1897,'insumos terrapl'!$C$3:$K$47,4,0)</f>
        <v>20</v>
      </c>
      <c r="K1897" s="29">
        <f>VLOOKUP(G1897,'insumos terrapl'!$C$3:$K$47,5,0)</f>
        <v>14</v>
      </c>
      <c r="L1897" s="29" t="str">
        <f>VLOOKUP(G1897,'insumos terrapl'!$C$3:$K$47,6,0)</f>
        <v>08</v>
      </c>
      <c r="M1897" s="29" t="str">
        <f>VLOOKUP(G1897,'insumos terrapl'!$C$3:$K$47,7,0)</f>
        <v>00</v>
      </c>
      <c r="N1897" s="29" t="str">
        <f>VLOOKUP(G1897,'insumos terrapl'!$C$3:$K$47,8,0)</f>
        <v>00</v>
      </c>
      <c r="O1897" s="97" t="str">
        <f>VLOOKUP(G1897,'insumos terrapl'!$C$3:$K$47,9,0)</f>
        <v>00</v>
      </c>
    </row>
    <row r="1898" spans="1:15">
      <c r="A1898" s="125"/>
      <c r="B1898" s="127"/>
      <c r="C1898" s="132"/>
      <c r="D1898" s="116"/>
      <c r="E1898" s="115"/>
      <c r="F1898" s="11"/>
      <c r="G1898" s="20"/>
      <c r="H1898" s="29"/>
      <c r="I1898" s="29"/>
      <c r="J1898" s="29"/>
      <c r="K1898" s="29"/>
      <c r="L1898" s="29"/>
      <c r="M1898" s="29"/>
      <c r="N1898" s="29"/>
      <c r="O1898" s="97"/>
    </row>
    <row r="1899" spans="1:15">
      <c r="A1899" s="125"/>
      <c r="B1899" s="127"/>
      <c r="C1899" s="124" t="s">
        <v>278</v>
      </c>
      <c r="D1899" s="114" t="str">
        <f>$A$1875</f>
        <v>2.6.9</v>
      </c>
      <c r="E1899" s="114" t="s">
        <v>536</v>
      </c>
      <c r="F1899" s="12" t="s">
        <v>278</v>
      </c>
      <c r="G1899" s="19"/>
      <c r="H1899" s="28"/>
      <c r="I1899" s="28"/>
      <c r="J1899" s="28"/>
      <c r="K1899" s="28"/>
      <c r="L1899" s="28"/>
      <c r="M1899" s="28"/>
      <c r="N1899" s="28"/>
      <c r="O1899" s="99"/>
    </row>
    <row r="1900" spans="1:15" ht="30">
      <c r="A1900" s="125"/>
      <c r="B1900" s="127"/>
      <c r="C1900" s="125"/>
      <c r="D1900" s="115"/>
      <c r="E1900" s="115"/>
      <c r="F1900" s="11" t="s">
        <v>665</v>
      </c>
      <c r="G1900" s="20" t="s">
        <v>666</v>
      </c>
      <c r="H1900" s="29" t="str">
        <f>VLOOKUP(G1900,'insumos terrapl'!$C$3:$K$47,2,0)</f>
        <v>2Q  66  10  02  00  00  00</v>
      </c>
      <c r="I1900" s="29" t="str">
        <f>VLOOKUP(G1900,'insumos terrapl'!$C$3:$K$47,3,0)</f>
        <v>2Q</v>
      </c>
      <c r="J1900" s="29">
        <f>VLOOKUP(G1900,'insumos terrapl'!$C$3:$K$47,4,0)</f>
        <v>66</v>
      </c>
      <c r="K1900" s="29" t="str">
        <f>VLOOKUP(G1900,'insumos terrapl'!$C$3:$K$47,5,0)</f>
        <v>10</v>
      </c>
      <c r="L1900" s="29" t="str">
        <f>VLOOKUP(G1900,'insumos terrapl'!$C$3:$K$47,6,0)</f>
        <v>02</v>
      </c>
      <c r="M1900" s="29" t="str">
        <f>VLOOKUP(G1900,'insumos terrapl'!$C$3:$K$47,7,0)</f>
        <v>00</v>
      </c>
      <c r="N1900" s="29" t="str">
        <f>VLOOKUP(G1900,'insumos terrapl'!$C$3:$K$47,8,0)</f>
        <v>00</v>
      </c>
      <c r="O1900" s="97" t="str">
        <f>VLOOKUP(G1900,'insumos terrapl'!$C$3:$K$47,9,0)</f>
        <v>00</v>
      </c>
    </row>
    <row r="1901" spans="1:15" ht="30">
      <c r="A1901" s="125"/>
      <c r="B1901" s="127"/>
      <c r="C1901" s="125"/>
      <c r="D1901" s="115"/>
      <c r="E1901" s="115"/>
      <c r="F1901" s="11" t="s">
        <v>663</v>
      </c>
      <c r="G1901" s="20" t="s">
        <v>664</v>
      </c>
      <c r="H1901" s="29" t="str">
        <f>VLOOKUP(G1901,'insumos terrapl'!$C$3:$K$47,2,0)</f>
        <v>2Q  62  02  18  00  00  00</v>
      </c>
      <c r="I1901" s="29" t="str">
        <f>VLOOKUP(G1901,'insumos terrapl'!$C$3:$K$47,3,0)</f>
        <v>2Q</v>
      </c>
      <c r="J1901" s="29">
        <f>VLOOKUP(G1901,'insumos terrapl'!$C$3:$K$47,4,0)</f>
        <v>62</v>
      </c>
      <c r="K1901" s="29" t="str">
        <f>VLOOKUP(G1901,'insumos terrapl'!$C$3:$K$47,5,0)</f>
        <v>02</v>
      </c>
      <c r="L1901" s="29" t="str">
        <f>VLOOKUP(G1901,'insumos terrapl'!$C$3:$K$47,6,0)</f>
        <v>18</v>
      </c>
      <c r="M1901" s="29" t="str">
        <f>VLOOKUP(G1901,'insumos terrapl'!$C$3:$K$47,7,0)</f>
        <v>00</v>
      </c>
      <c r="N1901" s="29" t="str">
        <f>VLOOKUP(G1901,'insumos terrapl'!$C$3:$K$47,8,0)</f>
        <v>00</v>
      </c>
      <c r="O1901" s="97" t="str">
        <f>VLOOKUP(G1901,'insumos terrapl'!$C$3:$K$47,9,0)</f>
        <v>00</v>
      </c>
    </row>
    <row r="1902" spans="1:15">
      <c r="A1902" s="125"/>
      <c r="B1902" s="127"/>
      <c r="C1902" s="125"/>
      <c r="D1902" s="115"/>
      <c r="E1902" s="115"/>
      <c r="F1902" s="11" t="s">
        <v>588</v>
      </c>
      <c r="G1902" s="20" t="s">
        <v>589</v>
      </c>
      <c r="H1902" s="29" t="str">
        <f>VLOOKUP(G1902,'insumos terrapl'!$C$3:$K$47,2,0)</f>
        <v>2N  20  14  08  00  00  00</v>
      </c>
      <c r="I1902" s="29" t="str">
        <f>VLOOKUP(G1902,'insumos terrapl'!$C$3:$K$47,3,0)</f>
        <v>2N</v>
      </c>
      <c r="J1902" s="29">
        <f>VLOOKUP(G1902,'insumos terrapl'!$C$3:$K$47,4,0)</f>
        <v>20</v>
      </c>
      <c r="K1902" s="29">
        <f>VLOOKUP(G1902,'insumos terrapl'!$C$3:$K$47,5,0)</f>
        <v>14</v>
      </c>
      <c r="L1902" s="29" t="str">
        <f>VLOOKUP(G1902,'insumos terrapl'!$C$3:$K$47,6,0)</f>
        <v>08</v>
      </c>
      <c r="M1902" s="29" t="str">
        <f>VLOOKUP(G1902,'insumos terrapl'!$C$3:$K$47,7,0)</f>
        <v>00</v>
      </c>
      <c r="N1902" s="29" t="str">
        <f>VLOOKUP(G1902,'insumos terrapl'!$C$3:$K$47,8,0)</f>
        <v>00</v>
      </c>
      <c r="O1902" s="97" t="str">
        <f>VLOOKUP(G1902,'insumos terrapl'!$C$3:$K$47,9,0)</f>
        <v>00</v>
      </c>
    </row>
    <row r="1903" spans="1:15">
      <c r="A1903" s="125"/>
      <c r="B1903" s="127"/>
      <c r="C1903" s="132"/>
      <c r="D1903" s="116"/>
      <c r="E1903" s="116"/>
      <c r="F1903" s="13"/>
      <c r="G1903" s="21"/>
      <c r="H1903" s="31"/>
      <c r="I1903" s="31"/>
      <c r="J1903" s="31"/>
      <c r="K1903" s="31"/>
      <c r="L1903" s="31"/>
      <c r="M1903" s="31"/>
      <c r="N1903" s="31"/>
      <c r="O1903" s="98"/>
    </row>
    <row r="1904" spans="1:15">
      <c r="A1904" s="125"/>
      <c r="B1904" s="127"/>
      <c r="C1904" s="124" t="s">
        <v>279</v>
      </c>
      <c r="D1904" s="114" t="str">
        <f>$A$1875</f>
        <v>2.6.9</v>
      </c>
      <c r="E1904" s="114" t="s">
        <v>537</v>
      </c>
      <c r="F1904" s="12" t="s">
        <v>279</v>
      </c>
      <c r="G1904" s="19"/>
      <c r="H1904" s="28"/>
      <c r="I1904" s="28"/>
      <c r="J1904" s="28"/>
      <c r="K1904" s="28"/>
      <c r="L1904" s="28"/>
      <c r="M1904" s="28"/>
      <c r="N1904" s="28"/>
      <c r="O1904" s="99"/>
    </row>
    <row r="1905" spans="1:15" ht="30">
      <c r="A1905" s="125"/>
      <c r="B1905" s="127"/>
      <c r="C1905" s="125"/>
      <c r="D1905" s="115"/>
      <c r="E1905" s="115"/>
      <c r="F1905" s="11" t="s">
        <v>665</v>
      </c>
      <c r="G1905" s="20" t="s">
        <v>666</v>
      </c>
      <c r="H1905" s="29" t="str">
        <f>VLOOKUP(G1905,'insumos terrapl'!$C$3:$K$47,2,0)</f>
        <v>2Q  66  10  02  00  00  00</v>
      </c>
      <c r="I1905" s="29" t="str">
        <f>VLOOKUP(G1905,'insumos terrapl'!$C$3:$K$47,3,0)</f>
        <v>2Q</v>
      </c>
      <c r="J1905" s="29">
        <f>VLOOKUP(G1905,'insumos terrapl'!$C$3:$K$47,4,0)</f>
        <v>66</v>
      </c>
      <c r="K1905" s="29" t="str">
        <f>VLOOKUP(G1905,'insumos terrapl'!$C$3:$K$47,5,0)</f>
        <v>10</v>
      </c>
      <c r="L1905" s="29" t="str">
        <f>VLOOKUP(G1905,'insumos terrapl'!$C$3:$K$47,6,0)</f>
        <v>02</v>
      </c>
      <c r="M1905" s="29" t="str">
        <f>VLOOKUP(G1905,'insumos terrapl'!$C$3:$K$47,7,0)</f>
        <v>00</v>
      </c>
      <c r="N1905" s="29" t="str">
        <f>VLOOKUP(G1905,'insumos terrapl'!$C$3:$K$47,8,0)</f>
        <v>00</v>
      </c>
      <c r="O1905" s="97" t="str">
        <f>VLOOKUP(G1905,'insumos terrapl'!$C$3:$K$47,9,0)</f>
        <v>00</v>
      </c>
    </row>
    <row r="1906" spans="1:15" ht="30">
      <c r="A1906" s="125"/>
      <c r="B1906" s="127"/>
      <c r="C1906" s="125"/>
      <c r="D1906" s="115"/>
      <c r="E1906" s="115"/>
      <c r="F1906" s="11" t="s">
        <v>663</v>
      </c>
      <c r="G1906" s="20" t="s">
        <v>664</v>
      </c>
      <c r="H1906" s="29" t="str">
        <f>VLOOKUP(G1906,'insumos terrapl'!$C$3:$K$47,2,0)</f>
        <v>2Q  62  02  18  00  00  00</v>
      </c>
      <c r="I1906" s="29" t="str">
        <f>VLOOKUP(G1906,'insumos terrapl'!$C$3:$K$47,3,0)</f>
        <v>2Q</v>
      </c>
      <c r="J1906" s="29">
        <f>VLOOKUP(G1906,'insumos terrapl'!$C$3:$K$47,4,0)</f>
        <v>62</v>
      </c>
      <c r="K1906" s="29" t="str">
        <f>VLOOKUP(G1906,'insumos terrapl'!$C$3:$K$47,5,0)</f>
        <v>02</v>
      </c>
      <c r="L1906" s="29" t="str">
        <f>VLOOKUP(G1906,'insumos terrapl'!$C$3:$K$47,6,0)</f>
        <v>18</v>
      </c>
      <c r="M1906" s="29" t="str">
        <f>VLOOKUP(G1906,'insumos terrapl'!$C$3:$K$47,7,0)</f>
        <v>00</v>
      </c>
      <c r="N1906" s="29" t="str">
        <f>VLOOKUP(G1906,'insumos terrapl'!$C$3:$K$47,8,0)</f>
        <v>00</v>
      </c>
      <c r="O1906" s="97" t="str">
        <f>VLOOKUP(G1906,'insumos terrapl'!$C$3:$K$47,9,0)</f>
        <v>00</v>
      </c>
    </row>
    <row r="1907" spans="1:15">
      <c r="A1907" s="125"/>
      <c r="B1907" s="127"/>
      <c r="C1907" s="125"/>
      <c r="D1907" s="115"/>
      <c r="E1907" s="115"/>
      <c r="F1907" s="11" t="s">
        <v>588</v>
      </c>
      <c r="G1907" s="20" t="s">
        <v>589</v>
      </c>
      <c r="H1907" s="29" t="str">
        <f>VLOOKUP(G1907,'insumos terrapl'!$C$3:$K$47,2,0)</f>
        <v>2N  20  14  08  00  00  00</v>
      </c>
      <c r="I1907" s="29" t="str">
        <f>VLOOKUP(G1907,'insumos terrapl'!$C$3:$K$47,3,0)</f>
        <v>2N</v>
      </c>
      <c r="J1907" s="29">
        <f>VLOOKUP(G1907,'insumos terrapl'!$C$3:$K$47,4,0)</f>
        <v>20</v>
      </c>
      <c r="K1907" s="29">
        <f>VLOOKUP(G1907,'insumos terrapl'!$C$3:$K$47,5,0)</f>
        <v>14</v>
      </c>
      <c r="L1907" s="29" t="str">
        <f>VLOOKUP(G1907,'insumos terrapl'!$C$3:$K$47,6,0)</f>
        <v>08</v>
      </c>
      <c r="M1907" s="29" t="str">
        <f>VLOOKUP(G1907,'insumos terrapl'!$C$3:$K$47,7,0)</f>
        <v>00</v>
      </c>
      <c r="N1907" s="29" t="str">
        <f>VLOOKUP(G1907,'insumos terrapl'!$C$3:$K$47,8,0)</f>
        <v>00</v>
      </c>
      <c r="O1907" s="97" t="str">
        <f>VLOOKUP(G1907,'insumos terrapl'!$C$3:$K$47,9,0)</f>
        <v>00</v>
      </c>
    </row>
    <row r="1908" spans="1:15">
      <c r="A1908" s="125"/>
      <c r="B1908" s="127"/>
      <c r="C1908" s="132"/>
      <c r="D1908" s="116"/>
      <c r="E1908" s="116"/>
      <c r="F1908" s="13"/>
      <c r="G1908" s="21"/>
      <c r="H1908" s="31"/>
      <c r="I1908" s="31"/>
      <c r="J1908" s="31"/>
      <c r="K1908" s="31"/>
      <c r="L1908" s="31"/>
      <c r="M1908" s="31"/>
      <c r="N1908" s="31"/>
      <c r="O1908" s="98"/>
    </row>
    <row r="1909" spans="1:15">
      <c r="A1909" s="125"/>
      <c r="B1909" s="127"/>
      <c r="C1909" s="124" t="s">
        <v>280</v>
      </c>
      <c r="D1909" s="114" t="str">
        <f>$A$1875</f>
        <v>2.6.9</v>
      </c>
      <c r="E1909" s="115" t="s">
        <v>538</v>
      </c>
      <c r="F1909" s="11" t="s">
        <v>280</v>
      </c>
      <c r="G1909" s="20"/>
      <c r="H1909" s="29"/>
      <c r="I1909" s="29"/>
      <c r="J1909" s="29"/>
      <c r="K1909" s="29"/>
      <c r="L1909" s="29"/>
      <c r="M1909" s="29"/>
      <c r="N1909" s="29"/>
      <c r="O1909" s="97"/>
    </row>
    <row r="1910" spans="1:15" ht="30">
      <c r="A1910" s="125"/>
      <c r="B1910" s="127"/>
      <c r="C1910" s="125"/>
      <c r="D1910" s="115"/>
      <c r="E1910" s="115"/>
      <c r="F1910" s="11" t="s">
        <v>665</v>
      </c>
      <c r="G1910" s="20" t="s">
        <v>666</v>
      </c>
      <c r="H1910" s="29" t="str">
        <f>VLOOKUP(G1910,'insumos terrapl'!$C$3:$K$47,2,0)</f>
        <v>2Q  66  10  02  00  00  00</v>
      </c>
      <c r="I1910" s="29" t="str">
        <f>VLOOKUP(G1910,'insumos terrapl'!$C$3:$K$47,3,0)</f>
        <v>2Q</v>
      </c>
      <c r="J1910" s="29">
        <f>VLOOKUP(G1910,'insumos terrapl'!$C$3:$K$47,4,0)</f>
        <v>66</v>
      </c>
      <c r="K1910" s="29" t="str">
        <f>VLOOKUP(G1910,'insumos terrapl'!$C$3:$K$47,5,0)</f>
        <v>10</v>
      </c>
      <c r="L1910" s="29" t="str">
        <f>VLOOKUP(G1910,'insumos terrapl'!$C$3:$K$47,6,0)</f>
        <v>02</v>
      </c>
      <c r="M1910" s="29" t="str">
        <f>VLOOKUP(G1910,'insumos terrapl'!$C$3:$K$47,7,0)</f>
        <v>00</v>
      </c>
      <c r="N1910" s="29" t="str">
        <f>VLOOKUP(G1910,'insumos terrapl'!$C$3:$K$47,8,0)</f>
        <v>00</v>
      </c>
      <c r="O1910" s="97" t="str">
        <f>VLOOKUP(G1910,'insumos terrapl'!$C$3:$K$47,9,0)</f>
        <v>00</v>
      </c>
    </row>
    <row r="1911" spans="1:15" ht="30">
      <c r="A1911" s="125"/>
      <c r="B1911" s="127"/>
      <c r="C1911" s="125"/>
      <c r="D1911" s="115"/>
      <c r="E1911" s="115"/>
      <c r="F1911" s="11" t="s">
        <v>663</v>
      </c>
      <c r="G1911" s="20" t="s">
        <v>664</v>
      </c>
      <c r="H1911" s="29" t="str">
        <f>VLOOKUP(G1911,'insumos terrapl'!$C$3:$K$47,2,0)</f>
        <v>2Q  62  02  18  00  00  00</v>
      </c>
      <c r="I1911" s="29" t="str">
        <f>VLOOKUP(G1911,'insumos terrapl'!$C$3:$K$47,3,0)</f>
        <v>2Q</v>
      </c>
      <c r="J1911" s="29">
        <f>VLOOKUP(G1911,'insumos terrapl'!$C$3:$K$47,4,0)</f>
        <v>62</v>
      </c>
      <c r="K1911" s="29" t="str">
        <f>VLOOKUP(G1911,'insumos terrapl'!$C$3:$K$47,5,0)</f>
        <v>02</v>
      </c>
      <c r="L1911" s="29" t="str">
        <f>VLOOKUP(G1911,'insumos terrapl'!$C$3:$K$47,6,0)</f>
        <v>18</v>
      </c>
      <c r="M1911" s="29" t="str">
        <f>VLOOKUP(G1911,'insumos terrapl'!$C$3:$K$47,7,0)</f>
        <v>00</v>
      </c>
      <c r="N1911" s="29" t="str">
        <f>VLOOKUP(G1911,'insumos terrapl'!$C$3:$K$47,8,0)</f>
        <v>00</v>
      </c>
      <c r="O1911" s="97" t="str">
        <f>VLOOKUP(G1911,'insumos terrapl'!$C$3:$K$47,9,0)</f>
        <v>00</v>
      </c>
    </row>
    <row r="1912" spans="1:15">
      <c r="A1912" s="125"/>
      <c r="B1912" s="127"/>
      <c r="C1912" s="125"/>
      <c r="D1912" s="115"/>
      <c r="E1912" s="115"/>
      <c r="F1912" s="11" t="s">
        <v>588</v>
      </c>
      <c r="G1912" s="20" t="s">
        <v>589</v>
      </c>
      <c r="H1912" s="29" t="str">
        <f>VLOOKUP(G1912,'insumos terrapl'!$C$3:$K$47,2,0)</f>
        <v>2N  20  14  08  00  00  00</v>
      </c>
      <c r="I1912" s="29" t="str">
        <f>VLOOKUP(G1912,'insumos terrapl'!$C$3:$K$47,3,0)</f>
        <v>2N</v>
      </c>
      <c r="J1912" s="29">
        <f>VLOOKUP(G1912,'insumos terrapl'!$C$3:$K$47,4,0)</f>
        <v>20</v>
      </c>
      <c r="K1912" s="29">
        <f>VLOOKUP(G1912,'insumos terrapl'!$C$3:$K$47,5,0)</f>
        <v>14</v>
      </c>
      <c r="L1912" s="29" t="str">
        <f>VLOOKUP(G1912,'insumos terrapl'!$C$3:$K$47,6,0)</f>
        <v>08</v>
      </c>
      <c r="M1912" s="29" t="str">
        <f>VLOOKUP(G1912,'insumos terrapl'!$C$3:$K$47,7,0)</f>
        <v>00</v>
      </c>
      <c r="N1912" s="29" t="str">
        <f>VLOOKUP(G1912,'insumos terrapl'!$C$3:$K$47,8,0)</f>
        <v>00</v>
      </c>
      <c r="O1912" s="97" t="str">
        <f>VLOOKUP(G1912,'insumos terrapl'!$C$3:$K$47,9,0)</f>
        <v>00</v>
      </c>
    </row>
    <row r="1913" spans="1:15">
      <c r="A1913" s="125"/>
      <c r="B1913" s="127"/>
      <c r="C1913" s="132"/>
      <c r="D1913" s="116"/>
      <c r="E1913" s="116"/>
      <c r="F1913" s="13"/>
      <c r="G1913" s="21"/>
      <c r="H1913" s="31"/>
      <c r="I1913" s="31"/>
      <c r="J1913" s="31"/>
      <c r="K1913" s="31"/>
      <c r="L1913" s="31"/>
      <c r="M1913" s="31"/>
      <c r="N1913" s="31"/>
      <c r="O1913" s="98"/>
    </row>
    <row r="1914" spans="1:15">
      <c r="A1914" s="125"/>
      <c r="B1914" s="127"/>
      <c r="C1914" s="124" t="s">
        <v>281</v>
      </c>
      <c r="D1914" s="114" t="str">
        <f>$A$1875</f>
        <v>2.6.9</v>
      </c>
      <c r="E1914" s="115" t="s">
        <v>539</v>
      </c>
      <c r="F1914" s="11" t="s">
        <v>281</v>
      </c>
      <c r="G1914" s="20"/>
      <c r="H1914" s="29"/>
      <c r="I1914" s="29"/>
      <c r="J1914" s="29"/>
      <c r="K1914" s="29"/>
      <c r="L1914" s="29"/>
      <c r="M1914" s="29"/>
      <c r="N1914" s="29"/>
      <c r="O1914" s="97"/>
    </row>
    <row r="1915" spans="1:15" ht="30">
      <c r="A1915" s="125"/>
      <c r="B1915" s="127"/>
      <c r="C1915" s="125"/>
      <c r="D1915" s="115"/>
      <c r="E1915" s="115"/>
      <c r="F1915" s="11" t="s">
        <v>665</v>
      </c>
      <c r="G1915" s="20" t="s">
        <v>666</v>
      </c>
      <c r="H1915" s="29" t="str">
        <f>VLOOKUP(G1915,'insumos terrapl'!$C$3:$K$47,2,0)</f>
        <v>2Q  66  10  02  00  00  00</v>
      </c>
      <c r="I1915" s="29" t="str">
        <f>VLOOKUP(G1915,'insumos terrapl'!$C$3:$K$47,3,0)</f>
        <v>2Q</v>
      </c>
      <c r="J1915" s="29">
        <f>VLOOKUP(G1915,'insumos terrapl'!$C$3:$K$47,4,0)</f>
        <v>66</v>
      </c>
      <c r="K1915" s="29" t="str">
        <f>VLOOKUP(G1915,'insumos terrapl'!$C$3:$K$47,5,0)</f>
        <v>10</v>
      </c>
      <c r="L1915" s="29" t="str">
        <f>VLOOKUP(G1915,'insumos terrapl'!$C$3:$K$47,6,0)</f>
        <v>02</v>
      </c>
      <c r="M1915" s="29" t="str">
        <f>VLOOKUP(G1915,'insumos terrapl'!$C$3:$K$47,7,0)</f>
        <v>00</v>
      </c>
      <c r="N1915" s="29" t="str">
        <f>VLOOKUP(G1915,'insumos terrapl'!$C$3:$K$47,8,0)</f>
        <v>00</v>
      </c>
      <c r="O1915" s="97" t="str">
        <f>VLOOKUP(G1915,'insumos terrapl'!$C$3:$K$47,9,0)</f>
        <v>00</v>
      </c>
    </row>
    <row r="1916" spans="1:15" ht="30">
      <c r="A1916" s="125"/>
      <c r="B1916" s="127"/>
      <c r="C1916" s="125"/>
      <c r="D1916" s="115"/>
      <c r="E1916" s="115"/>
      <c r="F1916" s="11" t="s">
        <v>663</v>
      </c>
      <c r="G1916" s="20" t="s">
        <v>664</v>
      </c>
      <c r="H1916" s="29" t="str">
        <f>VLOOKUP(G1916,'insumos terrapl'!$C$3:$K$47,2,0)</f>
        <v>2Q  62  02  18  00  00  00</v>
      </c>
      <c r="I1916" s="29" t="str">
        <f>VLOOKUP(G1916,'insumos terrapl'!$C$3:$K$47,3,0)</f>
        <v>2Q</v>
      </c>
      <c r="J1916" s="29">
        <f>VLOOKUP(G1916,'insumos terrapl'!$C$3:$K$47,4,0)</f>
        <v>62</v>
      </c>
      <c r="K1916" s="29" t="str">
        <f>VLOOKUP(G1916,'insumos terrapl'!$C$3:$K$47,5,0)</f>
        <v>02</v>
      </c>
      <c r="L1916" s="29" t="str">
        <f>VLOOKUP(G1916,'insumos terrapl'!$C$3:$K$47,6,0)</f>
        <v>18</v>
      </c>
      <c r="M1916" s="29" t="str">
        <f>VLOOKUP(G1916,'insumos terrapl'!$C$3:$K$47,7,0)</f>
        <v>00</v>
      </c>
      <c r="N1916" s="29" t="str">
        <f>VLOOKUP(G1916,'insumos terrapl'!$C$3:$K$47,8,0)</f>
        <v>00</v>
      </c>
      <c r="O1916" s="97" t="str">
        <f>VLOOKUP(G1916,'insumos terrapl'!$C$3:$K$47,9,0)</f>
        <v>00</v>
      </c>
    </row>
    <row r="1917" spans="1:15">
      <c r="A1917" s="125"/>
      <c r="B1917" s="127"/>
      <c r="C1917" s="125"/>
      <c r="D1917" s="115"/>
      <c r="E1917" s="115"/>
      <c r="F1917" s="11" t="s">
        <v>588</v>
      </c>
      <c r="G1917" s="20" t="s">
        <v>589</v>
      </c>
      <c r="H1917" s="29" t="str">
        <f>VLOOKUP(G1917,'insumos terrapl'!$C$3:$K$47,2,0)</f>
        <v>2N  20  14  08  00  00  00</v>
      </c>
      <c r="I1917" s="29" t="str">
        <f>VLOOKUP(G1917,'insumos terrapl'!$C$3:$K$47,3,0)</f>
        <v>2N</v>
      </c>
      <c r="J1917" s="29">
        <f>VLOOKUP(G1917,'insumos terrapl'!$C$3:$K$47,4,0)</f>
        <v>20</v>
      </c>
      <c r="K1917" s="29">
        <f>VLOOKUP(G1917,'insumos terrapl'!$C$3:$K$47,5,0)</f>
        <v>14</v>
      </c>
      <c r="L1917" s="29" t="str">
        <f>VLOOKUP(G1917,'insumos terrapl'!$C$3:$K$47,6,0)</f>
        <v>08</v>
      </c>
      <c r="M1917" s="29" t="str">
        <f>VLOOKUP(G1917,'insumos terrapl'!$C$3:$K$47,7,0)</f>
        <v>00</v>
      </c>
      <c r="N1917" s="29" t="str">
        <f>VLOOKUP(G1917,'insumos terrapl'!$C$3:$K$47,8,0)</f>
        <v>00</v>
      </c>
      <c r="O1917" s="97" t="str">
        <f>VLOOKUP(G1917,'insumos terrapl'!$C$3:$K$47,9,0)</f>
        <v>00</v>
      </c>
    </row>
    <row r="1918" spans="1:15">
      <c r="A1918" s="125"/>
      <c r="B1918" s="127"/>
      <c r="C1918" s="125"/>
      <c r="D1918" s="116"/>
      <c r="E1918" s="115"/>
      <c r="F1918" s="10"/>
      <c r="G1918" s="20"/>
      <c r="H1918" s="29"/>
      <c r="I1918" s="29"/>
      <c r="J1918" s="29"/>
      <c r="K1918" s="29"/>
      <c r="L1918" s="29"/>
      <c r="M1918" s="29"/>
      <c r="N1918" s="29"/>
      <c r="O1918" s="97"/>
    </row>
    <row r="1919" spans="1:15">
      <c r="A1919" s="125"/>
      <c r="B1919" s="127"/>
      <c r="C1919" s="124" t="s">
        <v>282</v>
      </c>
      <c r="D1919" s="114" t="str">
        <f>$A$1875</f>
        <v>2.6.9</v>
      </c>
      <c r="E1919" s="114" t="s">
        <v>540</v>
      </c>
      <c r="F1919" s="12" t="s">
        <v>282</v>
      </c>
      <c r="G1919" s="19"/>
      <c r="H1919" s="28"/>
      <c r="I1919" s="28"/>
      <c r="J1919" s="28"/>
      <c r="K1919" s="28"/>
      <c r="L1919" s="28"/>
      <c r="M1919" s="28"/>
      <c r="N1919" s="28"/>
      <c r="O1919" s="99"/>
    </row>
    <row r="1920" spans="1:15" ht="30">
      <c r="A1920" s="125"/>
      <c r="B1920" s="127"/>
      <c r="C1920" s="125"/>
      <c r="D1920" s="115"/>
      <c r="E1920" s="115"/>
      <c r="F1920" s="11" t="s">
        <v>665</v>
      </c>
      <c r="G1920" s="20" t="s">
        <v>666</v>
      </c>
      <c r="H1920" s="29" t="str">
        <f>VLOOKUP(G1920,'insumos terrapl'!$C$3:$K$47,2,0)</f>
        <v>2Q  66  10  02  00  00  00</v>
      </c>
      <c r="I1920" s="29" t="str">
        <f>VLOOKUP(G1920,'insumos terrapl'!$C$3:$K$47,3,0)</f>
        <v>2Q</v>
      </c>
      <c r="J1920" s="29">
        <f>VLOOKUP(G1920,'insumos terrapl'!$C$3:$K$47,4,0)</f>
        <v>66</v>
      </c>
      <c r="K1920" s="29" t="str">
        <f>VLOOKUP(G1920,'insumos terrapl'!$C$3:$K$47,5,0)</f>
        <v>10</v>
      </c>
      <c r="L1920" s="29" t="str">
        <f>VLOOKUP(G1920,'insumos terrapl'!$C$3:$K$47,6,0)</f>
        <v>02</v>
      </c>
      <c r="M1920" s="29" t="str">
        <f>VLOOKUP(G1920,'insumos terrapl'!$C$3:$K$47,7,0)</f>
        <v>00</v>
      </c>
      <c r="N1920" s="29" t="str">
        <f>VLOOKUP(G1920,'insumos terrapl'!$C$3:$K$47,8,0)</f>
        <v>00</v>
      </c>
      <c r="O1920" s="97" t="str">
        <f>VLOOKUP(G1920,'insumos terrapl'!$C$3:$K$47,9,0)</f>
        <v>00</v>
      </c>
    </row>
    <row r="1921" spans="1:15" ht="30">
      <c r="A1921" s="125"/>
      <c r="B1921" s="127"/>
      <c r="C1921" s="125"/>
      <c r="D1921" s="115"/>
      <c r="E1921" s="115"/>
      <c r="F1921" s="11" t="s">
        <v>663</v>
      </c>
      <c r="G1921" s="20" t="s">
        <v>664</v>
      </c>
      <c r="H1921" s="29" t="str">
        <f>VLOOKUP(G1921,'insumos terrapl'!$C$3:$K$47,2,0)</f>
        <v>2Q  62  02  18  00  00  00</v>
      </c>
      <c r="I1921" s="29" t="str">
        <f>VLOOKUP(G1921,'insumos terrapl'!$C$3:$K$47,3,0)</f>
        <v>2Q</v>
      </c>
      <c r="J1921" s="29">
        <f>VLOOKUP(G1921,'insumos terrapl'!$C$3:$K$47,4,0)</f>
        <v>62</v>
      </c>
      <c r="K1921" s="29" t="str">
        <f>VLOOKUP(G1921,'insumos terrapl'!$C$3:$K$47,5,0)</f>
        <v>02</v>
      </c>
      <c r="L1921" s="29" t="str">
        <f>VLOOKUP(G1921,'insumos terrapl'!$C$3:$K$47,6,0)</f>
        <v>18</v>
      </c>
      <c r="M1921" s="29" t="str">
        <f>VLOOKUP(G1921,'insumos terrapl'!$C$3:$K$47,7,0)</f>
        <v>00</v>
      </c>
      <c r="N1921" s="29" t="str">
        <f>VLOOKUP(G1921,'insumos terrapl'!$C$3:$K$47,8,0)</f>
        <v>00</v>
      </c>
      <c r="O1921" s="97" t="str">
        <f>VLOOKUP(G1921,'insumos terrapl'!$C$3:$K$47,9,0)</f>
        <v>00</v>
      </c>
    </row>
    <row r="1922" spans="1:15">
      <c r="A1922" s="125"/>
      <c r="B1922" s="127"/>
      <c r="C1922" s="125"/>
      <c r="D1922" s="115"/>
      <c r="E1922" s="115"/>
      <c r="F1922" s="11" t="s">
        <v>588</v>
      </c>
      <c r="G1922" s="20" t="s">
        <v>589</v>
      </c>
      <c r="H1922" s="29" t="str">
        <f>VLOOKUP(G1922,'insumos terrapl'!$C$3:$K$47,2,0)</f>
        <v>2N  20  14  08  00  00  00</v>
      </c>
      <c r="I1922" s="29" t="str">
        <f>VLOOKUP(G1922,'insumos terrapl'!$C$3:$K$47,3,0)</f>
        <v>2N</v>
      </c>
      <c r="J1922" s="29">
        <f>VLOOKUP(G1922,'insumos terrapl'!$C$3:$K$47,4,0)</f>
        <v>20</v>
      </c>
      <c r="K1922" s="29">
        <f>VLOOKUP(G1922,'insumos terrapl'!$C$3:$K$47,5,0)</f>
        <v>14</v>
      </c>
      <c r="L1922" s="29" t="str">
        <f>VLOOKUP(G1922,'insumos terrapl'!$C$3:$K$47,6,0)</f>
        <v>08</v>
      </c>
      <c r="M1922" s="29" t="str">
        <f>VLOOKUP(G1922,'insumos terrapl'!$C$3:$K$47,7,0)</f>
        <v>00</v>
      </c>
      <c r="N1922" s="29" t="str">
        <f>VLOOKUP(G1922,'insumos terrapl'!$C$3:$K$47,8,0)</f>
        <v>00</v>
      </c>
      <c r="O1922" s="97" t="str">
        <f>VLOOKUP(G1922,'insumos terrapl'!$C$3:$K$47,9,0)</f>
        <v>00</v>
      </c>
    </row>
    <row r="1923" spans="1:15">
      <c r="A1923" s="125"/>
      <c r="B1923" s="127"/>
      <c r="C1923" s="125"/>
      <c r="D1923" s="116"/>
      <c r="E1923" s="115"/>
      <c r="F1923" s="11"/>
      <c r="G1923" s="20"/>
      <c r="H1923" s="29"/>
      <c r="I1923" s="29"/>
      <c r="J1923" s="29"/>
      <c r="K1923" s="29"/>
      <c r="L1923" s="29"/>
      <c r="M1923" s="29"/>
      <c r="N1923" s="29"/>
      <c r="O1923" s="97"/>
    </row>
    <row r="1924" spans="1:15">
      <c r="A1924" s="125"/>
      <c r="B1924" s="127"/>
      <c r="C1924" s="124" t="s">
        <v>283</v>
      </c>
      <c r="D1924" s="114" t="str">
        <f>$A$1875</f>
        <v>2.6.9</v>
      </c>
      <c r="E1924" s="114" t="s">
        <v>541</v>
      </c>
      <c r="F1924" s="12" t="s">
        <v>283</v>
      </c>
      <c r="G1924" s="19"/>
      <c r="H1924" s="28"/>
      <c r="I1924" s="28"/>
      <c r="J1924" s="28"/>
      <c r="K1924" s="28"/>
      <c r="L1924" s="28"/>
      <c r="M1924" s="28"/>
      <c r="N1924" s="28"/>
      <c r="O1924" s="99"/>
    </row>
    <row r="1925" spans="1:15" ht="30">
      <c r="A1925" s="125"/>
      <c r="B1925" s="127"/>
      <c r="C1925" s="125"/>
      <c r="D1925" s="115"/>
      <c r="E1925" s="115"/>
      <c r="F1925" s="11" t="s">
        <v>665</v>
      </c>
      <c r="G1925" s="20" t="s">
        <v>666</v>
      </c>
      <c r="H1925" s="29" t="str">
        <f>VLOOKUP(G1925,'insumos terrapl'!$C$3:$K$47,2,0)</f>
        <v>2Q  66  10  02  00  00  00</v>
      </c>
      <c r="I1925" s="29" t="str">
        <f>VLOOKUP(G1925,'insumos terrapl'!$C$3:$K$47,3,0)</f>
        <v>2Q</v>
      </c>
      <c r="J1925" s="29">
        <f>VLOOKUP(G1925,'insumos terrapl'!$C$3:$K$47,4,0)</f>
        <v>66</v>
      </c>
      <c r="K1925" s="29" t="str">
        <f>VLOOKUP(G1925,'insumos terrapl'!$C$3:$K$47,5,0)</f>
        <v>10</v>
      </c>
      <c r="L1925" s="29" t="str">
        <f>VLOOKUP(G1925,'insumos terrapl'!$C$3:$K$47,6,0)</f>
        <v>02</v>
      </c>
      <c r="M1925" s="29" t="str">
        <f>VLOOKUP(G1925,'insumos terrapl'!$C$3:$K$47,7,0)</f>
        <v>00</v>
      </c>
      <c r="N1925" s="29" t="str">
        <f>VLOOKUP(G1925,'insumos terrapl'!$C$3:$K$47,8,0)</f>
        <v>00</v>
      </c>
      <c r="O1925" s="97" t="str">
        <f>VLOOKUP(G1925,'insumos terrapl'!$C$3:$K$47,9,0)</f>
        <v>00</v>
      </c>
    </row>
    <row r="1926" spans="1:15" ht="30">
      <c r="A1926" s="125"/>
      <c r="B1926" s="127"/>
      <c r="C1926" s="125"/>
      <c r="D1926" s="115"/>
      <c r="E1926" s="115"/>
      <c r="F1926" s="11" t="s">
        <v>663</v>
      </c>
      <c r="G1926" s="20" t="s">
        <v>664</v>
      </c>
      <c r="H1926" s="29" t="str">
        <f>VLOOKUP(G1926,'insumos terrapl'!$C$3:$K$47,2,0)</f>
        <v>2Q  62  02  18  00  00  00</v>
      </c>
      <c r="I1926" s="29" t="str">
        <f>VLOOKUP(G1926,'insumos terrapl'!$C$3:$K$47,3,0)</f>
        <v>2Q</v>
      </c>
      <c r="J1926" s="29">
        <f>VLOOKUP(G1926,'insumos terrapl'!$C$3:$K$47,4,0)</f>
        <v>62</v>
      </c>
      <c r="K1926" s="29" t="str">
        <f>VLOOKUP(G1926,'insumos terrapl'!$C$3:$K$47,5,0)</f>
        <v>02</v>
      </c>
      <c r="L1926" s="29" t="str">
        <f>VLOOKUP(G1926,'insumos terrapl'!$C$3:$K$47,6,0)</f>
        <v>18</v>
      </c>
      <c r="M1926" s="29" t="str">
        <f>VLOOKUP(G1926,'insumos terrapl'!$C$3:$K$47,7,0)</f>
        <v>00</v>
      </c>
      <c r="N1926" s="29" t="str">
        <f>VLOOKUP(G1926,'insumos terrapl'!$C$3:$K$47,8,0)</f>
        <v>00</v>
      </c>
      <c r="O1926" s="97" t="str">
        <f>VLOOKUP(G1926,'insumos terrapl'!$C$3:$K$47,9,0)</f>
        <v>00</v>
      </c>
    </row>
    <row r="1927" spans="1:15">
      <c r="A1927" s="125"/>
      <c r="B1927" s="127"/>
      <c r="C1927" s="125"/>
      <c r="D1927" s="115"/>
      <c r="E1927" s="115"/>
      <c r="F1927" s="11" t="s">
        <v>588</v>
      </c>
      <c r="G1927" s="20" t="s">
        <v>589</v>
      </c>
      <c r="H1927" s="29" t="str">
        <f>VLOOKUP(G1927,'insumos terrapl'!$C$3:$K$47,2,0)</f>
        <v>2N  20  14  08  00  00  00</v>
      </c>
      <c r="I1927" s="29" t="str">
        <f>VLOOKUP(G1927,'insumos terrapl'!$C$3:$K$47,3,0)</f>
        <v>2N</v>
      </c>
      <c r="J1927" s="29">
        <f>VLOOKUP(G1927,'insumos terrapl'!$C$3:$K$47,4,0)</f>
        <v>20</v>
      </c>
      <c r="K1927" s="29">
        <f>VLOOKUP(G1927,'insumos terrapl'!$C$3:$K$47,5,0)</f>
        <v>14</v>
      </c>
      <c r="L1927" s="29" t="str">
        <f>VLOOKUP(G1927,'insumos terrapl'!$C$3:$K$47,6,0)</f>
        <v>08</v>
      </c>
      <c r="M1927" s="29" t="str">
        <f>VLOOKUP(G1927,'insumos terrapl'!$C$3:$K$47,7,0)</f>
        <v>00</v>
      </c>
      <c r="N1927" s="29" t="str">
        <f>VLOOKUP(G1927,'insumos terrapl'!$C$3:$K$47,8,0)</f>
        <v>00</v>
      </c>
      <c r="O1927" s="97" t="str">
        <f>VLOOKUP(G1927,'insumos terrapl'!$C$3:$K$47,9,0)</f>
        <v>00</v>
      </c>
    </row>
    <row r="1928" spans="1:15">
      <c r="A1928" s="125"/>
      <c r="B1928" s="127"/>
      <c r="C1928" s="125"/>
      <c r="D1928" s="116"/>
      <c r="E1928" s="115"/>
      <c r="F1928" s="11"/>
      <c r="G1928" s="20"/>
      <c r="H1928" s="29"/>
      <c r="I1928" s="29"/>
      <c r="J1928" s="29"/>
      <c r="K1928" s="29"/>
      <c r="L1928" s="29"/>
      <c r="M1928" s="29"/>
      <c r="N1928" s="29"/>
      <c r="O1928" s="97"/>
    </row>
    <row r="1929" spans="1:15">
      <c r="A1929" s="125"/>
      <c r="B1929" s="127"/>
      <c r="C1929" s="124" t="s">
        <v>284</v>
      </c>
      <c r="D1929" s="114" t="str">
        <f>$A$1875</f>
        <v>2.6.9</v>
      </c>
      <c r="E1929" s="114" t="s">
        <v>542</v>
      </c>
      <c r="F1929" s="12" t="s">
        <v>284</v>
      </c>
      <c r="G1929" s="19"/>
      <c r="H1929" s="28"/>
      <c r="I1929" s="28"/>
      <c r="J1929" s="28"/>
      <c r="K1929" s="28"/>
      <c r="L1929" s="28"/>
      <c r="M1929" s="28"/>
      <c r="N1929" s="28"/>
      <c r="O1929" s="99"/>
    </row>
    <row r="1930" spans="1:15" ht="30">
      <c r="A1930" s="125"/>
      <c r="B1930" s="127"/>
      <c r="C1930" s="125"/>
      <c r="D1930" s="115"/>
      <c r="E1930" s="115"/>
      <c r="F1930" s="11" t="s">
        <v>665</v>
      </c>
      <c r="G1930" s="20" t="s">
        <v>666</v>
      </c>
      <c r="H1930" s="29" t="str">
        <f>VLOOKUP(G1930,'insumos terrapl'!$C$3:$K$47,2,0)</f>
        <v>2Q  66  10  02  00  00  00</v>
      </c>
      <c r="I1930" s="29" t="str">
        <f>VLOOKUP(G1930,'insumos terrapl'!$C$3:$K$47,3,0)</f>
        <v>2Q</v>
      </c>
      <c r="J1930" s="29">
        <f>VLOOKUP(G1930,'insumos terrapl'!$C$3:$K$47,4,0)</f>
        <v>66</v>
      </c>
      <c r="K1930" s="29" t="str">
        <f>VLOOKUP(G1930,'insumos terrapl'!$C$3:$K$47,5,0)</f>
        <v>10</v>
      </c>
      <c r="L1930" s="29" t="str">
        <f>VLOOKUP(G1930,'insumos terrapl'!$C$3:$K$47,6,0)</f>
        <v>02</v>
      </c>
      <c r="M1930" s="29" t="str">
        <f>VLOOKUP(G1930,'insumos terrapl'!$C$3:$K$47,7,0)</f>
        <v>00</v>
      </c>
      <c r="N1930" s="29" t="str">
        <f>VLOOKUP(G1930,'insumos terrapl'!$C$3:$K$47,8,0)</f>
        <v>00</v>
      </c>
      <c r="O1930" s="97" t="str">
        <f>VLOOKUP(G1930,'insumos terrapl'!$C$3:$K$47,9,0)</f>
        <v>00</v>
      </c>
    </row>
    <row r="1931" spans="1:15" ht="30">
      <c r="A1931" s="125"/>
      <c r="B1931" s="127"/>
      <c r="C1931" s="125"/>
      <c r="D1931" s="115"/>
      <c r="E1931" s="115"/>
      <c r="F1931" s="11" t="s">
        <v>663</v>
      </c>
      <c r="G1931" s="20" t="s">
        <v>664</v>
      </c>
      <c r="H1931" s="29" t="str">
        <f>VLOOKUP(G1931,'insumos terrapl'!$C$3:$K$47,2,0)</f>
        <v>2Q  62  02  18  00  00  00</v>
      </c>
      <c r="I1931" s="29" t="str">
        <f>VLOOKUP(G1931,'insumos terrapl'!$C$3:$K$47,3,0)</f>
        <v>2Q</v>
      </c>
      <c r="J1931" s="29">
        <f>VLOOKUP(G1931,'insumos terrapl'!$C$3:$K$47,4,0)</f>
        <v>62</v>
      </c>
      <c r="K1931" s="29" t="str">
        <f>VLOOKUP(G1931,'insumos terrapl'!$C$3:$K$47,5,0)</f>
        <v>02</v>
      </c>
      <c r="L1931" s="29" t="str">
        <f>VLOOKUP(G1931,'insumos terrapl'!$C$3:$K$47,6,0)</f>
        <v>18</v>
      </c>
      <c r="M1931" s="29" t="str">
        <f>VLOOKUP(G1931,'insumos terrapl'!$C$3:$K$47,7,0)</f>
        <v>00</v>
      </c>
      <c r="N1931" s="29" t="str">
        <f>VLOOKUP(G1931,'insumos terrapl'!$C$3:$K$47,8,0)</f>
        <v>00</v>
      </c>
      <c r="O1931" s="97" t="str">
        <f>VLOOKUP(G1931,'insumos terrapl'!$C$3:$K$47,9,0)</f>
        <v>00</v>
      </c>
    </row>
    <row r="1932" spans="1:15">
      <c r="A1932" s="125"/>
      <c r="B1932" s="127"/>
      <c r="C1932" s="125"/>
      <c r="D1932" s="115"/>
      <c r="E1932" s="115"/>
      <c r="F1932" s="11" t="s">
        <v>588</v>
      </c>
      <c r="G1932" s="20" t="s">
        <v>589</v>
      </c>
      <c r="H1932" s="29" t="str">
        <f>VLOOKUP(G1932,'insumos terrapl'!$C$3:$K$47,2,0)</f>
        <v>2N  20  14  08  00  00  00</v>
      </c>
      <c r="I1932" s="29" t="str">
        <f>VLOOKUP(G1932,'insumos terrapl'!$C$3:$K$47,3,0)</f>
        <v>2N</v>
      </c>
      <c r="J1932" s="29">
        <f>VLOOKUP(G1932,'insumos terrapl'!$C$3:$K$47,4,0)</f>
        <v>20</v>
      </c>
      <c r="K1932" s="29">
        <f>VLOOKUP(G1932,'insumos terrapl'!$C$3:$K$47,5,0)</f>
        <v>14</v>
      </c>
      <c r="L1932" s="29" t="str">
        <f>VLOOKUP(G1932,'insumos terrapl'!$C$3:$K$47,6,0)</f>
        <v>08</v>
      </c>
      <c r="M1932" s="29" t="str">
        <f>VLOOKUP(G1932,'insumos terrapl'!$C$3:$K$47,7,0)</f>
        <v>00</v>
      </c>
      <c r="N1932" s="29" t="str">
        <f>VLOOKUP(G1932,'insumos terrapl'!$C$3:$K$47,8,0)</f>
        <v>00</v>
      </c>
      <c r="O1932" s="97" t="str">
        <f>VLOOKUP(G1932,'insumos terrapl'!$C$3:$K$47,9,0)</f>
        <v>00</v>
      </c>
    </row>
    <row r="1933" spans="1:15">
      <c r="A1933" s="125"/>
      <c r="B1933" s="127"/>
      <c r="C1933" s="132"/>
      <c r="D1933" s="116"/>
      <c r="E1933" s="116"/>
      <c r="F1933" s="13"/>
      <c r="G1933" s="21"/>
      <c r="H1933" s="31"/>
      <c r="I1933" s="31"/>
      <c r="J1933" s="31"/>
      <c r="K1933" s="31"/>
      <c r="L1933" s="31"/>
      <c r="M1933" s="31"/>
      <c r="N1933" s="31"/>
      <c r="O1933" s="98"/>
    </row>
    <row r="1934" spans="1:15">
      <c r="A1934" s="125"/>
      <c r="B1934" s="127"/>
      <c r="C1934" s="125" t="s">
        <v>285</v>
      </c>
      <c r="D1934" s="114" t="str">
        <f>$A$1875</f>
        <v>2.6.9</v>
      </c>
      <c r="E1934" s="115" t="s">
        <v>543</v>
      </c>
      <c r="F1934" s="11" t="s">
        <v>285</v>
      </c>
      <c r="G1934" s="20"/>
      <c r="H1934" s="29"/>
      <c r="I1934" s="29"/>
      <c r="J1934" s="29"/>
      <c r="K1934" s="29"/>
      <c r="L1934" s="29"/>
      <c r="M1934" s="29"/>
      <c r="N1934" s="29"/>
      <c r="O1934" s="97"/>
    </row>
    <row r="1935" spans="1:15" ht="30">
      <c r="A1935" s="125"/>
      <c r="B1935" s="127"/>
      <c r="C1935" s="125"/>
      <c r="D1935" s="115"/>
      <c r="E1935" s="115"/>
      <c r="F1935" s="11" t="s">
        <v>665</v>
      </c>
      <c r="G1935" s="20" t="s">
        <v>666</v>
      </c>
      <c r="H1935" s="29" t="str">
        <f>VLOOKUP(G1935,'insumos terrapl'!$C$3:$K$47,2,0)</f>
        <v>2Q  66  10  02  00  00  00</v>
      </c>
      <c r="I1935" s="29" t="str">
        <f>VLOOKUP(G1935,'insumos terrapl'!$C$3:$K$47,3,0)</f>
        <v>2Q</v>
      </c>
      <c r="J1935" s="29">
        <f>VLOOKUP(G1935,'insumos terrapl'!$C$3:$K$47,4,0)</f>
        <v>66</v>
      </c>
      <c r="K1935" s="29" t="str">
        <f>VLOOKUP(G1935,'insumos terrapl'!$C$3:$K$47,5,0)</f>
        <v>10</v>
      </c>
      <c r="L1935" s="29" t="str">
        <f>VLOOKUP(G1935,'insumos terrapl'!$C$3:$K$47,6,0)</f>
        <v>02</v>
      </c>
      <c r="M1935" s="29" t="str">
        <f>VLOOKUP(G1935,'insumos terrapl'!$C$3:$K$47,7,0)</f>
        <v>00</v>
      </c>
      <c r="N1935" s="29" t="str">
        <f>VLOOKUP(G1935,'insumos terrapl'!$C$3:$K$47,8,0)</f>
        <v>00</v>
      </c>
      <c r="O1935" s="97" t="str">
        <f>VLOOKUP(G1935,'insumos terrapl'!$C$3:$K$47,9,0)</f>
        <v>00</v>
      </c>
    </row>
    <row r="1936" spans="1:15" ht="30">
      <c r="A1936" s="125"/>
      <c r="B1936" s="127"/>
      <c r="C1936" s="125"/>
      <c r="D1936" s="115"/>
      <c r="E1936" s="115"/>
      <c r="F1936" s="11" t="s">
        <v>663</v>
      </c>
      <c r="G1936" s="20" t="s">
        <v>664</v>
      </c>
      <c r="H1936" s="29" t="str">
        <f>VLOOKUP(G1936,'insumos terrapl'!$C$3:$K$47,2,0)</f>
        <v>2Q  62  02  18  00  00  00</v>
      </c>
      <c r="I1936" s="29" t="str">
        <f>VLOOKUP(G1936,'insumos terrapl'!$C$3:$K$47,3,0)</f>
        <v>2Q</v>
      </c>
      <c r="J1936" s="29">
        <f>VLOOKUP(G1936,'insumos terrapl'!$C$3:$K$47,4,0)</f>
        <v>62</v>
      </c>
      <c r="K1936" s="29" t="str">
        <f>VLOOKUP(G1936,'insumos terrapl'!$C$3:$K$47,5,0)</f>
        <v>02</v>
      </c>
      <c r="L1936" s="29" t="str">
        <f>VLOOKUP(G1936,'insumos terrapl'!$C$3:$K$47,6,0)</f>
        <v>18</v>
      </c>
      <c r="M1936" s="29" t="str">
        <f>VLOOKUP(G1936,'insumos terrapl'!$C$3:$K$47,7,0)</f>
        <v>00</v>
      </c>
      <c r="N1936" s="29" t="str">
        <f>VLOOKUP(G1936,'insumos terrapl'!$C$3:$K$47,8,0)</f>
        <v>00</v>
      </c>
      <c r="O1936" s="97" t="str">
        <f>VLOOKUP(G1936,'insumos terrapl'!$C$3:$K$47,9,0)</f>
        <v>00</v>
      </c>
    </row>
    <row r="1937" spans="1:15">
      <c r="A1937" s="125"/>
      <c r="B1937" s="127"/>
      <c r="C1937" s="125"/>
      <c r="D1937" s="115"/>
      <c r="E1937" s="115"/>
      <c r="F1937" s="11" t="s">
        <v>588</v>
      </c>
      <c r="G1937" s="20" t="s">
        <v>589</v>
      </c>
      <c r="H1937" s="29" t="str">
        <f>VLOOKUP(G1937,'insumos terrapl'!$C$3:$K$47,2,0)</f>
        <v>2N  20  14  08  00  00  00</v>
      </c>
      <c r="I1937" s="29" t="str">
        <f>VLOOKUP(G1937,'insumos terrapl'!$C$3:$K$47,3,0)</f>
        <v>2N</v>
      </c>
      <c r="J1937" s="29">
        <f>VLOOKUP(G1937,'insumos terrapl'!$C$3:$K$47,4,0)</f>
        <v>20</v>
      </c>
      <c r="K1937" s="29">
        <f>VLOOKUP(G1937,'insumos terrapl'!$C$3:$K$47,5,0)</f>
        <v>14</v>
      </c>
      <c r="L1937" s="29" t="str">
        <f>VLOOKUP(G1937,'insumos terrapl'!$C$3:$K$47,6,0)</f>
        <v>08</v>
      </c>
      <c r="M1937" s="29" t="str">
        <f>VLOOKUP(G1937,'insumos terrapl'!$C$3:$K$47,7,0)</f>
        <v>00</v>
      </c>
      <c r="N1937" s="29" t="str">
        <f>VLOOKUP(G1937,'insumos terrapl'!$C$3:$K$47,8,0)</f>
        <v>00</v>
      </c>
      <c r="O1937" s="97" t="str">
        <f>VLOOKUP(G1937,'insumos terrapl'!$C$3:$K$47,9,0)</f>
        <v>00</v>
      </c>
    </row>
    <row r="1938" spans="1:15">
      <c r="A1938" s="125"/>
      <c r="B1938" s="127"/>
      <c r="C1938" s="132"/>
      <c r="D1938" s="116"/>
      <c r="E1938" s="116"/>
      <c r="F1938" s="13"/>
      <c r="G1938" s="21"/>
      <c r="H1938" s="31"/>
      <c r="I1938" s="31"/>
      <c r="J1938" s="31"/>
      <c r="K1938" s="31"/>
      <c r="L1938" s="31"/>
      <c r="M1938" s="31"/>
      <c r="N1938" s="31"/>
      <c r="O1938" s="98"/>
    </row>
    <row r="1939" spans="1:15">
      <c r="A1939" s="125"/>
      <c r="B1939" s="127"/>
      <c r="C1939" s="125" t="s">
        <v>286</v>
      </c>
      <c r="D1939" s="114" t="str">
        <f>$A$1875</f>
        <v>2.6.9</v>
      </c>
      <c r="E1939" s="115" t="s">
        <v>544</v>
      </c>
      <c r="F1939" s="11" t="s">
        <v>286</v>
      </c>
      <c r="G1939" s="20"/>
      <c r="H1939" s="29"/>
      <c r="I1939" s="29"/>
      <c r="J1939" s="29"/>
      <c r="K1939" s="29"/>
      <c r="L1939" s="29"/>
      <c r="M1939" s="29"/>
      <c r="N1939" s="29"/>
      <c r="O1939" s="97"/>
    </row>
    <row r="1940" spans="1:15" ht="30">
      <c r="A1940" s="125"/>
      <c r="B1940" s="127"/>
      <c r="C1940" s="125"/>
      <c r="D1940" s="115"/>
      <c r="E1940" s="115"/>
      <c r="F1940" s="11" t="s">
        <v>665</v>
      </c>
      <c r="G1940" s="20" t="s">
        <v>666</v>
      </c>
      <c r="H1940" s="29" t="str">
        <f>VLOOKUP(G1940,'insumos terrapl'!$C$3:$K$47,2,0)</f>
        <v>2Q  66  10  02  00  00  00</v>
      </c>
      <c r="I1940" s="29" t="str">
        <f>VLOOKUP(G1940,'insumos terrapl'!$C$3:$K$47,3,0)</f>
        <v>2Q</v>
      </c>
      <c r="J1940" s="29">
        <f>VLOOKUP(G1940,'insumos terrapl'!$C$3:$K$47,4,0)</f>
        <v>66</v>
      </c>
      <c r="K1940" s="29" t="str">
        <f>VLOOKUP(G1940,'insumos terrapl'!$C$3:$K$47,5,0)</f>
        <v>10</v>
      </c>
      <c r="L1940" s="29" t="str">
        <f>VLOOKUP(G1940,'insumos terrapl'!$C$3:$K$47,6,0)</f>
        <v>02</v>
      </c>
      <c r="M1940" s="29" t="str">
        <f>VLOOKUP(G1940,'insumos terrapl'!$C$3:$K$47,7,0)</f>
        <v>00</v>
      </c>
      <c r="N1940" s="29" t="str">
        <f>VLOOKUP(G1940,'insumos terrapl'!$C$3:$K$47,8,0)</f>
        <v>00</v>
      </c>
      <c r="O1940" s="97" t="str">
        <f>VLOOKUP(G1940,'insumos terrapl'!$C$3:$K$47,9,0)</f>
        <v>00</v>
      </c>
    </row>
    <row r="1941" spans="1:15" ht="30">
      <c r="A1941" s="125"/>
      <c r="B1941" s="127"/>
      <c r="C1941" s="125"/>
      <c r="D1941" s="115"/>
      <c r="E1941" s="115"/>
      <c r="F1941" s="11" t="s">
        <v>663</v>
      </c>
      <c r="G1941" s="20" t="s">
        <v>664</v>
      </c>
      <c r="H1941" s="29" t="str">
        <f>VLOOKUP(G1941,'insumos terrapl'!$C$3:$K$47,2,0)</f>
        <v>2Q  62  02  18  00  00  00</v>
      </c>
      <c r="I1941" s="29" t="str">
        <f>VLOOKUP(G1941,'insumos terrapl'!$C$3:$K$47,3,0)</f>
        <v>2Q</v>
      </c>
      <c r="J1941" s="29">
        <f>VLOOKUP(G1941,'insumos terrapl'!$C$3:$K$47,4,0)</f>
        <v>62</v>
      </c>
      <c r="K1941" s="29" t="str">
        <f>VLOOKUP(G1941,'insumos terrapl'!$C$3:$K$47,5,0)</f>
        <v>02</v>
      </c>
      <c r="L1941" s="29" t="str">
        <f>VLOOKUP(G1941,'insumos terrapl'!$C$3:$K$47,6,0)</f>
        <v>18</v>
      </c>
      <c r="M1941" s="29" t="str">
        <f>VLOOKUP(G1941,'insumos terrapl'!$C$3:$K$47,7,0)</f>
        <v>00</v>
      </c>
      <c r="N1941" s="29" t="str">
        <f>VLOOKUP(G1941,'insumos terrapl'!$C$3:$K$47,8,0)</f>
        <v>00</v>
      </c>
      <c r="O1941" s="97" t="str">
        <f>VLOOKUP(G1941,'insumos terrapl'!$C$3:$K$47,9,0)</f>
        <v>00</v>
      </c>
    </row>
    <row r="1942" spans="1:15">
      <c r="A1942" s="125"/>
      <c r="B1942" s="127"/>
      <c r="C1942" s="125"/>
      <c r="D1942" s="115"/>
      <c r="E1942" s="115"/>
      <c r="F1942" s="11" t="s">
        <v>588</v>
      </c>
      <c r="G1942" s="20" t="s">
        <v>589</v>
      </c>
      <c r="H1942" s="29" t="str">
        <f>VLOOKUP(G1942,'insumos terrapl'!$C$3:$K$47,2,0)</f>
        <v>2N  20  14  08  00  00  00</v>
      </c>
      <c r="I1942" s="29" t="str">
        <f>VLOOKUP(G1942,'insumos terrapl'!$C$3:$K$47,3,0)</f>
        <v>2N</v>
      </c>
      <c r="J1942" s="29">
        <f>VLOOKUP(G1942,'insumos terrapl'!$C$3:$K$47,4,0)</f>
        <v>20</v>
      </c>
      <c r="K1942" s="29">
        <f>VLOOKUP(G1942,'insumos terrapl'!$C$3:$K$47,5,0)</f>
        <v>14</v>
      </c>
      <c r="L1942" s="29" t="str">
        <f>VLOOKUP(G1942,'insumos terrapl'!$C$3:$K$47,6,0)</f>
        <v>08</v>
      </c>
      <c r="M1942" s="29" t="str">
        <f>VLOOKUP(G1942,'insumos terrapl'!$C$3:$K$47,7,0)</f>
        <v>00</v>
      </c>
      <c r="N1942" s="29" t="str">
        <f>VLOOKUP(G1942,'insumos terrapl'!$C$3:$K$47,8,0)</f>
        <v>00</v>
      </c>
      <c r="O1942" s="97" t="str">
        <f>VLOOKUP(G1942,'insumos terrapl'!$C$3:$K$47,9,0)</f>
        <v>00</v>
      </c>
    </row>
    <row r="1943" spans="1:15">
      <c r="A1943" s="125"/>
      <c r="B1943" s="127"/>
      <c r="C1943" s="125"/>
      <c r="D1943" s="116"/>
      <c r="E1943" s="115"/>
      <c r="F1943" s="11"/>
      <c r="G1943" s="20"/>
      <c r="H1943" s="29"/>
      <c r="I1943" s="29"/>
      <c r="J1943" s="29"/>
      <c r="K1943" s="29"/>
      <c r="L1943" s="29"/>
      <c r="M1943" s="29"/>
      <c r="N1943" s="29"/>
      <c r="O1943" s="97"/>
    </row>
    <row r="1944" spans="1:15">
      <c r="A1944" s="125"/>
      <c r="B1944" s="127"/>
      <c r="C1944" s="124" t="s">
        <v>287</v>
      </c>
      <c r="D1944" s="114" t="str">
        <f>$A$1875</f>
        <v>2.6.9</v>
      </c>
      <c r="E1944" s="114" t="s">
        <v>545</v>
      </c>
      <c r="F1944" s="12" t="s">
        <v>287</v>
      </c>
      <c r="G1944" s="19"/>
      <c r="H1944" s="28"/>
      <c r="I1944" s="28"/>
      <c r="J1944" s="28"/>
      <c r="K1944" s="28"/>
      <c r="L1944" s="28"/>
      <c r="M1944" s="28"/>
      <c r="N1944" s="28"/>
      <c r="O1944" s="99"/>
    </row>
    <row r="1945" spans="1:15" ht="30">
      <c r="A1945" s="125"/>
      <c r="B1945" s="127"/>
      <c r="C1945" s="125"/>
      <c r="D1945" s="115"/>
      <c r="E1945" s="115"/>
      <c r="F1945" s="11" t="s">
        <v>665</v>
      </c>
      <c r="G1945" s="20" t="s">
        <v>666</v>
      </c>
      <c r="H1945" s="29" t="str">
        <f>VLOOKUP(G1945,'insumos terrapl'!$C$3:$K$47,2,0)</f>
        <v>2Q  66  10  02  00  00  00</v>
      </c>
      <c r="I1945" s="29" t="str">
        <f>VLOOKUP(G1945,'insumos terrapl'!$C$3:$K$47,3,0)</f>
        <v>2Q</v>
      </c>
      <c r="J1945" s="29">
        <f>VLOOKUP(G1945,'insumos terrapl'!$C$3:$K$47,4,0)</f>
        <v>66</v>
      </c>
      <c r="K1945" s="29" t="str">
        <f>VLOOKUP(G1945,'insumos terrapl'!$C$3:$K$47,5,0)</f>
        <v>10</v>
      </c>
      <c r="L1945" s="29" t="str">
        <f>VLOOKUP(G1945,'insumos terrapl'!$C$3:$K$47,6,0)</f>
        <v>02</v>
      </c>
      <c r="M1945" s="29" t="str">
        <f>VLOOKUP(G1945,'insumos terrapl'!$C$3:$K$47,7,0)</f>
        <v>00</v>
      </c>
      <c r="N1945" s="29" t="str">
        <f>VLOOKUP(G1945,'insumos terrapl'!$C$3:$K$47,8,0)</f>
        <v>00</v>
      </c>
      <c r="O1945" s="97" t="str">
        <f>VLOOKUP(G1945,'insumos terrapl'!$C$3:$K$47,9,0)</f>
        <v>00</v>
      </c>
    </row>
    <row r="1946" spans="1:15" ht="30">
      <c r="A1946" s="125"/>
      <c r="B1946" s="127"/>
      <c r="C1946" s="125"/>
      <c r="D1946" s="115"/>
      <c r="E1946" s="115"/>
      <c r="F1946" s="11" t="s">
        <v>663</v>
      </c>
      <c r="G1946" s="20" t="s">
        <v>664</v>
      </c>
      <c r="H1946" s="29" t="str">
        <f>VLOOKUP(G1946,'insumos terrapl'!$C$3:$K$47,2,0)</f>
        <v>2Q  62  02  18  00  00  00</v>
      </c>
      <c r="I1946" s="29" t="str">
        <f>VLOOKUP(G1946,'insumos terrapl'!$C$3:$K$47,3,0)</f>
        <v>2Q</v>
      </c>
      <c r="J1946" s="29">
        <f>VLOOKUP(G1946,'insumos terrapl'!$C$3:$K$47,4,0)</f>
        <v>62</v>
      </c>
      <c r="K1946" s="29" t="str">
        <f>VLOOKUP(G1946,'insumos terrapl'!$C$3:$K$47,5,0)</f>
        <v>02</v>
      </c>
      <c r="L1946" s="29" t="str">
        <f>VLOOKUP(G1946,'insumos terrapl'!$C$3:$K$47,6,0)</f>
        <v>18</v>
      </c>
      <c r="M1946" s="29" t="str">
        <f>VLOOKUP(G1946,'insumos terrapl'!$C$3:$K$47,7,0)</f>
        <v>00</v>
      </c>
      <c r="N1946" s="29" t="str">
        <f>VLOOKUP(G1946,'insumos terrapl'!$C$3:$K$47,8,0)</f>
        <v>00</v>
      </c>
      <c r="O1946" s="97" t="str">
        <f>VLOOKUP(G1946,'insumos terrapl'!$C$3:$K$47,9,0)</f>
        <v>00</v>
      </c>
    </row>
    <row r="1947" spans="1:15">
      <c r="A1947" s="125"/>
      <c r="B1947" s="127"/>
      <c r="C1947" s="125"/>
      <c r="D1947" s="115"/>
      <c r="E1947" s="115"/>
      <c r="F1947" s="11" t="s">
        <v>588</v>
      </c>
      <c r="G1947" s="20" t="s">
        <v>589</v>
      </c>
      <c r="H1947" s="29" t="str">
        <f>VLOOKUP(G1947,'insumos terrapl'!$C$3:$K$47,2,0)</f>
        <v>2N  20  14  08  00  00  00</v>
      </c>
      <c r="I1947" s="29" t="str">
        <f>VLOOKUP(G1947,'insumos terrapl'!$C$3:$K$47,3,0)</f>
        <v>2N</v>
      </c>
      <c r="J1947" s="29">
        <f>VLOOKUP(G1947,'insumos terrapl'!$C$3:$K$47,4,0)</f>
        <v>20</v>
      </c>
      <c r="K1947" s="29">
        <f>VLOOKUP(G1947,'insumos terrapl'!$C$3:$K$47,5,0)</f>
        <v>14</v>
      </c>
      <c r="L1947" s="29" t="str">
        <f>VLOOKUP(G1947,'insumos terrapl'!$C$3:$K$47,6,0)</f>
        <v>08</v>
      </c>
      <c r="M1947" s="29" t="str">
        <f>VLOOKUP(G1947,'insumos terrapl'!$C$3:$K$47,7,0)</f>
        <v>00</v>
      </c>
      <c r="N1947" s="29" t="str">
        <f>VLOOKUP(G1947,'insumos terrapl'!$C$3:$K$47,8,0)</f>
        <v>00</v>
      </c>
      <c r="O1947" s="97" t="str">
        <f>VLOOKUP(G1947,'insumos terrapl'!$C$3:$K$47,9,0)</f>
        <v>00</v>
      </c>
    </row>
    <row r="1948" spans="1:15">
      <c r="A1948" s="125"/>
      <c r="B1948" s="127"/>
      <c r="C1948" s="125"/>
      <c r="D1948" s="116"/>
      <c r="E1948" s="115"/>
      <c r="F1948" s="11"/>
      <c r="G1948" s="20"/>
      <c r="H1948" s="29"/>
      <c r="I1948" s="29"/>
      <c r="J1948" s="29"/>
      <c r="K1948" s="29"/>
      <c r="L1948" s="29"/>
      <c r="M1948" s="29"/>
      <c r="N1948" s="29"/>
      <c r="O1948" s="97"/>
    </row>
    <row r="1949" spans="1:15">
      <c r="A1949" s="125"/>
      <c r="B1949" s="127"/>
      <c r="C1949" s="124" t="s">
        <v>288</v>
      </c>
      <c r="D1949" s="114" t="str">
        <f>$A$1875</f>
        <v>2.6.9</v>
      </c>
      <c r="E1949" s="114" t="s">
        <v>546</v>
      </c>
      <c r="F1949" s="12" t="s">
        <v>288</v>
      </c>
      <c r="G1949" s="19"/>
      <c r="H1949" s="28"/>
      <c r="I1949" s="28"/>
      <c r="J1949" s="28"/>
      <c r="K1949" s="28"/>
      <c r="L1949" s="28"/>
      <c r="M1949" s="28"/>
      <c r="N1949" s="28"/>
      <c r="O1949" s="99"/>
    </row>
    <row r="1950" spans="1:15" ht="30">
      <c r="A1950" s="125"/>
      <c r="B1950" s="127"/>
      <c r="C1950" s="125"/>
      <c r="D1950" s="115"/>
      <c r="E1950" s="115"/>
      <c r="F1950" s="11" t="s">
        <v>665</v>
      </c>
      <c r="G1950" s="20" t="s">
        <v>666</v>
      </c>
      <c r="H1950" s="29" t="str">
        <f>VLOOKUP(G1950,'insumos terrapl'!$C$3:$K$47,2,0)</f>
        <v>2Q  66  10  02  00  00  00</v>
      </c>
      <c r="I1950" s="29" t="str">
        <f>VLOOKUP(G1950,'insumos terrapl'!$C$3:$K$47,3,0)</f>
        <v>2Q</v>
      </c>
      <c r="J1950" s="29">
        <f>VLOOKUP(G1950,'insumos terrapl'!$C$3:$K$47,4,0)</f>
        <v>66</v>
      </c>
      <c r="K1950" s="29" t="str">
        <f>VLOOKUP(G1950,'insumos terrapl'!$C$3:$K$47,5,0)</f>
        <v>10</v>
      </c>
      <c r="L1950" s="29" t="str">
        <f>VLOOKUP(G1950,'insumos terrapl'!$C$3:$K$47,6,0)</f>
        <v>02</v>
      </c>
      <c r="M1950" s="29" t="str">
        <f>VLOOKUP(G1950,'insumos terrapl'!$C$3:$K$47,7,0)</f>
        <v>00</v>
      </c>
      <c r="N1950" s="29" t="str">
        <f>VLOOKUP(G1950,'insumos terrapl'!$C$3:$K$47,8,0)</f>
        <v>00</v>
      </c>
      <c r="O1950" s="97" t="str">
        <f>VLOOKUP(G1950,'insumos terrapl'!$C$3:$K$47,9,0)</f>
        <v>00</v>
      </c>
    </row>
    <row r="1951" spans="1:15" ht="30">
      <c r="A1951" s="125"/>
      <c r="B1951" s="127"/>
      <c r="C1951" s="125"/>
      <c r="D1951" s="115"/>
      <c r="E1951" s="115"/>
      <c r="F1951" s="11" t="s">
        <v>663</v>
      </c>
      <c r="G1951" s="20" t="s">
        <v>664</v>
      </c>
      <c r="H1951" s="29" t="str">
        <f>VLOOKUP(G1951,'insumos terrapl'!$C$3:$K$47,2,0)</f>
        <v>2Q  62  02  18  00  00  00</v>
      </c>
      <c r="I1951" s="29" t="str">
        <f>VLOOKUP(G1951,'insumos terrapl'!$C$3:$K$47,3,0)</f>
        <v>2Q</v>
      </c>
      <c r="J1951" s="29">
        <f>VLOOKUP(G1951,'insumos terrapl'!$C$3:$K$47,4,0)</f>
        <v>62</v>
      </c>
      <c r="K1951" s="29" t="str">
        <f>VLOOKUP(G1951,'insumos terrapl'!$C$3:$K$47,5,0)</f>
        <v>02</v>
      </c>
      <c r="L1951" s="29" t="str">
        <f>VLOOKUP(G1951,'insumos terrapl'!$C$3:$K$47,6,0)</f>
        <v>18</v>
      </c>
      <c r="M1951" s="29" t="str">
        <f>VLOOKUP(G1951,'insumos terrapl'!$C$3:$K$47,7,0)</f>
        <v>00</v>
      </c>
      <c r="N1951" s="29" t="str">
        <f>VLOOKUP(G1951,'insumos terrapl'!$C$3:$K$47,8,0)</f>
        <v>00</v>
      </c>
      <c r="O1951" s="97" t="str">
        <f>VLOOKUP(G1951,'insumos terrapl'!$C$3:$K$47,9,0)</f>
        <v>00</v>
      </c>
    </row>
    <row r="1952" spans="1:15">
      <c r="A1952" s="125"/>
      <c r="B1952" s="127"/>
      <c r="C1952" s="125"/>
      <c r="D1952" s="115"/>
      <c r="E1952" s="115"/>
      <c r="F1952" s="11" t="s">
        <v>588</v>
      </c>
      <c r="G1952" s="20" t="s">
        <v>589</v>
      </c>
      <c r="H1952" s="29" t="str">
        <f>VLOOKUP(G1952,'insumos terrapl'!$C$3:$K$47,2,0)</f>
        <v>2N  20  14  08  00  00  00</v>
      </c>
      <c r="I1952" s="29" t="str">
        <f>VLOOKUP(G1952,'insumos terrapl'!$C$3:$K$47,3,0)</f>
        <v>2N</v>
      </c>
      <c r="J1952" s="29">
        <f>VLOOKUP(G1952,'insumos terrapl'!$C$3:$K$47,4,0)</f>
        <v>20</v>
      </c>
      <c r="K1952" s="29">
        <f>VLOOKUP(G1952,'insumos terrapl'!$C$3:$K$47,5,0)</f>
        <v>14</v>
      </c>
      <c r="L1952" s="29" t="str">
        <f>VLOOKUP(G1952,'insumos terrapl'!$C$3:$K$47,6,0)</f>
        <v>08</v>
      </c>
      <c r="M1952" s="29" t="str">
        <f>VLOOKUP(G1952,'insumos terrapl'!$C$3:$K$47,7,0)</f>
        <v>00</v>
      </c>
      <c r="N1952" s="29" t="str">
        <f>VLOOKUP(G1952,'insumos terrapl'!$C$3:$K$47,8,0)</f>
        <v>00</v>
      </c>
      <c r="O1952" s="97" t="str">
        <f>VLOOKUP(G1952,'insumos terrapl'!$C$3:$K$47,9,0)</f>
        <v>00</v>
      </c>
    </row>
    <row r="1953" spans="1:15">
      <c r="A1953" s="125"/>
      <c r="B1953" s="127"/>
      <c r="C1953" s="132"/>
      <c r="D1953" s="116"/>
      <c r="E1953" s="115"/>
      <c r="F1953" s="11"/>
      <c r="G1953" s="20"/>
      <c r="H1953" s="29"/>
      <c r="I1953" s="29"/>
      <c r="J1953" s="29"/>
      <c r="K1953" s="29"/>
      <c r="L1953" s="29"/>
      <c r="M1953" s="29"/>
      <c r="N1953" s="29"/>
      <c r="O1953" s="97"/>
    </row>
    <row r="1954" spans="1:15">
      <c r="A1954" s="125"/>
      <c r="B1954" s="127"/>
      <c r="C1954" s="124" t="s">
        <v>289</v>
      </c>
      <c r="D1954" s="114" t="str">
        <f>$A$1875</f>
        <v>2.6.9</v>
      </c>
      <c r="E1954" s="114" t="s">
        <v>547</v>
      </c>
      <c r="F1954" s="12" t="s">
        <v>289</v>
      </c>
      <c r="G1954" s="19"/>
      <c r="H1954" s="28"/>
      <c r="I1954" s="28"/>
      <c r="J1954" s="28"/>
      <c r="K1954" s="28"/>
      <c r="L1954" s="28"/>
      <c r="M1954" s="28"/>
      <c r="N1954" s="28"/>
      <c r="O1954" s="99"/>
    </row>
    <row r="1955" spans="1:15" ht="30">
      <c r="A1955" s="125"/>
      <c r="B1955" s="127"/>
      <c r="C1955" s="125"/>
      <c r="D1955" s="115"/>
      <c r="E1955" s="115"/>
      <c r="F1955" s="11" t="s">
        <v>665</v>
      </c>
      <c r="G1955" s="20" t="s">
        <v>666</v>
      </c>
      <c r="H1955" s="29" t="str">
        <f>VLOOKUP(G1955,'insumos terrapl'!$C$3:$K$47,2,0)</f>
        <v>2Q  66  10  02  00  00  00</v>
      </c>
      <c r="I1955" s="29" t="str">
        <f>VLOOKUP(G1955,'insumos terrapl'!$C$3:$K$47,3,0)</f>
        <v>2Q</v>
      </c>
      <c r="J1955" s="29">
        <f>VLOOKUP(G1955,'insumos terrapl'!$C$3:$K$47,4,0)</f>
        <v>66</v>
      </c>
      <c r="K1955" s="29" t="str">
        <f>VLOOKUP(G1955,'insumos terrapl'!$C$3:$K$47,5,0)</f>
        <v>10</v>
      </c>
      <c r="L1955" s="29" t="str">
        <f>VLOOKUP(G1955,'insumos terrapl'!$C$3:$K$47,6,0)</f>
        <v>02</v>
      </c>
      <c r="M1955" s="29" t="str">
        <f>VLOOKUP(G1955,'insumos terrapl'!$C$3:$K$47,7,0)</f>
        <v>00</v>
      </c>
      <c r="N1955" s="29" t="str">
        <f>VLOOKUP(G1955,'insumos terrapl'!$C$3:$K$47,8,0)</f>
        <v>00</v>
      </c>
      <c r="O1955" s="97" t="str">
        <f>VLOOKUP(G1955,'insumos terrapl'!$C$3:$K$47,9,0)</f>
        <v>00</v>
      </c>
    </row>
    <row r="1956" spans="1:15" ht="30">
      <c r="A1956" s="125"/>
      <c r="B1956" s="127"/>
      <c r="C1956" s="125"/>
      <c r="D1956" s="115"/>
      <c r="E1956" s="115"/>
      <c r="F1956" s="11" t="s">
        <v>663</v>
      </c>
      <c r="G1956" s="20" t="s">
        <v>664</v>
      </c>
      <c r="H1956" s="29" t="str">
        <f>VLOOKUP(G1956,'insumos terrapl'!$C$3:$K$47,2,0)</f>
        <v>2Q  62  02  18  00  00  00</v>
      </c>
      <c r="I1956" s="29" t="str">
        <f>VLOOKUP(G1956,'insumos terrapl'!$C$3:$K$47,3,0)</f>
        <v>2Q</v>
      </c>
      <c r="J1956" s="29">
        <f>VLOOKUP(G1956,'insumos terrapl'!$C$3:$K$47,4,0)</f>
        <v>62</v>
      </c>
      <c r="K1956" s="29" t="str">
        <f>VLOOKUP(G1956,'insumos terrapl'!$C$3:$K$47,5,0)</f>
        <v>02</v>
      </c>
      <c r="L1956" s="29" t="str">
        <f>VLOOKUP(G1956,'insumos terrapl'!$C$3:$K$47,6,0)</f>
        <v>18</v>
      </c>
      <c r="M1956" s="29" t="str">
        <f>VLOOKUP(G1956,'insumos terrapl'!$C$3:$K$47,7,0)</f>
        <v>00</v>
      </c>
      <c r="N1956" s="29" t="str">
        <f>VLOOKUP(G1956,'insumos terrapl'!$C$3:$K$47,8,0)</f>
        <v>00</v>
      </c>
      <c r="O1956" s="97" t="str">
        <f>VLOOKUP(G1956,'insumos terrapl'!$C$3:$K$47,9,0)</f>
        <v>00</v>
      </c>
    </row>
    <row r="1957" spans="1:15">
      <c r="A1957" s="125"/>
      <c r="B1957" s="127"/>
      <c r="C1957" s="125"/>
      <c r="D1957" s="115"/>
      <c r="E1957" s="115"/>
      <c r="F1957" s="11" t="s">
        <v>588</v>
      </c>
      <c r="G1957" s="20" t="s">
        <v>589</v>
      </c>
      <c r="H1957" s="29" t="str">
        <f>VLOOKUP(G1957,'insumos terrapl'!$C$3:$K$47,2,0)</f>
        <v>2N  20  14  08  00  00  00</v>
      </c>
      <c r="I1957" s="29" t="str">
        <f>VLOOKUP(G1957,'insumos terrapl'!$C$3:$K$47,3,0)</f>
        <v>2N</v>
      </c>
      <c r="J1957" s="29">
        <f>VLOOKUP(G1957,'insumos terrapl'!$C$3:$K$47,4,0)</f>
        <v>20</v>
      </c>
      <c r="K1957" s="29">
        <f>VLOOKUP(G1957,'insumos terrapl'!$C$3:$K$47,5,0)</f>
        <v>14</v>
      </c>
      <c r="L1957" s="29" t="str">
        <f>VLOOKUP(G1957,'insumos terrapl'!$C$3:$K$47,6,0)</f>
        <v>08</v>
      </c>
      <c r="M1957" s="29" t="str">
        <f>VLOOKUP(G1957,'insumos terrapl'!$C$3:$K$47,7,0)</f>
        <v>00</v>
      </c>
      <c r="N1957" s="29" t="str">
        <f>VLOOKUP(G1957,'insumos terrapl'!$C$3:$K$47,8,0)</f>
        <v>00</v>
      </c>
      <c r="O1957" s="97" t="str">
        <f>VLOOKUP(G1957,'insumos terrapl'!$C$3:$K$47,9,0)</f>
        <v>00</v>
      </c>
    </row>
    <row r="1958" spans="1:15">
      <c r="A1958" s="125"/>
      <c r="B1958" s="127"/>
      <c r="C1958" s="125"/>
      <c r="D1958" s="116"/>
      <c r="E1958" s="116"/>
      <c r="F1958" s="13"/>
      <c r="G1958" s="21"/>
      <c r="H1958" s="31"/>
      <c r="I1958" s="31"/>
      <c r="J1958" s="31"/>
      <c r="K1958" s="31"/>
      <c r="L1958" s="31"/>
      <c r="M1958" s="31"/>
      <c r="N1958" s="31"/>
      <c r="O1958" s="98"/>
    </row>
    <row r="1959" spans="1:15">
      <c r="A1959" s="125"/>
      <c r="B1959" s="127"/>
      <c r="C1959" s="124" t="s">
        <v>290</v>
      </c>
      <c r="D1959" s="114" t="str">
        <f>$A$1875</f>
        <v>2.6.9</v>
      </c>
      <c r="E1959" s="114" t="s">
        <v>548</v>
      </c>
      <c r="F1959" s="12" t="s">
        <v>290</v>
      </c>
      <c r="G1959" s="19"/>
      <c r="H1959" s="28"/>
      <c r="I1959" s="28"/>
      <c r="J1959" s="28"/>
      <c r="K1959" s="28"/>
      <c r="L1959" s="28"/>
      <c r="M1959" s="28"/>
      <c r="N1959" s="28"/>
      <c r="O1959" s="99"/>
    </row>
    <row r="1960" spans="1:15" ht="30">
      <c r="A1960" s="125"/>
      <c r="B1960" s="127"/>
      <c r="C1960" s="125"/>
      <c r="D1960" s="115"/>
      <c r="E1960" s="115"/>
      <c r="F1960" s="11" t="s">
        <v>665</v>
      </c>
      <c r="G1960" s="20" t="s">
        <v>666</v>
      </c>
      <c r="H1960" s="29" t="str">
        <f>VLOOKUP(G1960,'insumos terrapl'!$C$3:$K$47,2,0)</f>
        <v>2Q  66  10  02  00  00  00</v>
      </c>
      <c r="I1960" s="29" t="str">
        <f>VLOOKUP(G1960,'insumos terrapl'!$C$3:$K$47,3,0)</f>
        <v>2Q</v>
      </c>
      <c r="J1960" s="29">
        <f>VLOOKUP(G1960,'insumos terrapl'!$C$3:$K$47,4,0)</f>
        <v>66</v>
      </c>
      <c r="K1960" s="29" t="str">
        <f>VLOOKUP(G1960,'insumos terrapl'!$C$3:$K$47,5,0)</f>
        <v>10</v>
      </c>
      <c r="L1960" s="29" t="str">
        <f>VLOOKUP(G1960,'insumos terrapl'!$C$3:$K$47,6,0)</f>
        <v>02</v>
      </c>
      <c r="M1960" s="29" t="str">
        <f>VLOOKUP(G1960,'insumos terrapl'!$C$3:$K$47,7,0)</f>
        <v>00</v>
      </c>
      <c r="N1960" s="29" t="str">
        <f>VLOOKUP(G1960,'insumos terrapl'!$C$3:$K$47,8,0)</f>
        <v>00</v>
      </c>
      <c r="O1960" s="97" t="str">
        <f>VLOOKUP(G1960,'insumos terrapl'!$C$3:$K$47,9,0)</f>
        <v>00</v>
      </c>
    </row>
    <row r="1961" spans="1:15" ht="30">
      <c r="A1961" s="125"/>
      <c r="B1961" s="127"/>
      <c r="C1961" s="125"/>
      <c r="D1961" s="115"/>
      <c r="E1961" s="115"/>
      <c r="F1961" s="11" t="s">
        <v>663</v>
      </c>
      <c r="G1961" s="20" t="s">
        <v>664</v>
      </c>
      <c r="H1961" s="29" t="str">
        <f>VLOOKUP(G1961,'insumos terrapl'!$C$3:$K$47,2,0)</f>
        <v>2Q  62  02  18  00  00  00</v>
      </c>
      <c r="I1961" s="29" t="str">
        <f>VLOOKUP(G1961,'insumos terrapl'!$C$3:$K$47,3,0)</f>
        <v>2Q</v>
      </c>
      <c r="J1961" s="29">
        <f>VLOOKUP(G1961,'insumos terrapl'!$C$3:$K$47,4,0)</f>
        <v>62</v>
      </c>
      <c r="K1961" s="29" t="str">
        <f>VLOOKUP(G1961,'insumos terrapl'!$C$3:$K$47,5,0)</f>
        <v>02</v>
      </c>
      <c r="L1961" s="29" t="str">
        <f>VLOOKUP(G1961,'insumos terrapl'!$C$3:$K$47,6,0)</f>
        <v>18</v>
      </c>
      <c r="M1961" s="29" t="str">
        <f>VLOOKUP(G1961,'insumos terrapl'!$C$3:$K$47,7,0)</f>
        <v>00</v>
      </c>
      <c r="N1961" s="29" t="str">
        <f>VLOOKUP(G1961,'insumos terrapl'!$C$3:$K$47,8,0)</f>
        <v>00</v>
      </c>
      <c r="O1961" s="97" t="str">
        <f>VLOOKUP(G1961,'insumos terrapl'!$C$3:$K$47,9,0)</f>
        <v>00</v>
      </c>
    </row>
    <row r="1962" spans="1:15">
      <c r="A1962" s="125"/>
      <c r="B1962" s="127"/>
      <c r="C1962" s="125"/>
      <c r="D1962" s="115"/>
      <c r="E1962" s="115"/>
      <c r="F1962" s="11" t="s">
        <v>588</v>
      </c>
      <c r="G1962" s="20" t="s">
        <v>589</v>
      </c>
      <c r="H1962" s="29" t="str">
        <f>VLOOKUP(G1962,'insumos terrapl'!$C$3:$K$47,2,0)</f>
        <v>2N  20  14  08  00  00  00</v>
      </c>
      <c r="I1962" s="29" t="str">
        <f>VLOOKUP(G1962,'insumos terrapl'!$C$3:$K$47,3,0)</f>
        <v>2N</v>
      </c>
      <c r="J1962" s="29">
        <f>VLOOKUP(G1962,'insumos terrapl'!$C$3:$K$47,4,0)</f>
        <v>20</v>
      </c>
      <c r="K1962" s="29">
        <f>VLOOKUP(G1962,'insumos terrapl'!$C$3:$K$47,5,0)</f>
        <v>14</v>
      </c>
      <c r="L1962" s="29" t="str">
        <f>VLOOKUP(G1962,'insumos terrapl'!$C$3:$K$47,6,0)</f>
        <v>08</v>
      </c>
      <c r="M1962" s="29" t="str">
        <f>VLOOKUP(G1962,'insumos terrapl'!$C$3:$K$47,7,0)</f>
        <v>00</v>
      </c>
      <c r="N1962" s="29" t="str">
        <f>VLOOKUP(G1962,'insumos terrapl'!$C$3:$K$47,8,0)</f>
        <v>00</v>
      </c>
      <c r="O1962" s="97" t="str">
        <f>VLOOKUP(G1962,'insumos terrapl'!$C$3:$K$47,9,0)</f>
        <v>00</v>
      </c>
    </row>
    <row r="1963" spans="1:15">
      <c r="A1963" s="125"/>
      <c r="B1963" s="127"/>
      <c r="C1963" s="132"/>
      <c r="D1963" s="116"/>
      <c r="E1963" s="116"/>
      <c r="F1963" s="13"/>
      <c r="G1963" s="21"/>
      <c r="H1963" s="31"/>
      <c r="I1963" s="31"/>
      <c r="J1963" s="31"/>
      <c r="K1963" s="31"/>
      <c r="L1963" s="31"/>
      <c r="M1963" s="31"/>
      <c r="N1963" s="31"/>
      <c r="O1963" s="98"/>
    </row>
    <row r="1964" spans="1:15">
      <c r="A1964" s="125"/>
      <c r="B1964" s="127"/>
      <c r="C1964" s="125" t="s">
        <v>291</v>
      </c>
      <c r="D1964" s="114" t="str">
        <f>$A$1875</f>
        <v>2.6.9</v>
      </c>
      <c r="E1964" s="115" t="s">
        <v>549</v>
      </c>
      <c r="F1964" s="11" t="s">
        <v>291</v>
      </c>
      <c r="G1964" s="20"/>
      <c r="H1964" s="29"/>
      <c r="I1964" s="29"/>
      <c r="J1964" s="29"/>
      <c r="K1964" s="29"/>
      <c r="L1964" s="29"/>
      <c r="M1964" s="29"/>
      <c r="N1964" s="29"/>
      <c r="O1964" s="97"/>
    </row>
    <row r="1965" spans="1:15" ht="30">
      <c r="A1965" s="125"/>
      <c r="B1965" s="127"/>
      <c r="C1965" s="125"/>
      <c r="D1965" s="115"/>
      <c r="E1965" s="115"/>
      <c r="F1965" s="11" t="s">
        <v>665</v>
      </c>
      <c r="G1965" s="20" t="s">
        <v>666</v>
      </c>
      <c r="H1965" s="29" t="str">
        <f>VLOOKUP(G1965,'insumos terrapl'!$C$3:$K$47,2,0)</f>
        <v>2Q  66  10  02  00  00  00</v>
      </c>
      <c r="I1965" s="29" t="str">
        <f>VLOOKUP(G1965,'insumos terrapl'!$C$3:$K$47,3,0)</f>
        <v>2Q</v>
      </c>
      <c r="J1965" s="29">
        <f>VLOOKUP(G1965,'insumos terrapl'!$C$3:$K$47,4,0)</f>
        <v>66</v>
      </c>
      <c r="K1965" s="29" t="str">
        <f>VLOOKUP(G1965,'insumos terrapl'!$C$3:$K$47,5,0)</f>
        <v>10</v>
      </c>
      <c r="L1965" s="29" t="str">
        <f>VLOOKUP(G1965,'insumos terrapl'!$C$3:$K$47,6,0)</f>
        <v>02</v>
      </c>
      <c r="M1965" s="29" t="str">
        <f>VLOOKUP(G1965,'insumos terrapl'!$C$3:$K$47,7,0)</f>
        <v>00</v>
      </c>
      <c r="N1965" s="29" t="str">
        <f>VLOOKUP(G1965,'insumos terrapl'!$C$3:$K$47,8,0)</f>
        <v>00</v>
      </c>
      <c r="O1965" s="97" t="str">
        <f>VLOOKUP(G1965,'insumos terrapl'!$C$3:$K$47,9,0)</f>
        <v>00</v>
      </c>
    </row>
    <row r="1966" spans="1:15" ht="30">
      <c r="A1966" s="125"/>
      <c r="B1966" s="127"/>
      <c r="C1966" s="125"/>
      <c r="D1966" s="115"/>
      <c r="E1966" s="115"/>
      <c r="F1966" s="11" t="s">
        <v>663</v>
      </c>
      <c r="G1966" s="20" t="s">
        <v>664</v>
      </c>
      <c r="H1966" s="29" t="str">
        <f>VLOOKUP(G1966,'insumos terrapl'!$C$3:$K$47,2,0)</f>
        <v>2Q  62  02  18  00  00  00</v>
      </c>
      <c r="I1966" s="29" t="str">
        <f>VLOOKUP(G1966,'insumos terrapl'!$C$3:$K$47,3,0)</f>
        <v>2Q</v>
      </c>
      <c r="J1966" s="29">
        <f>VLOOKUP(G1966,'insumos terrapl'!$C$3:$K$47,4,0)</f>
        <v>62</v>
      </c>
      <c r="K1966" s="29" t="str">
        <f>VLOOKUP(G1966,'insumos terrapl'!$C$3:$K$47,5,0)</f>
        <v>02</v>
      </c>
      <c r="L1966" s="29" t="str">
        <f>VLOOKUP(G1966,'insumos terrapl'!$C$3:$K$47,6,0)</f>
        <v>18</v>
      </c>
      <c r="M1966" s="29" t="str">
        <f>VLOOKUP(G1966,'insumos terrapl'!$C$3:$K$47,7,0)</f>
        <v>00</v>
      </c>
      <c r="N1966" s="29" t="str">
        <f>VLOOKUP(G1966,'insumos terrapl'!$C$3:$K$47,8,0)</f>
        <v>00</v>
      </c>
      <c r="O1966" s="97" t="str">
        <f>VLOOKUP(G1966,'insumos terrapl'!$C$3:$K$47,9,0)</f>
        <v>00</v>
      </c>
    </row>
    <row r="1967" spans="1:15">
      <c r="A1967" s="125"/>
      <c r="B1967" s="127"/>
      <c r="C1967" s="125"/>
      <c r="D1967" s="115"/>
      <c r="E1967" s="115"/>
      <c r="F1967" s="11" t="s">
        <v>588</v>
      </c>
      <c r="G1967" s="20" t="s">
        <v>589</v>
      </c>
      <c r="H1967" s="29" t="str">
        <f>VLOOKUP(G1967,'insumos terrapl'!$C$3:$K$47,2,0)</f>
        <v>2N  20  14  08  00  00  00</v>
      </c>
      <c r="I1967" s="29" t="str">
        <f>VLOOKUP(G1967,'insumos terrapl'!$C$3:$K$47,3,0)</f>
        <v>2N</v>
      </c>
      <c r="J1967" s="29">
        <f>VLOOKUP(G1967,'insumos terrapl'!$C$3:$K$47,4,0)</f>
        <v>20</v>
      </c>
      <c r="K1967" s="29">
        <f>VLOOKUP(G1967,'insumos terrapl'!$C$3:$K$47,5,0)</f>
        <v>14</v>
      </c>
      <c r="L1967" s="29" t="str">
        <f>VLOOKUP(G1967,'insumos terrapl'!$C$3:$K$47,6,0)</f>
        <v>08</v>
      </c>
      <c r="M1967" s="29" t="str">
        <f>VLOOKUP(G1967,'insumos terrapl'!$C$3:$K$47,7,0)</f>
        <v>00</v>
      </c>
      <c r="N1967" s="29" t="str">
        <f>VLOOKUP(G1967,'insumos terrapl'!$C$3:$K$47,8,0)</f>
        <v>00</v>
      </c>
      <c r="O1967" s="97" t="str">
        <f>VLOOKUP(G1967,'insumos terrapl'!$C$3:$K$47,9,0)</f>
        <v>00</v>
      </c>
    </row>
    <row r="1968" spans="1:15">
      <c r="A1968" s="125"/>
      <c r="B1968" s="127"/>
      <c r="C1968" s="132"/>
      <c r="D1968" s="116"/>
      <c r="E1968" s="116"/>
      <c r="F1968" s="13"/>
      <c r="G1968" s="21"/>
      <c r="H1968" s="31"/>
      <c r="I1968" s="31"/>
      <c r="J1968" s="31"/>
      <c r="K1968" s="31"/>
      <c r="L1968" s="31"/>
      <c r="M1968" s="31"/>
      <c r="N1968" s="31"/>
      <c r="O1968" s="98"/>
    </row>
    <row r="1969" spans="1:15">
      <c r="A1969" s="125"/>
      <c r="B1969" s="127"/>
      <c r="C1969" s="125" t="s">
        <v>292</v>
      </c>
      <c r="D1969" s="114" t="str">
        <f>$A$1875</f>
        <v>2.6.9</v>
      </c>
      <c r="E1969" s="115" t="s">
        <v>550</v>
      </c>
      <c r="F1969" s="11" t="s">
        <v>292</v>
      </c>
      <c r="G1969" s="20"/>
      <c r="H1969" s="29"/>
      <c r="I1969" s="29"/>
      <c r="J1969" s="29"/>
      <c r="K1969" s="29"/>
      <c r="L1969" s="29"/>
      <c r="M1969" s="29"/>
      <c r="N1969" s="29"/>
      <c r="O1969" s="97"/>
    </row>
    <row r="1970" spans="1:15" ht="30">
      <c r="A1970" s="125"/>
      <c r="B1970" s="127"/>
      <c r="C1970" s="125"/>
      <c r="D1970" s="115"/>
      <c r="E1970" s="115"/>
      <c r="F1970" s="11" t="s">
        <v>665</v>
      </c>
      <c r="G1970" s="20" t="s">
        <v>666</v>
      </c>
      <c r="H1970" s="29" t="str">
        <f>VLOOKUP(G1970,'insumos terrapl'!$C$3:$K$47,2,0)</f>
        <v>2Q  66  10  02  00  00  00</v>
      </c>
      <c r="I1970" s="29" t="str">
        <f>VLOOKUP(G1970,'insumos terrapl'!$C$3:$K$47,3,0)</f>
        <v>2Q</v>
      </c>
      <c r="J1970" s="29">
        <f>VLOOKUP(G1970,'insumos terrapl'!$C$3:$K$47,4,0)</f>
        <v>66</v>
      </c>
      <c r="K1970" s="29" t="str">
        <f>VLOOKUP(G1970,'insumos terrapl'!$C$3:$K$47,5,0)</f>
        <v>10</v>
      </c>
      <c r="L1970" s="29" t="str">
        <f>VLOOKUP(G1970,'insumos terrapl'!$C$3:$K$47,6,0)</f>
        <v>02</v>
      </c>
      <c r="M1970" s="29" t="str">
        <f>VLOOKUP(G1970,'insumos terrapl'!$C$3:$K$47,7,0)</f>
        <v>00</v>
      </c>
      <c r="N1970" s="29" t="str">
        <f>VLOOKUP(G1970,'insumos terrapl'!$C$3:$K$47,8,0)</f>
        <v>00</v>
      </c>
      <c r="O1970" s="97" t="str">
        <f>VLOOKUP(G1970,'insumos terrapl'!$C$3:$K$47,9,0)</f>
        <v>00</v>
      </c>
    </row>
    <row r="1971" spans="1:15" ht="30">
      <c r="A1971" s="125"/>
      <c r="B1971" s="127"/>
      <c r="C1971" s="125"/>
      <c r="D1971" s="115"/>
      <c r="E1971" s="115"/>
      <c r="F1971" s="11" t="s">
        <v>663</v>
      </c>
      <c r="G1971" s="20" t="s">
        <v>664</v>
      </c>
      <c r="H1971" s="29" t="str">
        <f>VLOOKUP(G1971,'insumos terrapl'!$C$3:$K$47,2,0)</f>
        <v>2Q  62  02  18  00  00  00</v>
      </c>
      <c r="I1971" s="29" t="str">
        <f>VLOOKUP(G1971,'insumos terrapl'!$C$3:$K$47,3,0)</f>
        <v>2Q</v>
      </c>
      <c r="J1971" s="29">
        <f>VLOOKUP(G1971,'insumos terrapl'!$C$3:$K$47,4,0)</f>
        <v>62</v>
      </c>
      <c r="K1971" s="29" t="str">
        <f>VLOOKUP(G1971,'insumos terrapl'!$C$3:$K$47,5,0)</f>
        <v>02</v>
      </c>
      <c r="L1971" s="29" t="str">
        <f>VLOOKUP(G1971,'insumos terrapl'!$C$3:$K$47,6,0)</f>
        <v>18</v>
      </c>
      <c r="M1971" s="29" t="str">
        <f>VLOOKUP(G1971,'insumos terrapl'!$C$3:$K$47,7,0)</f>
        <v>00</v>
      </c>
      <c r="N1971" s="29" t="str">
        <f>VLOOKUP(G1971,'insumos terrapl'!$C$3:$K$47,8,0)</f>
        <v>00</v>
      </c>
      <c r="O1971" s="97" t="str">
        <f>VLOOKUP(G1971,'insumos terrapl'!$C$3:$K$47,9,0)</f>
        <v>00</v>
      </c>
    </row>
    <row r="1972" spans="1:15">
      <c r="A1972" s="125"/>
      <c r="B1972" s="127"/>
      <c r="C1972" s="125"/>
      <c r="D1972" s="115"/>
      <c r="E1972" s="115"/>
      <c r="F1972" s="11" t="s">
        <v>588</v>
      </c>
      <c r="G1972" s="20" t="s">
        <v>589</v>
      </c>
      <c r="H1972" s="29" t="str">
        <f>VLOOKUP(G1972,'insumos terrapl'!$C$3:$K$47,2,0)</f>
        <v>2N  20  14  08  00  00  00</v>
      </c>
      <c r="I1972" s="29" t="str">
        <f>VLOOKUP(G1972,'insumos terrapl'!$C$3:$K$47,3,0)</f>
        <v>2N</v>
      </c>
      <c r="J1972" s="29">
        <f>VLOOKUP(G1972,'insumos terrapl'!$C$3:$K$47,4,0)</f>
        <v>20</v>
      </c>
      <c r="K1972" s="29">
        <f>VLOOKUP(G1972,'insumos terrapl'!$C$3:$K$47,5,0)</f>
        <v>14</v>
      </c>
      <c r="L1972" s="29" t="str">
        <f>VLOOKUP(G1972,'insumos terrapl'!$C$3:$K$47,6,0)</f>
        <v>08</v>
      </c>
      <c r="M1972" s="29" t="str">
        <f>VLOOKUP(G1972,'insumos terrapl'!$C$3:$K$47,7,0)</f>
        <v>00</v>
      </c>
      <c r="N1972" s="29" t="str">
        <f>VLOOKUP(G1972,'insumos terrapl'!$C$3:$K$47,8,0)</f>
        <v>00</v>
      </c>
      <c r="O1972" s="97" t="str">
        <f>VLOOKUP(G1972,'insumos terrapl'!$C$3:$K$47,9,0)</f>
        <v>00</v>
      </c>
    </row>
    <row r="1973" spans="1:15">
      <c r="A1973" s="125"/>
      <c r="B1973" s="127"/>
      <c r="C1973" s="125"/>
      <c r="D1973" s="116"/>
      <c r="E1973" s="115"/>
      <c r="F1973" s="11"/>
      <c r="G1973" s="20"/>
      <c r="H1973" s="29"/>
      <c r="I1973" s="29"/>
      <c r="J1973" s="29"/>
      <c r="K1973" s="29"/>
      <c r="L1973" s="29"/>
      <c r="M1973" s="29"/>
      <c r="N1973" s="29"/>
      <c r="O1973" s="97"/>
    </row>
    <row r="1974" spans="1:15">
      <c r="A1974" s="125"/>
      <c r="B1974" s="127"/>
      <c r="C1974" s="124" t="s">
        <v>293</v>
      </c>
      <c r="D1974" s="114" t="str">
        <f>$A$1875</f>
        <v>2.6.9</v>
      </c>
      <c r="E1974" s="114" t="s">
        <v>551</v>
      </c>
      <c r="F1974" s="12" t="s">
        <v>293</v>
      </c>
      <c r="G1974" s="19"/>
      <c r="H1974" s="28"/>
      <c r="I1974" s="28"/>
      <c r="J1974" s="28"/>
      <c r="K1974" s="28"/>
      <c r="L1974" s="28"/>
      <c r="M1974" s="28"/>
      <c r="N1974" s="28"/>
      <c r="O1974" s="99"/>
    </row>
    <row r="1975" spans="1:15" ht="30">
      <c r="A1975" s="125"/>
      <c r="B1975" s="127"/>
      <c r="C1975" s="125"/>
      <c r="D1975" s="115"/>
      <c r="E1975" s="115"/>
      <c r="F1975" s="11" t="s">
        <v>665</v>
      </c>
      <c r="G1975" s="20" t="s">
        <v>666</v>
      </c>
      <c r="H1975" s="29" t="str">
        <f>VLOOKUP(G1975,'insumos terrapl'!$C$3:$K$47,2,0)</f>
        <v>2Q  66  10  02  00  00  00</v>
      </c>
      <c r="I1975" s="29" t="str">
        <f>VLOOKUP(G1975,'insumos terrapl'!$C$3:$K$47,3,0)</f>
        <v>2Q</v>
      </c>
      <c r="J1975" s="29">
        <f>VLOOKUP(G1975,'insumos terrapl'!$C$3:$K$47,4,0)</f>
        <v>66</v>
      </c>
      <c r="K1975" s="29" t="str">
        <f>VLOOKUP(G1975,'insumos terrapl'!$C$3:$K$47,5,0)</f>
        <v>10</v>
      </c>
      <c r="L1975" s="29" t="str">
        <f>VLOOKUP(G1975,'insumos terrapl'!$C$3:$K$47,6,0)</f>
        <v>02</v>
      </c>
      <c r="M1975" s="29" t="str">
        <f>VLOOKUP(G1975,'insumos terrapl'!$C$3:$K$47,7,0)</f>
        <v>00</v>
      </c>
      <c r="N1975" s="29" t="str">
        <f>VLOOKUP(G1975,'insumos terrapl'!$C$3:$K$47,8,0)</f>
        <v>00</v>
      </c>
      <c r="O1975" s="97" t="str">
        <f>VLOOKUP(G1975,'insumos terrapl'!$C$3:$K$47,9,0)</f>
        <v>00</v>
      </c>
    </row>
    <row r="1976" spans="1:15" ht="30">
      <c r="A1976" s="125"/>
      <c r="B1976" s="127"/>
      <c r="C1976" s="125"/>
      <c r="D1976" s="115"/>
      <c r="E1976" s="115"/>
      <c r="F1976" s="11" t="s">
        <v>663</v>
      </c>
      <c r="G1976" s="20" t="s">
        <v>664</v>
      </c>
      <c r="H1976" s="29" t="str">
        <f>VLOOKUP(G1976,'insumos terrapl'!$C$3:$K$47,2,0)</f>
        <v>2Q  62  02  18  00  00  00</v>
      </c>
      <c r="I1976" s="29" t="str">
        <f>VLOOKUP(G1976,'insumos terrapl'!$C$3:$K$47,3,0)</f>
        <v>2Q</v>
      </c>
      <c r="J1976" s="29">
        <f>VLOOKUP(G1976,'insumos terrapl'!$C$3:$K$47,4,0)</f>
        <v>62</v>
      </c>
      <c r="K1976" s="29" t="str">
        <f>VLOOKUP(G1976,'insumos terrapl'!$C$3:$K$47,5,0)</f>
        <v>02</v>
      </c>
      <c r="L1976" s="29" t="str">
        <f>VLOOKUP(G1976,'insumos terrapl'!$C$3:$K$47,6,0)</f>
        <v>18</v>
      </c>
      <c r="M1976" s="29" t="str">
        <f>VLOOKUP(G1976,'insumos terrapl'!$C$3:$K$47,7,0)</f>
        <v>00</v>
      </c>
      <c r="N1976" s="29" t="str">
        <f>VLOOKUP(G1976,'insumos terrapl'!$C$3:$K$47,8,0)</f>
        <v>00</v>
      </c>
      <c r="O1976" s="97" t="str">
        <f>VLOOKUP(G1976,'insumos terrapl'!$C$3:$K$47,9,0)</f>
        <v>00</v>
      </c>
    </row>
    <row r="1977" spans="1:15">
      <c r="A1977" s="125"/>
      <c r="B1977" s="127"/>
      <c r="C1977" s="125"/>
      <c r="D1977" s="115"/>
      <c r="E1977" s="115"/>
      <c r="F1977" s="11" t="s">
        <v>588</v>
      </c>
      <c r="G1977" s="20" t="s">
        <v>589</v>
      </c>
      <c r="H1977" s="29" t="str">
        <f>VLOOKUP(G1977,'insumos terrapl'!$C$3:$K$47,2,0)</f>
        <v>2N  20  14  08  00  00  00</v>
      </c>
      <c r="I1977" s="29" t="str">
        <f>VLOOKUP(G1977,'insumos terrapl'!$C$3:$K$47,3,0)</f>
        <v>2N</v>
      </c>
      <c r="J1977" s="29">
        <f>VLOOKUP(G1977,'insumos terrapl'!$C$3:$K$47,4,0)</f>
        <v>20</v>
      </c>
      <c r="K1977" s="29">
        <f>VLOOKUP(G1977,'insumos terrapl'!$C$3:$K$47,5,0)</f>
        <v>14</v>
      </c>
      <c r="L1977" s="29" t="str">
        <f>VLOOKUP(G1977,'insumos terrapl'!$C$3:$K$47,6,0)</f>
        <v>08</v>
      </c>
      <c r="M1977" s="29" t="str">
        <f>VLOOKUP(G1977,'insumos terrapl'!$C$3:$K$47,7,0)</f>
        <v>00</v>
      </c>
      <c r="N1977" s="29" t="str">
        <f>VLOOKUP(G1977,'insumos terrapl'!$C$3:$K$47,8,0)</f>
        <v>00</v>
      </c>
      <c r="O1977" s="97" t="str">
        <f>VLOOKUP(G1977,'insumos terrapl'!$C$3:$K$47,9,0)</f>
        <v>00</v>
      </c>
    </row>
    <row r="1978" spans="1:15">
      <c r="A1978" s="125"/>
      <c r="B1978" s="127"/>
      <c r="C1978" s="132"/>
      <c r="D1978" s="116"/>
      <c r="E1978" s="116"/>
      <c r="F1978" s="13"/>
      <c r="G1978" s="21"/>
      <c r="H1978" s="31"/>
      <c r="I1978" s="31"/>
      <c r="J1978" s="31"/>
      <c r="K1978" s="31"/>
      <c r="L1978" s="31"/>
      <c r="M1978" s="31"/>
      <c r="N1978" s="31"/>
      <c r="O1978" s="98"/>
    </row>
    <row r="1979" spans="1:15">
      <c r="A1979" s="125"/>
      <c r="B1979" s="127"/>
      <c r="C1979" s="125" t="s">
        <v>294</v>
      </c>
      <c r="D1979" s="114" t="str">
        <f>$A$1875</f>
        <v>2.6.9</v>
      </c>
      <c r="E1979" s="115" t="s">
        <v>552</v>
      </c>
      <c r="F1979" s="11" t="s">
        <v>294</v>
      </c>
      <c r="G1979" s="20"/>
      <c r="H1979" s="29"/>
      <c r="I1979" s="29"/>
      <c r="J1979" s="29"/>
      <c r="K1979" s="29"/>
      <c r="L1979" s="29"/>
      <c r="M1979" s="29"/>
      <c r="N1979" s="29"/>
      <c r="O1979" s="97"/>
    </row>
    <row r="1980" spans="1:15" ht="30">
      <c r="A1980" s="125"/>
      <c r="B1980" s="127"/>
      <c r="C1980" s="125"/>
      <c r="D1980" s="115"/>
      <c r="E1980" s="115"/>
      <c r="F1980" s="11" t="s">
        <v>665</v>
      </c>
      <c r="G1980" s="20" t="s">
        <v>666</v>
      </c>
      <c r="H1980" s="29" t="str">
        <f>VLOOKUP(G1980,'insumos terrapl'!$C$3:$K$47,2,0)</f>
        <v>2Q  66  10  02  00  00  00</v>
      </c>
      <c r="I1980" s="29" t="str">
        <f>VLOOKUP(G1980,'insumos terrapl'!$C$3:$K$47,3,0)</f>
        <v>2Q</v>
      </c>
      <c r="J1980" s="29">
        <f>VLOOKUP(G1980,'insumos terrapl'!$C$3:$K$47,4,0)</f>
        <v>66</v>
      </c>
      <c r="K1980" s="29" t="str">
        <f>VLOOKUP(G1980,'insumos terrapl'!$C$3:$K$47,5,0)</f>
        <v>10</v>
      </c>
      <c r="L1980" s="29" t="str">
        <f>VLOOKUP(G1980,'insumos terrapl'!$C$3:$K$47,6,0)</f>
        <v>02</v>
      </c>
      <c r="M1980" s="29" t="str">
        <f>VLOOKUP(G1980,'insumos terrapl'!$C$3:$K$47,7,0)</f>
        <v>00</v>
      </c>
      <c r="N1980" s="29" t="str">
        <f>VLOOKUP(G1980,'insumos terrapl'!$C$3:$K$47,8,0)</f>
        <v>00</v>
      </c>
      <c r="O1980" s="97" t="str">
        <f>VLOOKUP(G1980,'insumos terrapl'!$C$3:$K$47,9,0)</f>
        <v>00</v>
      </c>
    </row>
    <row r="1981" spans="1:15" ht="30">
      <c r="A1981" s="125"/>
      <c r="B1981" s="127"/>
      <c r="C1981" s="125"/>
      <c r="D1981" s="115"/>
      <c r="E1981" s="115"/>
      <c r="F1981" s="11" t="s">
        <v>663</v>
      </c>
      <c r="G1981" s="20" t="s">
        <v>664</v>
      </c>
      <c r="H1981" s="29" t="str">
        <f>VLOOKUP(G1981,'insumos terrapl'!$C$3:$K$47,2,0)</f>
        <v>2Q  62  02  18  00  00  00</v>
      </c>
      <c r="I1981" s="29" t="str">
        <f>VLOOKUP(G1981,'insumos terrapl'!$C$3:$K$47,3,0)</f>
        <v>2Q</v>
      </c>
      <c r="J1981" s="29">
        <f>VLOOKUP(G1981,'insumos terrapl'!$C$3:$K$47,4,0)</f>
        <v>62</v>
      </c>
      <c r="K1981" s="29" t="str">
        <f>VLOOKUP(G1981,'insumos terrapl'!$C$3:$K$47,5,0)</f>
        <v>02</v>
      </c>
      <c r="L1981" s="29" t="str">
        <f>VLOOKUP(G1981,'insumos terrapl'!$C$3:$K$47,6,0)</f>
        <v>18</v>
      </c>
      <c r="M1981" s="29" t="str">
        <f>VLOOKUP(G1981,'insumos terrapl'!$C$3:$K$47,7,0)</f>
        <v>00</v>
      </c>
      <c r="N1981" s="29" t="str">
        <f>VLOOKUP(G1981,'insumos terrapl'!$C$3:$K$47,8,0)</f>
        <v>00</v>
      </c>
      <c r="O1981" s="97" t="str">
        <f>VLOOKUP(G1981,'insumos terrapl'!$C$3:$K$47,9,0)</f>
        <v>00</v>
      </c>
    </row>
    <row r="1982" spans="1:15">
      <c r="A1982" s="125"/>
      <c r="B1982" s="127"/>
      <c r="C1982" s="125"/>
      <c r="D1982" s="115"/>
      <c r="E1982" s="115"/>
      <c r="F1982" s="11" t="s">
        <v>588</v>
      </c>
      <c r="G1982" s="20" t="s">
        <v>589</v>
      </c>
      <c r="H1982" s="29" t="str">
        <f>VLOOKUP(G1982,'insumos terrapl'!$C$3:$K$47,2,0)</f>
        <v>2N  20  14  08  00  00  00</v>
      </c>
      <c r="I1982" s="29" t="str">
        <f>VLOOKUP(G1982,'insumos terrapl'!$C$3:$K$47,3,0)</f>
        <v>2N</v>
      </c>
      <c r="J1982" s="29">
        <f>VLOOKUP(G1982,'insumos terrapl'!$C$3:$K$47,4,0)</f>
        <v>20</v>
      </c>
      <c r="K1982" s="29">
        <f>VLOOKUP(G1982,'insumos terrapl'!$C$3:$K$47,5,0)</f>
        <v>14</v>
      </c>
      <c r="L1982" s="29" t="str">
        <f>VLOOKUP(G1982,'insumos terrapl'!$C$3:$K$47,6,0)</f>
        <v>08</v>
      </c>
      <c r="M1982" s="29" t="str">
        <f>VLOOKUP(G1982,'insumos terrapl'!$C$3:$K$47,7,0)</f>
        <v>00</v>
      </c>
      <c r="N1982" s="29" t="str">
        <f>VLOOKUP(G1982,'insumos terrapl'!$C$3:$K$47,8,0)</f>
        <v>00</v>
      </c>
      <c r="O1982" s="97" t="str">
        <f>VLOOKUP(G1982,'insumos terrapl'!$C$3:$K$47,9,0)</f>
        <v>00</v>
      </c>
    </row>
    <row r="1983" spans="1:15">
      <c r="A1983" s="125"/>
      <c r="B1983" s="127"/>
      <c r="C1983" s="132"/>
      <c r="D1983" s="116"/>
      <c r="E1983" s="116"/>
      <c r="F1983" s="13"/>
      <c r="G1983" s="21"/>
      <c r="H1983" s="31"/>
      <c r="I1983" s="31"/>
      <c r="J1983" s="31"/>
      <c r="K1983" s="31"/>
      <c r="L1983" s="31"/>
      <c r="M1983" s="31"/>
      <c r="N1983" s="31"/>
      <c r="O1983" s="98"/>
    </row>
    <row r="1984" spans="1:15">
      <c r="A1984" s="125"/>
      <c r="B1984" s="127"/>
      <c r="C1984" s="125" t="s">
        <v>295</v>
      </c>
      <c r="D1984" s="114" t="str">
        <f>$A$1875</f>
        <v>2.6.9</v>
      </c>
      <c r="E1984" s="115" t="s">
        <v>553</v>
      </c>
      <c r="F1984" s="11" t="s">
        <v>295</v>
      </c>
      <c r="G1984" s="20"/>
      <c r="H1984" s="29"/>
      <c r="I1984" s="29"/>
      <c r="J1984" s="29"/>
      <c r="K1984" s="29"/>
      <c r="L1984" s="29"/>
      <c r="M1984" s="29"/>
      <c r="N1984" s="29"/>
      <c r="O1984" s="97"/>
    </row>
    <row r="1985" spans="1:15" ht="30">
      <c r="A1985" s="125"/>
      <c r="B1985" s="127"/>
      <c r="C1985" s="125"/>
      <c r="D1985" s="115"/>
      <c r="E1985" s="115"/>
      <c r="F1985" s="11" t="s">
        <v>665</v>
      </c>
      <c r="G1985" s="20" t="s">
        <v>666</v>
      </c>
      <c r="H1985" s="29" t="str">
        <f>VLOOKUP(G1985,'insumos terrapl'!$C$3:$K$47,2,0)</f>
        <v>2Q  66  10  02  00  00  00</v>
      </c>
      <c r="I1985" s="29" t="str">
        <f>VLOOKUP(G1985,'insumos terrapl'!$C$3:$K$47,3,0)</f>
        <v>2Q</v>
      </c>
      <c r="J1985" s="29">
        <f>VLOOKUP(G1985,'insumos terrapl'!$C$3:$K$47,4,0)</f>
        <v>66</v>
      </c>
      <c r="K1985" s="29" t="str">
        <f>VLOOKUP(G1985,'insumos terrapl'!$C$3:$K$47,5,0)</f>
        <v>10</v>
      </c>
      <c r="L1985" s="29" t="str">
        <f>VLOOKUP(G1985,'insumos terrapl'!$C$3:$K$47,6,0)</f>
        <v>02</v>
      </c>
      <c r="M1985" s="29" t="str">
        <f>VLOOKUP(G1985,'insumos terrapl'!$C$3:$K$47,7,0)</f>
        <v>00</v>
      </c>
      <c r="N1985" s="29" t="str">
        <f>VLOOKUP(G1985,'insumos terrapl'!$C$3:$K$47,8,0)</f>
        <v>00</v>
      </c>
      <c r="O1985" s="97" t="str">
        <f>VLOOKUP(G1985,'insumos terrapl'!$C$3:$K$47,9,0)</f>
        <v>00</v>
      </c>
    </row>
    <row r="1986" spans="1:15" ht="30">
      <c r="A1986" s="125"/>
      <c r="B1986" s="127"/>
      <c r="C1986" s="125"/>
      <c r="D1986" s="115"/>
      <c r="E1986" s="115"/>
      <c r="F1986" s="11" t="s">
        <v>663</v>
      </c>
      <c r="G1986" s="20" t="s">
        <v>664</v>
      </c>
      <c r="H1986" s="29" t="str">
        <f>VLOOKUP(G1986,'insumos terrapl'!$C$3:$K$47,2,0)</f>
        <v>2Q  62  02  18  00  00  00</v>
      </c>
      <c r="I1986" s="29" t="str">
        <f>VLOOKUP(G1986,'insumos terrapl'!$C$3:$K$47,3,0)</f>
        <v>2Q</v>
      </c>
      <c r="J1986" s="29">
        <f>VLOOKUP(G1986,'insumos terrapl'!$C$3:$K$47,4,0)</f>
        <v>62</v>
      </c>
      <c r="K1986" s="29" t="str">
        <f>VLOOKUP(G1986,'insumos terrapl'!$C$3:$K$47,5,0)</f>
        <v>02</v>
      </c>
      <c r="L1986" s="29" t="str">
        <f>VLOOKUP(G1986,'insumos terrapl'!$C$3:$K$47,6,0)</f>
        <v>18</v>
      </c>
      <c r="M1986" s="29" t="str">
        <f>VLOOKUP(G1986,'insumos terrapl'!$C$3:$K$47,7,0)</f>
        <v>00</v>
      </c>
      <c r="N1986" s="29" t="str">
        <f>VLOOKUP(G1986,'insumos terrapl'!$C$3:$K$47,8,0)</f>
        <v>00</v>
      </c>
      <c r="O1986" s="97" t="str">
        <f>VLOOKUP(G1986,'insumos terrapl'!$C$3:$K$47,9,0)</f>
        <v>00</v>
      </c>
    </row>
    <row r="1987" spans="1:15">
      <c r="A1987" s="125"/>
      <c r="B1987" s="127"/>
      <c r="C1987" s="125"/>
      <c r="D1987" s="115"/>
      <c r="E1987" s="115"/>
      <c r="F1987" s="11" t="s">
        <v>588</v>
      </c>
      <c r="G1987" s="20" t="s">
        <v>589</v>
      </c>
      <c r="H1987" s="29" t="str">
        <f>VLOOKUP(G1987,'insumos terrapl'!$C$3:$K$47,2,0)</f>
        <v>2N  20  14  08  00  00  00</v>
      </c>
      <c r="I1987" s="29" t="str">
        <f>VLOOKUP(G1987,'insumos terrapl'!$C$3:$K$47,3,0)</f>
        <v>2N</v>
      </c>
      <c r="J1987" s="29">
        <f>VLOOKUP(G1987,'insumos terrapl'!$C$3:$K$47,4,0)</f>
        <v>20</v>
      </c>
      <c r="K1987" s="29">
        <f>VLOOKUP(G1987,'insumos terrapl'!$C$3:$K$47,5,0)</f>
        <v>14</v>
      </c>
      <c r="L1987" s="29" t="str">
        <f>VLOOKUP(G1987,'insumos terrapl'!$C$3:$K$47,6,0)</f>
        <v>08</v>
      </c>
      <c r="M1987" s="29" t="str">
        <f>VLOOKUP(G1987,'insumos terrapl'!$C$3:$K$47,7,0)</f>
        <v>00</v>
      </c>
      <c r="N1987" s="29" t="str">
        <f>VLOOKUP(G1987,'insumos terrapl'!$C$3:$K$47,8,0)</f>
        <v>00</v>
      </c>
      <c r="O1987" s="97" t="str">
        <f>VLOOKUP(G1987,'insumos terrapl'!$C$3:$K$47,9,0)</f>
        <v>00</v>
      </c>
    </row>
    <row r="1988" spans="1:15">
      <c r="A1988" s="125"/>
      <c r="B1988" s="127"/>
      <c r="C1988" s="132"/>
      <c r="D1988" s="116"/>
      <c r="E1988" s="116"/>
      <c r="F1988" s="13"/>
      <c r="G1988" s="21"/>
      <c r="H1988" s="31"/>
      <c r="I1988" s="31"/>
      <c r="J1988" s="31"/>
      <c r="K1988" s="31"/>
      <c r="L1988" s="31"/>
      <c r="M1988" s="31"/>
      <c r="N1988" s="31"/>
      <c r="O1988" s="98"/>
    </row>
    <row r="1989" spans="1:15">
      <c r="A1989" s="125"/>
      <c r="B1989" s="127"/>
      <c r="C1989" s="125" t="s">
        <v>296</v>
      </c>
      <c r="D1989" s="114" t="str">
        <f>$A$1875</f>
        <v>2.6.9</v>
      </c>
      <c r="E1989" s="115" t="s">
        <v>554</v>
      </c>
      <c r="F1989" s="11" t="s">
        <v>296</v>
      </c>
      <c r="G1989" s="20"/>
      <c r="H1989" s="29"/>
      <c r="I1989" s="29"/>
      <c r="J1989" s="29"/>
      <c r="K1989" s="29"/>
      <c r="L1989" s="29"/>
      <c r="M1989" s="29"/>
      <c r="N1989" s="29"/>
      <c r="O1989" s="97"/>
    </row>
    <row r="1990" spans="1:15" ht="30">
      <c r="A1990" s="125"/>
      <c r="B1990" s="127"/>
      <c r="C1990" s="125"/>
      <c r="D1990" s="115"/>
      <c r="E1990" s="115"/>
      <c r="F1990" s="11" t="s">
        <v>665</v>
      </c>
      <c r="G1990" s="20" t="s">
        <v>666</v>
      </c>
      <c r="H1990" s="29" t="str">
        <f>VLOOKUP(G1990,'insumos terrapl'!$C$3:$K$47,2,0)</f>
        <v>2Q  66  10  02  00  00  00</v>
      </c>
      <c r="I1990" s="29" t="str">
        <f>VLOOKUP(G1990,'insumos terrapl'!$C$3:$K$47,3,0)</f>
        <v>2Q</v>
      </c>
      <c r="J1990" s="29">
        <f>VLOOKUP(G1990,'insumos terrapl'!$C$3:$K$47,4,0)</f>
        <v>66</v>
      </c>
      <c r="K1990" s="29" t="str">
        <f>VLOOKUP(G1990,'insumos terrapl'!$C$3:$K$47,5,0)</f>
        <v>10</v>
      </c>
      <c r="L1990" s="29" t="str">
        <f>VLOOKUP(G1990,'insumos terrapl'!$C$3:$K$47,6,0)</f>
        <v>02</v>
      </c>
      <c r="M1990" s="29" t="str">
        <f>VLOOKUP(G1990,'insumos terrapl'!$C$3:$K$47,7,0)</f>
        <v>00</v>
      </c>
      <c r="N1990" s="29" t="str">
        <f>VLOOKUP(G1990,'insumos terrapl'!$C$3:$K$47,8,0)</f>
        <v>00</v>
      </c>
      <c r="O1990" s="97" t="str">
        <f>VLOOKUP(G1990,'insumos terrapl'!$C$3:$K$47,9,0)</f>
        <v>00</v>
      </c>
    </row>
    <row r="1991" spans="1:15" ht="30">
      <c r="A1991" s="125"/>
      <c r="B1991" s="127"/>
      <c r="C1991" s="125"/>
      <c r="D1991" s="115"/>
      <c r="E1991" s="115"/>
      <c r="F1991" s="11" t="s">
        <v>663</v>
      </c>
      <c r="G1991" s="20" t="s">
        <v>664</v>
      </c>
      <c r="H1991" s="29" t="str">
        <f>VLOOKUP(G1991,'insumos terrapl'!$C$3:$K$47,2,0)</f>
        <v>2Q  62  02  18  00  00  00</v>
      </c>
      <c r="I1991" s="29" t="str">
        <f>VLOOKUP(G1991,'insumos terrapl'!$C$3:$K$47,3,0)</f>
        <v>2Q</v>
      </c>
      <c r="J1991" s="29">
        <f>VLOOKUP(G1991,'insumos terrapl'!$C$3:$K$47,4,0)</f>
        <v>62</v>
      </c>
      <c r="K1991" s="29" t="str">
        <f>VLOOKUP(G1991,'insumos terrapl'!$C$3:$K$47,5,0)</f>
        <v>02</v>
      </c>
      <c r="L1991" s="29" t="str">
        <f>VLOOKUP(G1991,'insumos terrapl'!$C$3:$K$47,6,0)</f>
        <v>18</v>
      </c>
      <c r="M1991" s="29" t="str">
        <f>VLOOKUP(G1991,'insumos terrapl'!$C$3:$K$47,7,0)</f>
        <v>00</v>
      </c>
      <c r="N1991" s="29" t="str">
        <f>VLOOKUP(G1991,'insumos terrapl'!$C$3:$K$47,8,0)</f>
        <v>00</v>
      </c>
      <c r="O1991" s="97" t="str">
        <f>VLOOKUP(G1991,'insumos terrapl'!$C$3:$K$47,9,0)</f>
        <v>00</v>
      </c>
    </row>
    <row r="1992" spans="1:15">
      <c r="A1992" s="125"/>
      <c r="B1992" s="127"/>
      <c r="C1992" s="125"/>
      <c r="D1992" s="115"/>
      <c r="E1992" s="115"/>
      <c r="F1992" s="11" t="s">
        <v>588</v>
      </c>
      <c r="G1992" s="20" t="s">
        <v>589</v>
      </c>
      <c r="H1992" s="29" t="str">
        <f>VLOOKUP(G1992,'insumos terrapl'!$C$3:$K$47,2,0)</f>
        <v>2N  20  14  08  00  00  00</v>
      </c>
      <c r="I1992" s="29" t="str">
        <f>VLOOKUP(G1992,'insumos terrapl'!$C$3:$K$47,3,0)</f>
        <v>2N</v>
      </c>
      <c r="J1992" s="29">
        <f>VLOOKUP(G1992,'insumos terrapl'!$C$3:$K$47,4,0)</f>
        <v>20</v>
      </c>
      <c r="K1992" s="29">
        <f>VLOOKUP(G1992,'insumos terrapl'!$C$3:$K$47,5,0)</f>
        <v>14</v>
      </c>
      <c r="L1992" s="29" t="str">
        <f>VLOOKUP(G1992,'insumos terrapl'!$C$3:$K$47,6,0)</f>
        <v>08</v>
      </c>
      <c r="M1992" s="29" t="str">
        <f>VLOOKUP(G1992,'insumos terrapl'!$C$3:$K$47,7,0)</f>
        <v>00</v>
      </c>
      <c r="N1992" s="29" t="str">
        <f>VLOOKUP(G1992,'insumos terrapl'!$C$3:$K$47,8,0)</f>
        <v>00</v>
      </c>
      <c r="O1992" s="97" t="str">
        <f>VLOOKUP(G1992,'insumos terrapl'!$C$3:$K$47,9,0)</f>
        <v>00</v>
      </c>
    </row>
    <row r="1993" spans="1:15">
      <c r="A1993" s="125"/>
      <c r="B1993" s="127"/>
      <c r="C1993" s="125"/>
      <c r="D1993" s="116"/>
      <c r="E1993" s="115"/>
      <c r="F1993" s="11"/>
      <c r="G1993" s="20"/>
      <c r="H1993" s="29"/>
      <c r="I1993" s="29"/>
      <c r="J1993" s="29"/>
      <c r="K1993" s="29"/>
      <c r="L1993" s="29"/>
      <c r="M1993" s="29"/>
      <c r="N1993" s="29"/>
      <c r="O1993" s="97"/>
    </row>
    <row r="1994" spans="1:15">
      <c r="A1994" s="125"/>
      <c r="B1994" s="127"/>
      <c r="C1994" s="124" t="s">
        <v>297</v>
      </c>
      <c r="D1994" s="114" t="str">
        <f>$A$1875</f>
        <v>2.6.9</v>
      </c>
      <c r="E1994" s="114" t="s">
        <v>555</v>
      </c>
      <c r="F1994" s="12" t="s">
        <v>297</v>
      </c>
      <c r="G1994" s="19"/>
      <c r="H1994" s="28"/>
      <c r="I1994" s="28"/>
      <c r="J1994" s="28"/>
      <c r="K1994" s="28"/>
      <c r="L1994" s="28"/>
      <c r="M1994" s="28"/>
      <c r="N1994" s="28"/>
      <c r="O1994" s="99"/>
    </row>
    <row r="1995" spans="1:15" ht="30">
      <c r="A1995" s="125"/>
      <c r="B1995" s="127"/>
      <c r="C1995" s="125"/>
      <c r="D1995" s="115"/>
      <c r="E1995" s="115"/>
      <c r="F1995" s="11" t="s">
        <v>665</v>
      </c>
      <c r="G1995" s="20" t="s">
        <v>666</v>
      </c>
      <c r="H1995" s="29" t="str">
        <f>VLOOKUP(G1995,'insumos terrapl'!$C$3:$K$47,2,0)</f>
        <v>2Q  66  10  02  00  00  00</v>
      </c>
      <c r="I1995" s="29" t="str">
        <f>VLOOKUP(G1995,'insumos terrapl'!$C$3:$K$47,3,0)</f>
        <v>2Q</v>
      </c>
      <c r="J1995" s="29">
        <f>VLOOKUP(G1995,'insumos terrapl'!$C$3:$K$47,4,0)</f>
        <v>66</v>
      </c>
      <c r="K1995" s="29" t="str">
        <f>VLOOKUP(G1995,'insumos terrapl'!$C$3:$K$47,5,0)</f>
        <v>10</v>
      </c>
      <c r="L1995" s="29" t="str">
        <f>VLOOKUP(G1995,'insumos terrapl'!$C$3:$K$47,6,0)</f>
        <v>02</v>
      </c>
      <c r="M1995" s="29" t="str">
        <f>VLOOKUP(G1995,'insumos terrapl'!$C$3:$K$47,7,0)</f>
        <v>00</v>
      </c>
      <c r="N1995" s="29" t="str">
        <f>VLOOKUP(G1995,'insumos terrapl'!$C$3:$K$47,8,0)</f>
        <v>00</v>
      </c>
      <c r="O1995" s="97" t="str">
        <f>VLOOKUP(G1995,'insumos terrapl'!$C$3:$K$47,9,0)</f>
        <v>00</v>
      </c>
    </row>
    <row r="1996" spans="1:15" ht="30">
      <c r="A1996" s="125"/>
      <c r="B1996" s="127"/>
      <c r="C1996" s="125"/>
      <c r="D1996" s="115"/>
      <c r="E1996" s="115"/>
      <c r="F1996" s="11" t="s">
        <v>663</v>
      </c>
      <c r="G1996" s="20" t="s">
        <v>664</v>
      </c>
      <c r="H1996" s="29" t="str">
        <f>VLOOKUP(G1996,'insumos terrapl'!$C$3:$K$47,2,0)</f>
        <v>2Q  62  02  18  00  00  00</v>
      </c>
      <c r="I1996" s="29" t="str">
        <f>VLOOKUP(G1996,'insumos terrapl'!$C$3:$K$47,3,0)</f>
        <v>2Q</v>
      </c>
      <c r="J1996" s="29">
        <f>VLOOKUP(G1996,'insumos terrapl'!$C$3:$K$47,4,0)</f>
        <v>62</v>
      </c>
      <c r="K1996" s="29" t="str">
        <f>VLOOKUP(G1996,'insumos terrapl'!$C$3:$K$47,5,0)</f>
        <v>02</v>
      </c>
      <c r="L1996" s="29" t="str">
        <f>VLOOKUP(G1996,'insumos terrapl'!$C$3:$K$47,6,0)</f>
        <v>18</v>
      </c>
      <c r="M1996" s="29" t="str">
        <f>VLOOKUP(G1996,'insumos terrapl'!$C$3:$K$47,7,0)</f>
        <v>00</v>
      </c>
      <c r="N1996" s="29" t="str">
        <f>VLOOKUP(G1996,'insumos terrapl'!$C$3:$K$47,8,0)</f>
        <v>00</v>
      </c>
      <c r="O1996" s="97" t="str">
        <f>VLOOKUP(G1996,'insumos terrapl'!$C$3:$K$47,9,0)</f>
        <v>00</v>
      </c>
    </row>
    <row r="1997" spans="1:15">
      <c r="A1997" s="125"/>
      <c r="B1997" s="127"/>
      <c r="C1997" s="125"/>
      <c r="D1997" s="115"/>
      <c r="E1997" s="115"/>
      <c r="F1997" s="11" t="s">
        <v>588</v>
      </c>
      <c r="G1997" s="20" t="s">
        <v>589</v>
      </c>
      <c r="H1997" s="29" t="str">
        <f>VLOOKUP(G1997,'insumos terrapl'!$C$3:$K$47,2,0)</f>
        <v>2N  20  14  08  00  00  00</v>
      </c>
      <c r="I1997" s="29" t="str">
        <f>VLOOKUP(G1997,'insumos terrapl'!$C$3:$K$47,3,0)</f>
        <v>2N</v>
      </c>
      <c r="J1997" s="29">
        <f>VLOOKUP(G1997,'insumos terrapl'!$C$3:$K$47,4,0)</f>
        <v>20</v>
      </c>
      <c r="K1997" s="29">
        <f>VLOOKUP(G1997,'insumos terrapl'!$C$3:$K$47,5,0)</f>
        <v>14</v>
      </c>
      <c r="L1997" s="29" t="str">
        <f>VLOOKUP(G1997,'insumos terrapl'!$C$3:$K$47,6,0)</f>
        <v>08</v>
      </c>
      <c r="M1997" s="29" t="str">
        <f>VLOOKUP(G1997,'insumos terrapl'!$C$3:$K$47,7,0)</f>
        <v>00</v>
      </c>
      <c r="N1997" s="29" t="str">
        <f>VLOOKUP(G1997,'insumos terrapl'!$C$3:$K$47,8,0)</f>
        <v>00</v>
      </c>
      <c r="O1997" s="97" t="str">
        <f>VLOOKUP(G1997,'insumos terrapl'!$C$3:$K$47,9,0)</f>
        <v>00</v>
      </c>
    </row>
    <row r="1998" spans="1:15">
      <c r="A1998" s="125"/>
      <c r="B1998" s="127"/>
      <c r="C1998" s="132"/>
      <c r="D1998" s="116"/>
      <c r="E1998" s="116"/>
      <c r="F1998" s="13"/>
      <c r="G1998" s="21"/>
      <c r="H1998" s="31"/>
      <c r="I1998" s="31"/>
      <c r="J1998" s="31"/>
      <c r="K1998" s="31"/>
      <c r="L1998" s="31"/>
      <c r="M1998" s="31"/>
      <c r="N1998" s="31"/>
      <c r="O1998" s="98"/>
    </row>
    <row r="1999" spans="1:15">
      <c r="A1999" s="125"/>
      <c r="B1999" s="127"/>
      <c r="C1999" s="125" t="s">
        <v>298</v>
      </c>
      <c r="D1999" s="114" t="str">
        <f>$A$1875</f>
        <v>2.6.9</v>
      </c>
      <c r="E1999" s="115" t="s">
        <v>556</v>
      </c>
      <c r="F1999" s="11" t="s">
        <v>298</v>
      </c>
      <c r="G1999" s="20"/>
      <c r="H1999" s="29"/>
      <c r="I1999" s="29"/>
      <c r="J1999" s="29"/>
      <c r="K1999" s="29"/>
      <c r="L1999" s="29"/>
      <c r="M1999" s="29"/>
      <c r="N1999" s="29"/>
      <c r="O1999" s="97"/>
    </row>
    <row r="2000" spans="1:15" ht="30">
      <c r="A2000" s="125"/>
      <c r="B2000" s="127"/>
      <c r="C2000" s="125"/>
      <c r="D2000" s="115"/>
      <c r="E2000" s="115"/>
      <c r="F2000" s="11" t="s">
        <v>665</v>
      </c>
      <c r="G2000" s="20" t="s">
        <v>666</v>
      </c>
      <c r="H2000" s="29" t="str">
        <f>VLOOKUP(G2000,'insumos terrapl'!$C$3:$K$47,2,0)</f>
        <v>2Q  66  10  02  00  00  00</v>
      </c>
      <c r="I2000" s="29" t="str">
        <f>VLOOKUP(G2000,'insumos terrapl'!$C$3:$K$47,3,0)</f>
        <v>2Q</v>
      </c>
      <c r="J2000" s="29">
        <f>VLOOKUP(G2000,'insumos terrapl'!$C$3:$K$47,4,0)</f>
        <v>66</v>
      </c>
      <c r="K2000" s="29" t="str">
        <f>VLOOKUP(G2000,'insumos terrapl'!$C$3:$K$47,5,0)</f>
        <v>10</v>
      </c>
      <c r="L2000" s="29" t="str">
        <f>VLOOKUP(G2000,'insumos terrapl'!$C$3:$K$47,6,0)</f>
        <v>02</v>
      </c>
      <c r="M2000" s="29" t="str">
        <f>VLOOKUP(G2000,'insumos terrapl'!$C$3:$K$47,7,0)</f>
        <v>00</v>
      </c>
      <c r="N2000" s="29" t="str">
        <f>VLOOKUP(G2000,'insumos terrapl'!$C$3:$K$47,8,0)</f>
        <v>00</v>
      </c>
      <c r="O2000" s="97" t="str">
        <f>VLOOKUP(G2000,'insumos terrapl'!$C$3:$K$47,9,0)</f>
        <v>00</v>
      </c>
    </row>
    <row r="2001" spans="1:15" ht="30">
      <c r="A2001" s="125"/>
      <c r="B2001" s="127"/>
      <c r="C2001" s="125"/>
      <c r="D2001" s="115"/>
      <c r="E2001" s="115"/>
      <c r="F2001" s="11" t="s">
        <v>663</v>
      </c>
      <c r="G2001" s="20" t="s">
        <v>664</v>
      </c>
      <c r="H2001" s="29" t="str">
        <f>VLOOKUP(G2001,'insumos terrapl'!$C$3:$K$47,2,0)</f>
        <v>2Q  62  02  18  00  00  00</v>
      </c>
      <c r="I2001" s="29" t="str">
        <f>VLOOKUP(G2001,'insumos terrapl'!$C$3:$K$47,3,0)</f>
        <v>2Q</v>
      </c>
      <c r="J2001" s="29">
        <f>VLOOKUP(G2001,'insumos terrapl'!$C$3:$K$47,4,0)</f>
        <v>62</v>
      </c>
      <c r="K2001" s="29" t="str">
        <f>VLOOKUP(G2001,'insumos terrapl'!$C$3:$K$47,5,0)</f>
        <v>02</v>
      </c>
      <c r="L2001" s="29" t="str">
        <f>VLOOKUP(G2001,'insumos terrapl'!$C$3:$K$47,6,0)</f>
        <v>18</v>
      </c>
      <c r="M2001" s="29" t="str">
        <f>VLOOKUP(G2001,'insumos terrapl'!$C$3:$K$47,7,0)</f>
        <v>00</v>
      </c>
      <c r="N2001" s="29" t="str">
        <f>VLOOKUP(G2001,'insumos terrapl'!$C$3:$K$47,8,0)</f>
        <v>00</v>
      </c>
      <c r="O2001" s="97" t="str">
        <f>VLOOKUP(G2001,'insumos terrapl'!$C$3:$K$47,9,0)</f>
        <v>00</v>
      </c>
    </row>
    <row r="2002" spans="1:15">
      <c r="A2002" s="125"/>
      <c r="B2002" s="127"/>
      <c r="C2002" s="125"/>
      <c r="D2002" s="115"/>
      <c r="E2002" s="115"/>
      <c r="F2002" s="11" t="s">
        <v>588</v>
      </c>
      <c r="G2002" s="20" t="s">
        <v>589</v>
      </c>
      <c r="H2002" s="29" t="str">
        <f>VLOOKUP(G2002,'insumos terrapl'!$C$3:$K$47,2,0)</f>
        <v>2N  20  14  08  00  00  00</v>
      </c>
      <c r="I2002" s="29" t="str">
        <f>VLOOKUP(G2002,'insumos terrapl'!$C$3:$K$47,3,0)</f>
        <v>2N</v>
      </c>
      <c r="J2002" s="29">
        <f>VLOOKUP(G2002,'insumos terrapl'!$C$3:$K$47,4,0)</f>
        <v>20</v>
      </c>
      <c r="K2002" s="29">
        <f>VLOOKUP(G2002,'insumos terrapl'!$C$3:$K$47,5,0)</f>
        <v>14</v>
      </c>
      <c r="L2002" s="29" t="str">
        <f>VLOOKUP(G2002,'insumos terrapl'!$C$3:$K$47,6,0)</f>
        <v>08</v>
      </c>
      <c r="M2002" s="29" t="str">
        <f>VLOOKUP(G2002,'insumos terrapl'!$C$3:$K$47,7,0)</f>
        <v>00</v>
      </c>
      <c r="N2002" s="29" t="str">
        <f>VLOOKUP(G2002,'insumos terrapl'!$C$3:$K$47,8,0)</f>
        <v>00</v>
      </c>
      <c r="O2002" s="97" t="str">
        <f>VLOOKUP(G2002,'insumos terrapl'!$C$3:$K$47,9,0)</f>
        <v>00</v>
      </c>
    </row>
    <row r="2003" spans="1:15">
      <c r="A2003" s="125"/>
      <c r="B2003" s="127"/>
      <c r="C2003" s="132"/>
      <c r="D2003" s="116"/>
      <c r="E2003" s="116"/>
      <c r="F2003" s="13"/>
      <c r="G2003" s="21"/>
      <c r="H2003" s="31"/>
      <c r="I2003" s="31"/>
      <c r="J2003" s="31"/>
      <c r="K2003" s="31"/>
      <c r="L2003" s="31"/>
      <c r="M2003" s="31"/>
      <c r="N2003" s="31"/>
      <c r="O2003" s="98"/>
    </row>
    <row r="2004" spans="1:15">
      <c r="A2004" s="125"/>
      <c r="B2004" s="127"/>
      <c r="C2004" s="125" t="s">
        <v>299</v>
      </c>
      <c r="D2004" s="114" t="str">
        <f>$A$1875</f>
        <v>2.6.9</v>
      </c>
      <c r="E2004" s="115" t="s">
        <v>557</v>
      </c>
      <c r="F2004" s="11" t="s">
        <v>299</v>
      </c>
      <c r="G2004" s="20"/>
      <c r="H2004" s="29"/>
      <c r="I2004" s="29"/>
      <c r="J2004" s="29"/>
      <c r="K2004" s="29"/>
      <c r="L2004" s="29"/>
      <c r="M2004" s="29"/>
      <c r="N2004" s="29"/>
      <c r="O2004" s="97"/>
    </row>
    <row r="2005" spans="1:15" ht="30">
      <c r="A2005" s="125"/>
      <c r="B2005" s="127"/>
      <c r="C2005" s="125"/>
      <c r="D2005" s="115"/>
      <c r="E2005" s="115"/>
      <c r="F2005" s="11" t="s">
        <v>665</v>
      </c>
      <c r="G2005" s="20" t="s">
        <v>666</v>
      </c>
      <c r="H2005" s="29" t="str">
        <f>VLOOKUP(G2005,'insumos terrapl'!$C$3:$K$47,2,0)</f>
        <v>2Q  66  10  02  00  00  00</v>
      </c>
      <c r="I2005" s="29" t="str">
        <f>VLOOKUP(G2005,'insumos terrapl'!$C$3:$K$47,3,0)</f>
        <v>2Q</v>
      </c>
      <c r="J2005" s="29">
        <f>VLOOKUP(G2005,'insumos terrapl'!$C$3:$K$47,4,0)</f>
        <v>66</v>
      </c>
      <c r="K2005" s="29" t="str">
        <f>VLOOKUP(G2005,'insumos terrapl'!$C$3:$K$47,5,0)</f>
        <v>10</v>
      </c>
      <c r="L2005" s="29" t="str">
        <f>VLOOKUP(G2005,'insumos terrapl'!$C$3:$K$47,6,0)</f>
        <v>02</v>
      </c>
      <c r="M2005" s="29" t="str">
        <f>VLOOKUP(G2005,'insumos terrapl'!$C$3:$K$47,7,0)</f>
        <v>00</v>
      </c>
      <c r="N2005" s="29" t="str">
        <f>VLOOKUP(G2005,'insumos terrapl'!$C$3:$K$47,8,0)</f>
        <v>00</v>
      </c>
      <c r="O2005" s="97" t="str">
        <f>VLOOKUP(G2005,'insumos terrapl'!$C$3:$K$47,9,0)</f>
        <v>00</v>
      </c>
    </row>
    <row r="2006" spans="1:15" ht="30">
      <c r="A2006" s="125"/>
      <c r="B2006" s="127"/>
      <c r="C2006" s="125"/>
      <c r="D2006" s="115"/>
      <c r="E2006" s="115"/>
      <c r="F2006" s="11" t="s">
        <v>663</v>
      </c>
      <c r="G2006" s="20" t="s">
        <v>664</v>
      </c>
      <c r="H2006" s="29" t="str">
        <f>VLOOKUP(G2006,'insumos terrapl'!$C$3:$K$47,2,0)</f>
        <v>2Q  62  02  18  00  00  00</v>
      </c>
      <c r="I2006" s="29" t="str">
        <f>VLOOKUP(G2006,'insumos terrapl'!$C$3:$K$47,3,0)</f>
        <v>2Q</v>
      </c>
      <c r="J2006" s="29">
        <f>VLOOKUP(G2006,'insumos terrapl'!$C$3:$K$47,4,0)</f>
        <v>62</v>
      </c>
      <c r="K2006" s="29" t="str">
        <f>VLOOKUP(G2006,'insumos terrapl'!$C$3:$K$47,5,0)</f>
        <v>02</v>
      </c>
      <c r="L2006" s="29" t="str">
        <f>VLOOKUP(G2006,'insumos terrapl'!$C$3:$K$47,6,0)</f>
        <v>18</v>
      </c>
      <c r="M2006" s="29" t="str">
        <f>VLOOKUP(G2006,'insumos terrapl'!$C$3:$K$47,7,0)</f>
        <v>00</v>
      </c>
      <c r="N2006" s="29" t="str">
        <f>VLOOKUP(G2006,'insumos terrapl'!$C$3:$K$47,8,0)</f>
        <v>00</v>
      </c>
      <c r="O2006" s="97" t="str">
        <f>VLOOKUP(G2006,'insumos terrapl'!$C$3:$K$47,9,0)</f>
        <v>00</v>
      </c>
    </row>
    <row r="2007" spans="1:15">
      <c r="A2007" s="125"/>
      <c r="B2007" s="127"/>
      <c r="C2007" s="125"/>
      <c r="D2007" s="115"/>
      <c r="E2007" s="115"/>
      <c r="F2007" s="11" t="s">
        <v>588</v>
      </c>
      <c r="G2007" s="20" t="s">
        <v>589</v>
      </c>
      <c r="H2007" s="29" t="str">
        <f>VLOOKUP(G2007,'insumos terrapl'!$C$3:$K$47,2,0)</f>
        <v>2N  20  14  08  00  00  00</v>
      </c>
      <c r="I2007" s="29" t="str">
        <f>VLOOKUP(G2007,'insumos terrapl'!$C$3:$K$47,3,0)</f>
        <v>2N</v>
      </c>
      <c r="J2007" s="29">
        <f>VLOOKUP(G2007,'insumos terrapl'!$C$3:$K$47,4,0)</f>
        <v>20</v>
      </c>
      <c r="K2007" s="29">
        <f>VLOOKUP(G2007,'insumos terrapl'!$C$3:$K$47,5,0)</f>
        <v>14</v>
      </c>
      <c r="L2007" s="29" t="str">
        <f>VLOOKUP(G2007,'insumos terrapl'!$C$3:$K$47,6,0)</f>
        <v>08</v>
      </c>
      <c r="M2007" s="29" t="str">
        <f>VLOOKUP(G2007,'insumos terrapl'!$C$3:$K$47,7,0)</f>
        <v>00</v>
      </c>
      <c r="N2007" s="29" t="str">
        <f>VLOOKUP(G2007,'insumos terrapl'!$C$3:$K$47,8,0)</f>
        <v>00</v>
      </c>
      <c r="O2007" s="97" t="str">
        <f>VLOOKUP(G2007,'insumos terrapl'!$C$3:$K$47,9,0)</f>
        <v>00</v>
      </c>
    </row>
    <row r="2008" spans="1:15">
      <c r="A2008" s="125"/>
      <c r="B2008" s="127"/>
      <c r="C2008" s="125"/>
      <c r="D2008" s="116"/>
      <c r="E2008" s="115"/>
      <c r="F2008" s="10"/>
      <c r="G2008" s="20"/>
      <c r="H2008" s="29"/>
      <c r="I2008" s="29"/>
      <c r="J2008" s="29"/>
      <c r="K2008" s="29"/>
      <c r="L2008" s="29"/>
      <c r="M2008" s="29"/>
      <c r="N2008" s="29"/>
      <c r="O2008" s="97"/>
    </row>
    <row r="2009" spans="1:15">
      <c r="A2009" s="125"/>
      <c r="B2009" s="127"/>
      <c r="C2009" s="124" t="s">
        <v>300</v>
      </c>
      <c r="D2009" s="114" t="str">
        <f>$A$1875</f>
        <v>2.6.9</v>
      </c>
      <c r="E2009" s="114" t="s">
        <v>558</v>
      </c>
      <c r="F2009" s="12" t="s">
        <v>300</v>
      </c>
      <c r="G2009" s="19"/>
      <c r="H2009" s="28"/>
      <c r="I2009" s="28"/>
      <c r="J2009" s="28"/>
      <c r="K2009" s="28"/>
      <c r="L2009" s="28"/>
      <c r="M2009" s="28"/>
      <c r="N2009" s="28"/>
      <c r="O2009" s="99"/>
    </row>
    <row r="2010" spans="1:15" ht="30">
      <c r="A2010" s="125"/>
      <c r="B2010" s="127"/>
      <c r="C2010" s="125"/>
      <c r="D2010" s="115"/>
      <c r="E2010" s="115"/>
      <c r="F2010" s="11" t="s">
        <v>665</v>
      </c>
      <c r="G2010" s="20" t="s">
        <v>666</v>
      </c>
      <c r="H2010" s="29" t="str">
        <f>VLOOKUP(G2010,'insumos terrapl'!$C$3:$K$47,2,0)</f>
        <v>2Q  66  10  02  00  00  00</v>
      </c>
      <c r="I2010" s="29" t="str">
        <f>VLOOKUP(G2010,'insumos terrapl'!$C$3:$K$47,3,0)</f>
        <v>2Q</v>
      </c>
      <c r="J2010" s="29">
        <f>VLOOKUP(G2010,'insumos terrapl'!$C$3:$K$47,4,0)</f>
        <v>66</v>
      </c>
      <c r="K2010" s="29" t="str">
        <f>VLOOKUP(G2010,'insumos terrapl'!$C$3:$K$47,5,0)</f>
        <v>10</v>
      </c>
      <c r="L2010" s="29" t="str">
        <f>VLOOKUP(G2010,'insumos terrapl'!$C$3:$K$47,6,0)</f>
        <v>02</v>
      </c>
      <c r="M2010" s="29" t="str">
        <f>VLOOKUP(G2010,'insumos terrapl'!$C$3:$K$47,7,0)</f>
        <v>00</v>
      </c>
      <c r="N2010" s="29" t="str">
        <f>VLOOKUP(G2010,'insumos terrapl'!$C$3:$K$47,8,0)</f>
        <v>00</v>
      </c>
      <c r="O2010" s="97" t="str">
        <f>VLOOKUP(G2010,'insumos terrapl'!$C$3:$K$47,9,0)</f>
        <v>00</v>
      </c>
    </row>
    <row r="2011" spans="1:15" ht="30">
      <c r="A2011" s="125"/>
      <c r="B2011" s="127"/>
      <c r="C2011" s="125"/>
      <c r="D2011" s="115"/>
      <c r="E2011" s="115"/>
      <c r="F2011" s="11" t="s">
        <v>663</v>
      </c>
      <c r="G2011" s="20" t="s">
        <v>664</v>
      </c>
      <c r="H2011" s="29" t="str">
        <f>VLOOKUP(G2011,'insumos terrapl'!$C$3:$K$47,2,0)</f>
        <v>2Q  62  02  18  00  00  00</v>
      </c>
      <c r="I2011" s="29" t="str">
        <f>VLOOKUP(G2011,'insumos terrapl'!$C$3:$K$47,3,0)</f>
        <v>2Q</v>
      </c>
      <c r="J2011" s="29">
        <f>VLOOKUP(G2011,'insumos terrapl'!$C$3:$K$47,4,0)</f>
        <v>62</v>
      </c>
      <c r="K2011" s="29" t="str">
        <f>VLOOKUP(G2011,'insumos terrapl'!$C$3:$K$47,5,0)</f>
        <v>02</v>
      </c>
      <c r="L2011" s="29" t="str">
        <f>VLOOKUP(G2011,'insumos terrapl'!$C$3:$K$47,6,0)</f>
        <v>18</v>
      </c>
      <c r="M2011" s="29" t="str">
        <f>VLOOKUP(G2011,'insumos terrapl'!$C$3:$K$47,7,0)</f>
        <v>00</v>
      </c>
      <c r="N2011" s="29" t="str">
        <f>VLOOKUP(G2011,'insumos terrapl'!$C$3:$K$47,8,0)</f>
        <v>00</v>
      </c>
      <c r="O2011" s="97" t="str">
        <f>VLOOKUP(G2011,'insumos terrapl'!$C$3:$K$47,9,0)</f>
        <v>00</v>
      </c>
    </row>
    <row r="2012" spans="1:15">
      <c r="A2012" s="125"/>
      <c r="B2012" s="127"/>
      <c r="C2012" s="125"/>
      <c r="D2012" s="115"/>
      <c r="E2012" s="115"/>
      <c r="F2012" s="11" t="s">
        <v>588</v>
      </c>
      <c r="G2012" s="20" t="s">
        <v>589</v>
      </c>
      <c r="H2012" s="29" t="str">
        <f>VLOOKUP(G2012,'insumos terrapl'!$C$3:$K$47,2,0)</f>
        <v>2N  20  14  08  00  00  00</v>
      </c>
      <c r="I2012" s="29" t="str">
        <f>VLOOKUP(G2012,'insumos terrapl'!$C$3:$K$47,3,0)</f>
        <v>2N</v>
      </c>
      <c r="J2012" s="29">
        <f>VLOOKUP(G2012,'insumos terrapl'!$C$3:$K$47,4,0)</f>
        <v>20</v>
      </c>
      <c r="K2012" s="29">
        <f>VLOOKUP(G2012,'insumos terrapl'!$C$3:$K$47,5,0)</f>
        <v>14</v>
      </c>
      <c r="L2012" s="29" t="str">
        <f>VLOOKUP(G2012,'insumos terrapl'!$C$3:$K$47,6,0)</f>
        <v>08</v>
      </c>
      <c r="M2012" s="29" t="str">
        <f>VLOOKUP(G2012,'insumos terrapl'!$C$3:$K$47,7,0)</f>
        <v>00</v>
      </c>
      <c r="N2012" s="29" t="str">
        <f>VLOOKUP(G2012,'insumos terrapl'!$C$3:$K$47,8,0)</f>
        <v>00</v>
      </c>
      <c r="O2012" s="97" t="str">
        <f>VLOOKUP(G2012,'insumos terrapl'!$C$3:$K$47,9,0)</f>
        <v>00</v>
      </c>
    </row>
    <row r="2013" spans="1:15">
      <c r="A2013" s="125"/>
      <c r="B2013" s="127"/>
      <c r="C2013" s="132"/>
      <c r="D2013" s="116"/>
      <c r="E2013" s="116"/>
      <c r="F2013" s="13"/>
      <c r="G2013" s="21"/>
      <c r="H2013" s="31"/>
      <c r="I2013" s="31"/>
      <c r="J2013" s="31"/>
      <c r="K2013" s="31"/>
      <c r="L2013" s="31"/>
      <c r="M2013" s="31"/>
      <c r="N2013" s="31"/>
      <c r="O2013" s="98"/>
    </row>
    <row r="2014" spans="1:15">
      <c r="A2014" s="125"/>
      <c r="B2014" s="127"/>
      <c r="C2014" s="125" t="s">
        <v>301</v>
      </c>
      <c r="D2014" s="114" t="str">
        <f>$A$1875</f>
        <v>2.6.9</v>
      </c>
      <c r="E2014" s="115" t="s">
        <v>559</v>
      </c>
      <c r="F2014" s="11" t="s">
        <v>301</v>
      </c>
      <c r="G2014" s="20"/>
      <c r="H2014" s="29"/>
      <c r="I2014" s="29"/>
      <c r="J2014" s="29"/>
      <c r="K2014" s="29"/>
      <c r="L2014" s="29"/>
      <c r="M2014" s="29"/>
      <c r="N2014" s="29"/>
      <c r="O2014" s="97"/>
    </row>
    <row r="2015" spans="1:15" ht="30">
      <c r="A2015" s="125"/>
      <c r="B2015" s="127"/>
      <c r="C2015" s="125"/>
      <c r="D2015" s="115"/>
      <c r="E2015" s="115"/>
      <c r="F2015" s="11" t="s">
        <v>665</v>
      </c>
      <c r="G2015" s="20" t="s">
        <v>666</v>
      </c>
      <c r="H2015" s="29" t="str">
        <f>VLOOKUP(G2015,'insumos terrapl'!$C$3:$K$47,2,0)</f>
        <v>2Q  66  10  02  00  00  00</v>
      </c>
      <c r="I2015" s="29" t="str">
        <f>VLOOKUP(G2015,'insumos terrapl'!$C$3:$K$47,3,0)</f>
        <v>2Q</v>
      </c>
      <c r="J2015" s="29">
        <f>VLOOKUP(G2015,'insumos terrapl'!$C$3:$K$47,4,0)</f>
        <v>66</v>
      </c>
      <c r="K2015" s="29" t="str">
        <f>VLOOKUP(G2015,'insumos terrapl'!$C$3:$K$47,5,0)</f>
        <v>10</v>
      </c>
      <c r="L2015" s="29" t="str">
        <f>VLOOKUP(G2015,'insumos terrapl'!$C$3:$K$47,6,0)</f>
        <v>02</v>
      </c>
      <c r="M2015" s="29" t="str">
        <f>VLOOKUP(G2015,'insumos terrapl'!$C$3:$K$47,7,0)</f>
        <v>00</v>
      </c>
      <c r="N2015" s="29" t="str">
        <f>VLOOKUP(G2015,'insumos terrapl'!$C$3:$K$47,8,0)</f>
        <v>00</v>
      </c>
      <c r="O2015" s="97" t="str">
        <f>VLOOKUP(G2015,'insumos terrapl'!$C$3:$K$47,9,0)</f>
        <v>00</v>
      </c>
    </row>
    <row r="2016" spans="1:15" ht="30">
      <c r="A2016" s="125"/>
      <c r="B2016" s="127"/>
      <c r="C2016" s="125"/>
      <c r="D2016" s="115"/>
      <c r="E2016" s="115"/>
      <c r="F2016" s="11" t="s">
        <v>663</v>
      </c>
      <c r="G2016" s="20" t="s">
        <v>664</v>
      </c>
      <c r="H2016" s="29" t="str">
        <f>VLOOKUP(G2016,'insumos terrapl'!$C$3:$K$47,2,0)</f>
        <v>2Q  62  02  18  00  00  00</v>
      </c>
      <c r="I2016" s="29" t="str">
        <f>VLOOKUP(G2016,'insumos terrapl'!$C$3:$K$47,3,0)</f>
        <v>2Q</v>
      </c>
      <c r="J2016" s="29">
        <f>VLOOKUP(G2016,'insumos terrapl'!$C$3:$K$47,4,0)</f>
        <v>62</v>
      </c>
      <c r="K2016" s="29" t="str">
        <f>VLOOKUP(G2016,'insumos terrapl'!$C$3:$K$47,5,0)</f>
        <v>02</v>
      </c>
      <c r="L2016" s="29" t="str">
        <f>VLOOKUP(G2016,'insumos terrapl'!$C$3:$K$47,6,0)</f>
        <v>18</v>
      </c>
      <c r="M2016" s="29" t="str">
        <f>VLOOKUP(G2016,'insumos terrapl'!$C$3:$K$47,7,0)</f>
        <v>00</v>
      </c>
      <c r="N2016" s="29" t="str">
        <f>VLOOKUP(G2016,'insumos terrapl'!$C$3:$K$47,8,0)</f>
        <v>00</v>
      </c>
      <c r="O2016" s="97" t="str">
        <f>VLOOKUP(G2016,'insumos terrapl'!$C$3:$K$47,9,0)</f>
        <v>00</v>
      </c>
    </row>
    <row r="2017" spans="1:15">
      <c r="A2017" s="125"/>
      <c r="B2017" s="127"/>
      <c r="C2017" s="125"/>
      <c r="D2017" s="115"/>
      <c r="E2017" s="115"/>
      <c r="F2017" s="11" t="s">
        <v>588</v>
      </c>
      <c r="G2017" s="20" t="s">
        <v>589</v>
      </c>
      <c r="H2017" s="29" t="str">
        <f>VLOOKUP(G2017,'insumos terrapl'!$C$3:$K$47,2,0)</f>
        <v>2N  20  14  08  00  00  00</v>
      </c>
      <c r="I2017" s="29" t="str">
        <f>VLOOKUP(G2017,'insumos terrapl'!$C$3:$K$47,3,0)</f>
        <v>2N</v>
      </c>
      <c r="J2017" s="29">
        <f>VLOOKUP(G2017,'insumos terrapl'!$C$3:$K$47,4,0)</f>
        <v>20</v>
      </c>
      <c r="K2017" s="29">
        <f>VLOOKUP(G2017,'insumos terrapl'!$C$3:$K$47,5,0)</f>
        <v>14</v>
      </c>
      <c r="L2017" s="29" t="str">
        <f>VLOOKUP(G2017,'insumos terrapl'!$C$3:$K$47,6,0)</f>
        <v>08</v>
      </c>
      <c r="M2017" s="29" t="str">
        <f>VLOOKUP(G2017,'insumos terrapl'!$C$3:$K$47,7,0)</f>
        <v>00</v>
      </c>
      <c r="N2017" s="29" t="str">
        <f>VLOOKUP(G2017,'insumos terrapl'!$C$3:$K$47,8,0)</f>
        <v>00</v>
      </c>
      <c r="O2017" s="97" t="str">
        <f>VLOOKUP(G2017,'insumos terrapl'!$C$3:$K$47,9,0)</f>
        <v>00</v>
      </c>
    </row>
    <row r="2018" spans="1:15">
      <c r="A2018" s="125"/>
      <c r="B2018" s="127"/>
      <c r="C2018" s="125"/>
      <c r="D2018" s="116"/>
      <c r="E2018" s="115"/>
      <c r="F2018" s="10"/>
      <c r="G2018" s="20"/>
      <c r="H2018" s="29"/>
      <c r="I2018" s="29"/>
      <c r="J2018" s="29"/>
      <c r="K2018" s="29"/>
      <c r="L2018" s="29"/>
      <c r="M2018" s="29"/>
      <c r="N2018" s="29"/>
      <c r="O2018" s="97"/>
    </row>
    <row r="2019" spans="1:15">
      <c r="A2019" s="125"/>
      <c r="B2019" s="127"/>
      <c r="C2019" s="124" t="s">
        <v>302</v>
      </c>
      <c r="D2019" s="114" t="str">
        <f>$A$1875</f>
        <v>2.6.9</v>
      </c>
      <c r="E2019" s="114" t="s">
        <v>560</v>
      </c>
      <c r="F2019" s="12" t="s">
        <v>302</v>
      </c>
      <c r="G2019" s="19"/>
      <c r="H2019" s="28"/>
      <c r="I2019" s="28"/>
      <c r="J2019" s="28"/>
      <c r="K2019" s="28"/>
      <c r="L2019" s="28"/>
      <c r="M2019" s="28"/>
      <c r="N2019" s="28"/>
      <c r="O2019" s="99"/>
    </row>
    <row r="2020" spans="1:15" ht="30">
      <c r="A2020" s="125"/>
      <c r="B2020" s="127"/>
      <c r="C2020" s="125"/>
      <c r="D2020" s="115"/>
      <c r="E2020" s="115"/>
      <c r="F2020" s="11" t="s">
        <v>665</v>
      </c>
      <c r="G2020" s="20" t="s">
        <v>666</v>
      </c>
      <c r="H2020" s="29" t="str">
        <f>VLOOKUP(G2020,'insumos terrapl'!$C$3:$K$47,2,0)</f>
        <v>2Q  66  10  02  00  00  00</v>
      </c>
      <c r="I2020" s="29" t="str">
        <f>VLOOKUP(G2020,'insumos terrapl'!$C$3:$K$47,3,0)</f>
        <v>2Q</v>
      </c>
      <c r="J2020" s="29">
        <f>VLOOKUP(G2020,'insumos terrapl'!$C$3:$K$47,4,0)</f>
        <v>66</v>
      </c>
      <c r="K2020" s="29" t="str">
        <f>VLOOKUP(G2020,'insumos terrapl'!$C$3:$K$47,5,0)</f>
        <v>10</v>
      </c>
      <c r="L2020" s="29" t="str">
        <f>VLOOKUP(G2020,'insumos terrapl'!$C$3:$K$47,6,0)</f>
        <v>02</v>
      </c>
      <c r="M2020" s="29" t="str">
        <f>VLOOKUP(G2020,'insumos terrapl'!$C$3:$K$47,7,0)</f>
        <v>00</v>
      </c>
      <c r="N2020" s="29" t="str">
        <f>VLOOKUP(G2020,'insumos terrapl'!$C$3:$K$47,8,0)</f>
        <v>00</v>
      </c>
      <c r="O2020" s="97" t="str">
        <f>VLOOKUP(G2020,'insumos terrapl'!$C$3:$K$47,9,0)</f>
        <v>00</v>
      </c>
    </row>
    <row r="2021" spans="1:15" ht="30">
      <c r="A2021" s="125"/>
      <c r="B2021" s="127"/>
      <c r="C2021" s="125"/>
      <c r="D2021" s="115"/>
      <c r="E2021" s="115"/>
      <c r="F2021" s="11" t="s">
        <v>663</v>
      </c>
      <c r="G2021" s="20" t="s">
        <v>664</v>
      </c>
      <c r="H2021" s="29" t="str">
        <f>VLOOKUP(G2021,'insumos terrapl'!$C$3:$K$47,2,0)</f>
        <v>2Q  62  02  18  00  00  00</v>
      </c>
      <c r="I2021" s="29" t="str">
        <f>VLOOKUP(G2021,'insumos terrapl'!$C$3:$K$47,3,0)</f>
        <v>2Q</v>
      </c>
      <c r="J2021" s="29">
        <f>VLOOKUP(G2021,'insumos terrapl'!$C$3:$K$47,4,0)</f>
        <v>62</v>
      </c>
      <c r="K2021" s="29" t="str">
        <f>VLOOKUP(G2021,'insumos terrapl'!$C$3:$K$47,5,0)</f>
        <v>02</v>
      </c>
      <c r="L2021" s="29" t="str">
        <f>VLOOKUP(G2021,'insumos terrapl'!$C$3:$K$47,6,0)</f>
        <v>18</v>
      </c>
      <c r="M2021" s="29" t="str">
        <f>VLOOKUP(G2021,'insumos terrapl'!$C$3:$K$47,7,0)</f>
        <v>00</v>
      </c>
      <c r="N2021" s="29" t="str">
        <f>VLOOKUP(G2021,'insumos terrapl'!$C$3:$K$47,8,0)</f>
        <v>00</v>
      </c>
      <c r="O2021" s="97" t="str">
        <f>VLOOKUP(G2021,'insumos terrapl'!$C$3:$K$47,9,0)</f>
        <v>00</v>
      </c>
    </row>
    <row r="2022" spans="1:15">
      <c r="A2022" s="125"/>
      <c r="B2022" s="127"/>
      <c r="C2022" s="125"/>
      <c r="D2022" s="115"/>
      <c r="E2022" s="115"/>
      <c r="F2022" s="11" t="s">
        <v>588</v>
      </c>
      <c r="G2022" s="20" t="s">
        <v>589</v>
      </c>
      <c r="H2022" s="29" t="str">
        <f>VLOOKUP(G2022,'insumos terrapl'!$C$3:$K$47,2,0)</f>
        <v>2N  20  14  08  00  00  00</v>
      </c>
      <c r="I2022" s="29" t="str">
        <f>VLOOKUP(G2022,'insumos terrapl'!$C$3:$K$47,3,0)</f>
        <v>2N</v>
      </c>
      <c r="J2022" s="29">
        <f>VLOOKUP(G2022,'insumos terrapl'!$C$3:$K$47,4,0)</f>
        <v>20</v>
      </c>
      <c r="K2022" s="29">
        <f>VLOOKUP(G2022,'insumos terrapl'!$C$3:$K$47,5,0)</f>
        <v>14</v>
      </c>
      <c r="L2022" s="29" t="str">
        <f>VLOOKUP(G2022,'insumos terrapl'!$C$3:$K$47,6,0)</f>
        <v>08</v>
      </c>
      <c r="M2022" s="29" t="str">
        <f>VLOOKUP(G2022,'insumos terrapl'!$C$3:$K$47,7,0)</f>
        <v>00</v>
      </c>
      <c r="N2022" s="29" t="str">
        <f>VLOOKUP(G2022,'insumos terrapl'!$C$3:$K$47,8,0)</f>
        <v>00</v>
      </c>
      <c r="O2022" s="97" t="str">
        <f>VLOOKUP(G2022,'insumos terrapl'!$C$3:$K$47,9,0)</f>
        <v>00</v>
      </c>
    </row>
    <row r="2023" spans="1:15">
      <c r="A2023" s="125"/>
      <c r="B2023" s="127"/>
      <c r="C2023" s="132"/>
      <c r="D2023" s="116"/>
      <c r="E2023" s="116"/>
      <c r="F2023" s="13"/>
      <c r="G2023" s="21"/>
      <c r="H2023" s="31"/>
      <c r="I2023" s="31"/>
      <c r="J2023" s="31"/>
      <c r="K2023" s="31"/>
      <c r="L2023" s="31"/>
      <c r="M2023" s="31"/>
      <c r="N2023" s="31"/>
      <c r="O2023" s="98"/>
    </row>
    <row r="2024" spans="1:15">
      <c r="A2024" s="125"/>
      <c r="B2024" s="127"/>
      <c r="C2024" s="125" t="s">
        <v>303</v>
      </c>
      <c r="D2024" s="114" t="str">
        <f>$A$1875</f>
        <v>2.6.9</v>
      </c>
      <c r="E2024" s="115" t="s">
        <v>561</v>
      </c>
      <c r="F2024" s="11" t="s">
        <v>303</v>
      </c>
      <c r="G2024" s="20"/>
      <c r="H2024" s="29"/>
      <c r="I2024" s="29"/>
      <c r="J2024" s="29"/>
      <c r="K2024" s="29"/>
      <c r="L2024" s="29"/>
      <c r="M2024" s="29"/>
      <c r="N2024" s="29"/>
      <c r="O2024" s="97"/>
    </row>
    <row r="2025" spans="1:15" ht="30">
      <c r="A2025" s="125"/>
      <c r="B2025" s="127"/>
      <c r="C2025" s="125"/>
      <c r="D2025" s="115"/>
      <c r="E2025" s="115"/>
      <c r="F2025" s="11" t="s">
        <v>665</v>
      </c>
      <c r="G2025" s="20" t="s">
        <v>666</v>
      </c>
      <c r="H2025" s="29" t="str">
        <f>VLOOKUP(G2025,'insumos terrapl'!$C$3:$K$47,2,0)</f>
        <v>2Q  66  10  02  00  00  00</v>
      </c>
      <c r="I2025" s="29" t="str">
        <f>VLOOKUP(G2025,'insumos terrapl'!$C$3:$K$47,3,0)</f>
        <v>2Q</v>
      </c>
      <c r="J2025" s="29">
        <f>VLOOKUP(G2025,'insumos terrapl'!$C$3:$K$47,4,0)</f>
        <v>66</v>
      </c>
      <c r="K2025" s="29" t="str">
        <f>VLOOKUP(G2025,'insumos terrapl'!$C$3:$K$47,5,0)</f>
        <v>10</v>
      </c>
      <c r="L2025" s="29" t="str">
        <f>VLOOKUP(G2025,'insumos terrapl'!$C$3:$K$47,6,0)</f>
        <v>02</v>
      </c>
      <c r="M2025" s="29" t="str">
        <f>VLOOKUP(G2025,'insumos terrapl'!$C$3:$K$47,7,0)</f>
        <v>00</v>
      </c>
      <c r="N2025" s="29" t="str">
        <f>VLOOKUP(G2025,'insumos terrapl'!$C$3:$K$47,8,0)</f>
        <v>00</v>
      </c>
      <c r="O2025" s="97" t="str">
        <f>VLOOKUP(G2025,'insumos terrapl'!$C$3:$K$47,9,0)</f>
        <v>00</v>
      </c>
    </row>
    <row r="2026" spans="1:15" ht="30">
      <c r="A2026" s="125"/>
      <c r="B2026" s="127"/>
      <c r="C2026" s="125"/>
      <c r="D2026" s="115"/>
      <c r="E2026" s="115"/>
      <c r="F2026" s="11" t="s">
        <v>663</v>
      </c>
      <c r="G2026" s="20" t="s">
        <v>664</v>
      </c>
      <c r="H2026" s="29" t="str">
        <f>VLOOKUP(G2026,'insumos terrapl'!$C$3:$K$47,2,0)</f>
        <v>2Q  62  02  18  00  00  00</v>
      </c>
      <c r="I2026" s="29" t="str">
        <f>VLOOKUP(G2026,'insumos terrapl'!$C$3:$K$47,3,0)</f>
        <v>2Q</v>
      </c>
      <c r="J2026" s="29">
        <f>VLOOKUP(G2026,'insumos terrapl'!$C$3:$K$47,4,0)</f>
        <v>62</v>
      </c>
      <c r="K2026" s="29" t="str">
        <f>VLOOKUP(G2026,'insumos terrapl'!$C$3:$K$47,5,0)</f>
        <v>02</v>
      </c>
      <c r="L2026" s="29" t="str">
        <f>VLOOKUP(G2026,'insumos terrapl'!$C$3:$K$47,6,0)</f>
        <v>18</v>
      </c>
      <c r="M2026" s="29" t="str">
        <f>VLOOKUP(G2026,'insumos terrapl'!$C$3:$K$47,7,0)</f>
        <v>00</v>
      </c>
      <c r="N2026" s="29" t="str">
        <f>VLOOKUP(G2026,'insumos terrapl'!$C$3:$K$47,8,0)</f>
        <v>00</v>
      </c>
      <c r="O2026" s="97" t="str">
        <f>VLOOKUP(G2026,'insumos terrapl'!$C$3:$K$47,9,0)</f>
        <v>00</v>
      </c>
    </row>
    <row r="2027" spans="1:15">
      <c r="A2027" s="125"/>
      <c r="B2027" s="127"/>
      <c r="C2027" s="125"/>
      <c r="D2027" s="115"/>
      <c r="E2027" s="115"/>
      <c r="F2027" s="11" t="s">
        <v>588</v>
      </c>
      <c r="G2027" s="20" t="s">
        <v>589</v>
      </c>
      <c r="H2027" s="29" t="str">
        <f>VLOOKUP(G2027,'insumos terrapl'!$C$3:$K$47,2,0)</f>
        <v>2N  20  14  08  00  00  00</v>
      </c>
      <c r="I2027" s="29" t="str">
        <f>VLOOKUP(G2027,'insumos terrapl'!$C$3:$K$47,3,0)</f>
        <v>2N</v>
      </c>
      <c r="J2027" s="29">
        <f>VLOOKUP(G2027,'insumos terrapl'!$C$3:$K$47,4,0)</f>
        <v>20</v>
      </c>
      <c r="K2027" s="29">
        <f>VLOOKUP(G2027,'insumos terrapl'!$C$3:$K$47,5,0)</f>
        <v>14</v>
      </c>
      <c r="L2027" s="29" t="str">
        <f>VLOOKUP(G2027,'insumos terrapl'!$C$3:$K$47,6,0)</f>
        <v>08</v>
      </c>
      <c r="M2027" s="29" t="str">
        <f>VLOOKUP(G2027,'insumos terrapl'!$C$3:$K$47,7,0)</f>
        <v>00</v>
      </c>
      <c r="N2027" s="29" t="str">
        <f>VLOOKUP(G2027,'insumos terrapl'!$C$3:$K$47,8,0)</f>
        <v>00</v>
      </c>
      <c r="O2027" s="97" t="str">
        <f>VLOOKUP(G2027,'insumos terrapl'!$C$3:$K$47,9,0)</f>
        <v>00</v>
      </c>
    </row>
    <row r="2028" spans="1:15">
      <c r="A2028" s="125"/>
      <c r="B2028" s="127"/>
      <c r="C2028" s="125"/>
      <c r="D2028" s="116"/>
      <c r="E2028" s="115"/>
      <c r="F2028" s="10"/>
      <c r="G2028" s="20"/>
      <c r="H2028" s="29"/>
      <c r="I2028" s="29"/>
      <c r="J2028" s="29"/>
      <c r="K2028" s="29"/>
      <c r="L2028" s="29"/>
      <c r="M2028" s="29"/>
      <c r="N2028" s="29"/>
      <c r="O2028" s="97"/>
    </row>
    <row r="2029" spans="1:15">
      <c r="A2029" s="125"/>
      <c r="B2029" s="127"/>
      <c r="C2029" s="124" t="s">
        <v>304</v>
      </c>
      <c r="D2029" s="114" t="str">
        <f>$A$1875</f>
        <v>2.6.9</v>
      </c>
      <c r="E2029" s="114" t="s">
        <v>562</v>
      </c>
      <c r="F2029" s="12" t="s">
        <v>304</v>
      </c>
      <c r="G2029" s="19"/>
      <c r="H2029" s="28"/>
      <c r="I2029" s="28"/>
      <c r="J2029" s="28"/>
      <c r="K2029" s="28"/>
      <c r="L2029" s="28"/>
      <c r="M2029" s="28"/>
      <c r="N2029" s="28"/>
      <c r="O2029" s="99"/>
    </row>
    <row r="2030" spans="1:15" ht="30">
      <c r="A2030" s="125"/>
      <c r="B2030" s="127"/>
      <c r="C2030" s="125"/>
      <c r="D2030" s="115"/>
      <c r="E2030" s="115"/>
      <c r="F2030" s="11" t="s">
        <v>665</v>
      </c>
      <c r="G2030" s="20" t="s">
        <v>666</v>
      </c>
      <c r="H2030" s="29" t="str">
        <f>VLOOKUP(G2030,'insumos terrapl'!$C$3:$K$47,2,0)</f>
        <v>2Q  66  10  02  00  00  00</v>
      </c>
      <c r="I2030" s="29" t="str">
        <f>VLOOKUP(G2030,'insumos terrapl'!$C$3:$K$47,3,0)</f>
        <v>2Q</v>
      </c>
      <c r="J2030" s="29">
        <f>VLOOKUP(G2030,'insumos terrapl'!$C$3:$K$47,4,0)</f>
        <v>66</v>
      </c>
      <c r="K2030" s="29" t="str">
        <f>VLOOKUP(G2030,'insumos terrapl'!$C$3:$K$47,5,0)</f>
        <v>10</v>
      </c>
      <c r="L2030" s="29" t="str">
        <f>VLOOKUP(G2030,'insumos terrapl'!$C$3:$K$47,6,0)</f>
        <v>02</v>
      </c>
      <c r="M2030" s="29" t="str">
        <f>VLOOKUP(G2030,'insumos terrapl'!$C$3:$K$47,7,0)</f>
        <v>00</v>
      </c>
      <c r="N2030" s="29" t="str">
        <f>VLOOKUP(G2030,'insumos terrapl'!$C$3:$K$47,8,0)</f>
        <v>00</v>
      </c>
      <c r="O2030" s="97" t="str">
        <f>VLOOKUP(G2030,'insumos terrapl'!$C$3:$K$47,9,0)</f>
        <v>00</v>
      </c>
    </row>
    <row r="2031" spans="1:15" ht="30">
      <c r="A2031" s="125"/>
      <c r="B2031" s="127"/>
      <c r="C2031" s="125"/>
      <c r="D2031" s="115"/>
      <c r="E2031" s="115"/>
      <c r="F2031" s="11" t="s">
        <v>663</v>
      </c>
      <c r="G2031" s="20" t="s">
        <v>664</v>
      </c>
      <c r="H2031" s="29" t="str">
        <f>VLOOKUP(G2031,'insumos terrapl'!$C$3:$K$47,2,0)</f>
        <v>2Q  62  02  18  00  00  00</v>
      </c>
      <c r="I2031" s="29" t="str">
        <f>VLOOKUP(G2031,'insumos terrapl'!$C$3:$K$47,3,0)</f>
        <v>2Q</v>
      </c>
      <c r="J2031" s="29">
        <f>VLOOKUP(G2031,'insumos terrapl'!$C$3:$K$47,4,0)</f>
        <v>62</v>
      </c>
      <c r="K2031" s="29" t="str">
        <f>VLOOKUP(G2031,'insumos terrapl'!$C$3:$K$47,5,0)</f>
        <v>02</v>
      </c>
      <c r="L2031" s="29" t="str">
        <f>VLOOKUP(G2031,'insumos terrapl'!$C$3:$K$47,6,0)</f>
        <v>18</v>
      </c>
      <c r="M2031" s="29" t="str">
        <f>VLOOKUP(G2031,'insumos terrapl'!$C$3:$K$47,7,0)</f>
        <v>00</v>
      </c>
      <c r="N2031" s="29" t="str">
        <f>VLOOKUP(G2031,'insumos terrapl'!$C$3:$K$47,8,0)</f>
        <v>00</v>
      </c>
      <c r="O2031" s="97" t="str">
        <f>VLOOKUP(G2031,'insumos terrapl'!$C$3:$K$47,9,0)</f>
        <v>00</v>
      </c>
    </row>
    <row r="2032" spans="1:15">
      <c r="A2032" s="125"/>
      <c r="B2032" s="127"/>
      <c r="C2032" s="125"/>
      <c r="D2032" s="115"/>
      <c r="E2032" s="115"/>
      <c r="F2032" s="11" t="s">
        <v>588</v>
      </c>
      <c r="G2032" s="20" t="s">
        <v>589</v>
      </c>
      <c r="H2032" s="29" t="str">
        <f>VLOOKUP(G2032,'insumos terrapl'!$C$3:$K$47,2,0)</f>
        <v>2N  20  14  08  00  00  00</v>
      </c>
      <c r="I2032" s="29" t="str">
        <f>VLOOKUP(G2032,'insumos terrapl'!$C$3:$K$47,3,0)</f>
        <v>2N</v>
      </c>
      <c r="J2032" s="29">
        <f>VLOOKUP(G2032,'insumos terrapl'!$C$3:$K$47,4,0)</f>
        <v>20</v>
      </c>
      <c r="K2032" s="29">
        <f>VLOOKUP(G2032,'insumos terrapl'!$C$3:$K$47,5,0)</f>
        <v>14</v>
      </c>
      <c r="L2032" s="29" t="str">
        <f>VLOOKUP(G2032,'insumos terrapl'!$C$3:$K$47,6,0)</f>
        <v>08</v>
      </c>
      <c r="M2032" s="29" t="str">
        <f>VLOOKUP(G2032,'insumos terrapl'!$C$3:$K$47,7,0)</f>
        <v>00</v>
      </c>
      <c r="N2032" s="29" t="str">
        <f>VLOOKUP(G2032,'insumos terrapl'!$C$3:$K$47,8,0)</f>
        <v>00</v>
      </c>
      <c r="O2032" s="97" t="str">
        <f>VLOOKUP(G2032,'insumos terrapl'!$C$3:$K$47,9,0)</f>
        <v>00</v>
      </c>
    </row>
    <row r="2033" spans="1:15">
      <c r="A2033" s="125"/>
      <c r="B2033" s="127"/>
      <c r="C2033" s="125"/>
      <c r="D2033" s="116"/>
      <c r="E2033" s="115"/>
      <c r="F2033" s="11"/>
      <c r="G2033" s="20"/>
      <c r="H2033" s="29"/>
      <c r="I2033" s="29"/>
      <c r="J2033" s="29"/>
      <c r="K2033" s="29"/>
      <c r="L2033" s="29"/>
      <c r="M2033" s="29"/>
      <c r="N2033" s="29"/>
      <c r="O2033" s="97"/>
    </row>
    <row r="2034" spans="1:15">
      <c r="A2034" s="125"/>
      <c r="B2034" s="127"/>
      <c r="C2034" s="124" t="s">
        <v>305</v>
      </c>
      <c r="D2034" s="114" t="str">
        <f>$A$1875</f>
        <v>2.6.9</v>
      </c>
      <c r="E2034" s="114" t="s">
        <v>563</v>
      </c>
      <c r="F2034" s="12" t="s">
        <v>305</v>
      </c>
      <c r="G2034" s="19"/>
      <c r="H2034" s="28"/>
      <c r="I2034" s="28"/>
      <c r="J2034" s="28"/>
      <c r="K2034" s="28"/>
      <c r="L2034" s="28"/>
      <c r="M2034" s="28"/>
      <c r="N2034" s="28"/>
      <c r="O2034" s="99"/>
    </row>
    <row r="2035" spans="1:15" ht="30">
      <c r="A2035" s="125"/>
      <c r="B2035" s="127"/>
      <c r="C2035" s="125"/>
      <c r="D2035" s="115"/>
      <c r="E2035" s="115"/>
      <c r="F2035" s="11" t="s">
        <v>665</v>
      </c>
      <c r="G2035" s="20" t="s">
        <v>666</v>
      </c>
      <c r="H2035" s="29" t="str">
        <f>VLOOKUP(G2035,'insumos terrapl'!$C$3:$K$47,2,0)</f>
        <v>2Q  66  10  02  00  00  00</v>
      </c>
      <c r="I2035" s="29" t="str">
        <f>VLOOKUP(G2035,'insumos terrapl'!$C$3:$K$47,3,0)</f>
        <v>2Q</v>
      </c>
      <c r="J2035" s="29">
        <f>VLOOKUP(G2035,'insumos terrapl'!$C$3:$K$47,4,0)</f>
        <v>66</v>
      </c>
      <c r="K2035" s="29" t="str">
        <f>VLOOKUP(G2035,'insumos terrapl'!$C$3:$K$47,5,0)</f>
        <v>10</v>
      </c>
      <c r="L2035" s="29" t="str">
        <f>VLOOKUP(G2035,'insumos terrapl'!$C$3:$K$47,6,0)</f>
        <v>02</v>
      </c>
      <c r="M2035" s="29" t="str">
        <f>VLOOKUP(G2035,'insumos terrapl'!$C$3:$K$47,7,0)</f>
        <v>00</v>
      </c>
      <c r="N2035" s="29" t="str">
        <f>VLOOKUP(G2035,'insumos terrapl'!$C$3:$K$47,8,0)</f>
        <v>00</v>
      </c>
      <c r="O2035" s="97" t="str">
        <f>VLOOKUP(G2035,'insumos terrapl'!$C$3:$K$47,9,0)</f>
        <v>00</v>
      </c>
    </row>
    <row r="2036" spans="1:15" ht="30">
      <c r="A2036" s="125"/>
      <c r="B2036" s="127"/>
      <c r="C2036" s="125"/>
      <c r="D2036" s="115"/>
      <c r="E2036" s="115"/>
      <c r="F2036" s="11" t="s">
        <v>663</v>
      </c>
      <c r="G2036" s="20" t="s">
        <v>664</v>
      </c>
      <c r="H2036" s="29" t="str">
        <f>VLOOKUP(G2036,'insumos terrapl'!$C$3:$K$47,2,0)</f>
        <v>2Q  62  02  18  00  00  00</v>
      </c>
      <c r="I2036" s="29" t="str">
        <f>VLOOKUP(G2036,'insumos terrapl'!$C$3:$K$47,3,0)</f>
        <v>2Q</v>
      </c>
      <c r="J2036" s="29">
        <f>VLOOKUP(G2036,'insumos terrapl'!$C$3:$K$47,4,0)</f>
        <v>62</v>
      </c>
      <c r="K2036" s="29" t="str">
        <f>VLOOKUP(G2036,'insumos terrapl'!$C$3:$K$47,5,0)</f>
        <v>02</v>
      </c>
      <c r="L2036" s="29" t="str">
        <f>VLOOKUP(G2036,'insumos terrapl'!$C$3:$K$47,6,0)</f>
        <v>18</v>
      </c>
      <c r="M2036" s="29" t="str">
        <f>VLOOKUP(G2036,'insumos terrapl'!$C$3:$K$47,7,0)</f>
        <v>00</v>
      </c>
      <c r="N2036" s="29" t="str">
        <f>VLOOKUP(G2036,'insumos terrapl'!$C$3:$K$47,8,0)</f>
        <v>00</v>
      </c>
      <c r="O2036" s="97" t="str">
        <f>VLOOKUP(G2036,'insumos terrapl'!$C$3:$K$47,9,0)</f>
        <v>00</v>
      </c>
    </row>
    <row r="2037" spans="1:15">
      <c r="A2037" s="125"/>
      <c r="B2037" s="127"/>
      <c r="C2037" s="125"/>
      <c r="D2037" s="115"/>
      <c r="E2037" s="115"/>
      <c r="F2037" s="11" t="s">
        <v>588</v>
      </c>
      <c r="G2037" s="20" t="s">
        <v>589</v>
      </c>
      <c r="H2037" s="29" t="str">
        <f>VLOOKUP(G2037,'insumos terrapl'!$C$3:$K$47,2,0)</f>
        <v>2N  20  14  08  00  00  00</v>
      </c>
      <c r="I2037" s="29" t="str">
        <f>VLOOKUP(G2037,'insumos terrapl'!$C$3:$K$47,3,0)</f>
        <v>2N</v>
      </c>
      <c r="J2037" s="29">
        <f>VLOOKUP(G2037,'insumos terrapl'!$C$3:$K$47,4,0)</f>
        <v>20</v>
      </c>
      <c r="K2037" s="29">
        <f>VLOOKUP(G2037,'insumos terrapl'!$C$3:$K$47,5,0)</f>
        <v>14</v>
      </c>
      <c r="L2037" s="29" t="str">
        <f>VLOOKUP(G2037,'insumos terrapl'!$C$3:$K$47,6,0)</f>
        <v>08</v>
      </c>
      <c r="M2037" s="29" t="str">
        <f>VLOOKUP(G2037,'insumos terrapl'!$C$3:$K$47,7,0)</f>
        <v>00</v>
      </c>
      <c r="N2037" s="29" t="str">
        <f>VLOOKUP(G2037,'insumos terrapl'!$C$3:$K$47,8,0)</f>
        <v>00</v>
      </c>
      <c r="O2037" s="97" t="str">
        <f>VLOOKUP(G2037,'insumos terrapl'!$C$3:$K$47,9,0)</f>
        <v>00</v>
      </c>
    </row>
    <row r="2038" spans="1:15">
      <c r="A2038" s="125"/>
      <c r="B2038" s="127"/>
      <c r="C2038" s="125"/>
      <c r="D2038" s="116"/>
      <c r="E2038" s="115"/>
      <c r="F2038" s="11"/>
      <c r="G2038" s="20"/>
      <c r="H2038" s="29"/>
      <c r="I2038" s="29"/>
      <c r="J2038" s="29"/>
      <c r="K2038" s="29"/>
      <c r="L2038" s="29"/>
      <c r="M2038" s="29"/>
      <c r="N2038" s="29"/>
      <c r="O2038" s="97"/>
    </row>
    <row r="2039" spans="1:15">
      <c r="A2039" s="125"/>
      <c r="B2039" s="127"/>
      <c r="C2039" s="124" t="s">
        <v>306</v>
      </c>
      <c r="D2039" s="114" t="str">
        <f>$A$1875</f>
        <v>2.6.9</v>
      </c>
      <c r="E2039" s="114" t="s">
        <v>564</v>
      </c>
      <c r="F2039" s="12" t="s">
        <v>306</v>
      </c>
      <c r="G2039" s="19"/>
      <c r="H2039" s="28"/>
      <c r="I2039" s="28"/>
      <c r="J2039" s="28"/>
      <c r="K2039" s="28"/>
      <c r="L2039" s="28"/>
      <c r="M2039" s="28"/>
      <c r="N2039" s="28"/>
      <c r="O2039" s="99"/>
    </row>
    <row r="2040" spans="1:15" ht="30">
      <c r="A2040" s="125"/>
      <c r="B2040" s="127"/>
      <c r="C2040" s="125"/>
      <c r="D2040" s="115"/>
      <c r="E2040" s="115"/>
      <c r="F2040" s="11" t="s">
        <v>665</v>
      </c>
      <c r="G2040" s="20" t="s">
        <v>666</v>
      </c>
      <c r="H2040" s="29" t="str">
        <f>VLOOKUP(G2040,'insumos terrapl'!$C$3:$K$47,2,0)</f>
        <v>2Q  66  10  02  00  00  00</v>
      </c>
      <c r="I2040" s="29" t="str">
        <f>VLOOKUP(G2040,'insumos terrapl'!$C$3:$K$47,3,0)</f>
        <v>2Q</v>
      </c>
      <c r="J2040" s="29">
        <f>VLOOKUP(G2040,'insumos terrapl'!$C$3:$K$47,4,0)</f>
        <v>66</v>
      </c>
      <c r="K2040" s="29" t="str">
        <f>VLOOKUP(G2040,'insumos terrapl'!$C$3:$K$47,5,0)</f>
        <v>10</v>
      </c>
      <c r="L2040" s="29" t="str">
        <f>VLOOKUP(G2040,'insumos terrapl'!$C$3:$K$47,6,0)</f>
        <v>02</v>
      </c>
      <c r="M2040" s="29" t="str">
        <f>VLOOKUP(G2040,'insumos terrapl'!$C$3:$K$47,7,0)</f>
        <v>00</v>
      </c>
      <c r="N2040" s="29" t="str">
        <f>VLOOKUP(G2040,'insumos terrapl'!$C$3:$K$47,8,0)</f>
        <v>00</v>
      </c>
      <c r="O2040" s="97" t="str">
        <f>VLOOKUP(G2040,'insumos terrapl'!$C$3:$K$47,9,0)</f>
        <v>00</v>
      </c>
    </row>
    <row r="2041" spans="1:15" ht="30">
      <c r="A2041" s="125"/>
      <c r="B2041" s="127"/>
      <c r="C2041" s="125"/>
      <c r="D2041" s="115"/>
      <c r="E2041" s="115"/>
      <c r="F2041" s="11" t="s">
        <v>663</v>
      </c>
      <c r="G2041" s="20" t="s">
        <v>664</v>
      </c>
      <c r="H2041" s="29" t="str">
        <f>VLOOKUP(G2041,'insumos terrapl'!$C$3:$K$47,2,0)</f>
        <v>2Q  62  02  18  00  00  00</v>
      </c>
      <c r="I2041" s="29" t="str">
        <f>VLOOKUP(G2041,'insumos terrapl'!$C$3:$K$47,3,0)</f>
        <v>2Q</v>
      </c>
      <c r="J2041" s="29">
        <f>VLOOKUP(G2041,'insumos terrapl'!$C$3:$K$47,4,0)</f>
        <v>62</v>
      </c>
      <c r="K2041" s="29" t="str">
        <f>VLOOKUP(G2041,'insumos terrapl'!$C$3:$K$47,5,0)</f>
        <v>02</v>
      </c>
      <c r="L2041" s="29" t="str">
        <f>VLOOKUP(G2041,'insumos terrapl'!$C$3:$K$47,6,0)</f>
        <v>18</v>
      </c>
      <c r="M2041" s="29" t="str">
        <f>VLOOKUP(G2041,'insumos terrapl'!$C$3:$K$47,7,0)</f>
        <v>00</v>
      </c>
      <c r="N2041" s="29" t="str">
        <f>VLOOKUP(G2041,'insumos terrapl'!$C$3:$K$47,8,0)</f>
        <v>00</v>
      </c>
      <c r="O2041" s="97" t="str">
        <f>VLOOKUP(G2041,'insumos terrapl'!$C$3:$K$47,9,0)</f>
        <v>00</v>
      </c>
    </row>
    <row r="2042" spans="1:15">
      <c r="A2042" s="125"/>
      <c r="B2042" s="127"/>
      <c r="C2042" s="125"/>
      <c r="D2042" s="115"/>
      <c r="E2042" s="115"/>
      <c r="F2042" s="11" t="s">
        <v>588</v>
      </c>
      <c r="G2042" s="20" t="s">
        <v>589</v>
      </c>
      <c r="H2042" s="29" t="str">
        <f>VLOOKUP(G2042,'insumos terrapl'!$C$3:$K$47,2,0)</f>
        <v>2N  20  14  08  00  00  00</v>
      </c>
      <c r="I2042" s="29" t="str">
        <f>VLOOKUP(G2042,'insumos terrapl'!$C$3:$K$47,3,0)</f>
        <v>2N</v>
      </c>
      <c r="J2042" s="29">
        <f>VLOOKUP(G2042,'insumos terrapl'!$C$3:$K$47,4,0)</f>
        <v>20</v>
      </c>
      <c r="K2042" s="29">
        <f>VLOOKUP(G2042,'insumos terrapl'!$C$3:$K$47,5,0)</f>
        <v>14</v>
      </c>
      <c r="L2042" s="29" t="str">
        <f>VLOOKUP(G2042,'insumos terrapl'!$C$3:$K$47,6,0)</f>
        <v>08</v>
      </c>
      <c r="M2042" s="29" t="str">
        <f>VLOOKUP(G2042,'insumos terrapl'!$C$3:$K$47,7,0)</f>
        <v>00</v>
      </c>
      <c r="N2042" s="29" t="str">
        <f>VLOOKUP(G2042,'insumos terrapl'!$C$3:$K$47,8,0)</f>
        <v>00</v>
      </c>
      <c r="O2042" s="97" t="str">
        <f>VLOOKUP(G2042,'insumos terrapl'!$C$3:$K$47,9,0)</f>
        <v>00</v>
      </c>
    </row>
    <row r="2043" spans="1:15">
      <c r="A2043" s="125"/>
      <c r="B2043" s="127"/>
      <c r="C2043" s="132"/>
      <c r="D2043" s="116"/>
      <c r="E2043" s="116"/>
      <c r="F2043" s="13"/>
      <c r="G2043" s="21"/>
      <c r="H2043" s="31"/>
      <c r="I2043" s="31"/>
      <c r="J2043" s="31"/>
      <c r="K2043" s="31"/>
      <c r="L2043" s="31"/>
      <c r="M2043" s="31"/>
      <c r="N2043" s="31"/>
      <c r="O2043" s="98"/>
    </row>
    <row r="2044" spans="1:15">
      <c r="A2044" s="125"/>
      <c r="B2044" s="127"/>
      <c r="C2044" s="125" t="s">
        <v>307</v>
      </c>
      <c r="D2044" s="114" t="str">
        <f>$A$1875</f>
        <v>2.6.9</v>
      </c>
      <c r="E2044" s="115" t="s">
        <v>565</v>
      </c>
      <c r="F2044" s="11" t="s">
        <v>307</v>
      </c>
      <c r="G2044" s="20"/>
      <c r="H2044" s="29"/>
      <c r="I2044" s="29"/>
      <c r="J2044" s="29"/>
      <c r="K2044" s="29"/>
      <c r="L2044" s="29"/>
      <c r="M2044" s="29"/>
      <c r="N2044" s="29"/>
      <c r="O2044" s="97"/>
    </row>
    <row r="2045" spans="1:15" ht="30">
      <c r="A2045" s="125"/>
      <c r="B2045" s="127"/>
      <c r="C2045" s="125"/>
      <c r="D2045" s="115"/>
      <c r="E2045" s="115"/>
      <c r="F2045" s="11" t="s">
        <v>665</v>
      </c>
      <c r="G2045" s="20" t="s">
        <v>666</v>
      </c>
      <c r="H2045" s="29" t="str">
        <f>VLOOKUP(G2045,'insumos terrapl'!$C$3:$K$47,2,0)</f>
        <v>2Q  66  10  02  00  00  00</v>
      </c>
      <c r="I2045" s="29" t="str">
        <f>VLOOKUP(G2045,'insumos terrapl'!$C$3:$K$47,3,0)</f>
        <v>2Q</v>
      </c>
      <c r="J2045" s="29">
        <f>VLOOKUP(G2045,'insumos terrapl'!$C$3:$K$47,4,0)</f>
        <v>66</v>
      </c>
      <c r="K2045" s="29" t="str">
        <f>VLOOKUP(G2045,'insumos terrapl'!$C$3:$K$47,5,0)</f>
        <v>10</v>
      </c>
      <c r="L2045" s="29" t="str">
        <f>VLOOKUP(G2045,'insumos terrapl'!$C$3:$K$47,6,0)</f>
        <v>02</v>
      </c>
      <c r="M2045" s="29" t="str">
        <f>VLOOKUP(G2045,'insumos terrapl'!$C$3:$K$47,7,0)</f>
        <v>00</v>
      </c>
      <c r="N2045" s="29" t="str">
        <f>VLOOKUP(G2045,'insumos terrapl'!$C$3:$K$47,8,0)</f>
        <v>00</v>
      </c>
      <c r="O2045" s="97" t="str">
        <f>VLOOKUP(G2045,'insumos terrapl'!$C$3:$K$47,9,0)</f>
        <v>00</v>
      </c>
    </row>
    <row r="2046" spans="1:15" ht="30">
      <c r="A2046" s="125"/>
      <c r="B2046" s="127"/>
      <c r="C2046" s="125"/>
      <c r="D2046" s="115"/>
      <c r="E2046" s="115"/>
      <c r="F2046" s="11" t="s">
        <v>663</v>
      </c>
      <c r="G2046" s="20" t="s">
        <v>664</v>
      </c>
      <c r="H2046" s="29" t="str">
        <f>VLOOKUP(G2046,'insumos terrapl'!$C$3:$K$47,2,0)</f>
        <v>2Q  62  02  18  00  00  00</v>
      </c>
      <c r="I2046" s="29" t="str">
        <f>VLOOKUP(G2046,'insumos terrapl'!$C$3:$K$47,3,0)</f>
        <v>2Q</v>
      </c>
      <c r="J2046" s="29">
        <f>VLOOKUP(G2046,'insumos terrapl'!$C$3:$K$47,4,0)</f>
        <v>62</v>
      </c>
      <c r="K2046" s="29" t="str">
        <f>VLOOKUP(G2046,'insumos terrapl'!$C$3:$K$47,5,0)</f>
        <v>02</v>
      </c>
      <c r="L2046" s="29" t="str">
        <f>VLOOKUP(G2046,'insumos terrapl'!$C$3:$K$47,6,0)</f>
        <v>18</v>
      </c>
      <c r="M2046" s="29" t="str">
        <f>VLOOKUP(G2046,'insumos terrapl'!$C$3:$K$47,7,0)</f>
        <v>00</v>
      </c>
      <c r="N2046" s="29" t="str">
        <f>VLOOKUP(G2046,'insumos terrapl'!$C$3:$K$47,8,0)</f>
        <v>00</v>
      </c>
      <c r="O2046" s="97" t="str">
        <f>VLOOKUP(G2046,'insumos terrapl'!$C$3:$K$47,9,0)</f>
        <v>00</v>
      </c>
    </row>
    <row r="2047" spans="1:15">
      <c r="A2047" s="125"/>
      <c r="B2047" s="127"/>
      <c r="C2047" s="125"/>
      <c r="D2047" s="115"/>
      <c r="E2047" s="115"/>
      <c r="F2047" s="11" t="s">
        <v>588</v>
      </c>
      <c r="G2047" s="20" t="s">
        <v>589</v>
      </c>
      <c r="H2047" s="29" t="str">
        <f>VLOOKUP(G2047,'insumos terrapl'!$C$3:$K$47,2,0)</f>
        <v>2N  20  14  08  00  00  00</v>
      </c>
      <c r="I2047" s="29" t="str">
        <f>VLOOKUP(G2047,'insumos terrapl'!$C$3:$K$47,3,0)</f>
        <v>2N</v>
      </c>
      <c r="J2047" s="29">
        <f>VLOOKUP(G2047,'insumos terrapl'!$C$3:$K$47,4,0)</f>
        <v>20</v>
      </c>
      <c r="K2047" s="29">
        <f>VLOOKUP(G2047,'insumos terrapl'!$C$3:$K$47,5,0)</f>
        <v>14</v>
      </c>
      <c r="L2047" s="29" t="str">
        <f>VLOOKUP(G2047,'insumos terrapl'!$C$3:$K$47,6,0)</f>
        <v>08</v>
      </c>
      <c r="M2047" s="29" t="str">
        <f>VLOOKUP(G2047,'insumos terrapl'!$C$3:$K$47,7,0)</f>
        <v>00</v>
      </c>
      <c r="N2047" s="29" t="str">
        <f>VLOOKUP(G2047,'insumos terrapl'!$C$3:$K$47,8,0)</f>
        <v>00</v>
      </c>
      <c r="O2047" s="97" t="str">
        <f>VLOOKUP(G2047,'insumos terrapl'!$C$3:$K$47,9,0)</f>
        <v>00</v>
      </c>
    </row>
    <row r="2048" spans="1:15">
      <c r="A2048" s="125"/>
      <c r="B2048" s="127"/>
      <c r="C2048" s="132"/>
      <c r="D2048" s="116"/>
      <c r="E2048" s="116"/>
      <c r="F2048" s="13"/>
      <c r="G2048" s="21"/>
      <c r="H2048" s="31"/>
      <c r="I2048" s="31"/>
      <c r="J2048" s="31"/>
      <c r="K2048" s="31"/>
      <c r="L2048" s="31"/>
      <c r="M2048" s="31"/>
      <c r="N2048" s="31"/>
      <c r="O2048" s="98"/>
    </row>
    <row r="2049" spans="1:15">
      <c r="A2049" s="125"/>
      <c r="B2049" s="127"/>
      <c r="C2049" s="125" t="s">
        <v>308</v>
      </c>
      <c r="D2049" s="114" t="str">
        <f>$A$1875</f>
        <v>2.6.9</v>
      </c>
      <c r="E2049" s="115" t="s">
        <v>566</v>
      </c>
      <c r="F2049" s="11" t="s">
        <v>308</v>
      </c>
      <c r="G2049" s="20"/>
      <c r="H2049" s="29"/>
      <c r="I2049" s="29"/>
      <c r="J2049" s="29"/>
      <c r="K2049" s="29"/>
      <c r="L2049" s="29"/>
      <c r="M2049" s="29"/>
      <c r="N2049" s="29"/>
      <c r="O2049" s="97"/>
    </row>
    <row r="2050" spans="1:15" ht="30">
      <c r="A2050" s="125"/>
      <c r="B2050" s="127"/>
      <c r="C2050" s="125"/>
      <c r="D2050" s="115"/>
      <c r="E2050" s="115"/>
      <c r="F2050" s="11" t="s">
        <v>665</v>
      </c>
      <c r="G2050" s="20" t="s">
        <v>666</v>
      </c>
      <c r="H2050" s="29" t="str">
        <f>VLOOKUP(G2050,'insumos terrapl'!$C$3:$K$47,2,0)</f>
        <v>2Q  66  10  02  00  00  00</v>
      </c>
      <c r="I2050" s="29" t="str">
        <f>VLOOKUP(G2050,'insumos terrapl'!$C$3:$K$47,3,0)</f>
        <v>2Q</v>
      </c>
      <c r="J2050" s="29">
        <f>VLOOKUP(G2050,'insumos terrapl'!$C$3:$K$47,4,0)</f>
        <v>66</v>
      </c>
      <c r="K2050" s="29" t="str">
        <f>VLOOKUP(G2050,'insumos terrapl'!$C$3:$K$47,5,0)</f>
        <v>10</v>
      </c>
      <c r="L2050" s="29" t="str">
        <f>VLOOKUP(G2050,'insumos terrapl'!$C$3:$K$47,6,0)</f>
        <v>02</v>
      </c>
      <c r="M2050" s="29" t="str">
        <f>VLOOKUP(G2050,'insumos terrapl'!$C$3:$K$47,7,0)</f>
        <v>00</v>
      </c>
      <c r="N2050" s="29" t="str">
        <f>VLOOKUP(G2050,'insumos terrapl'!$C$3:$K$47,8,0)</f>
        <v>00</v>
      </c>
      <c r="O2050" s="97" t="str">
        <f>VLOOKUP(G2050,'insumos terrapl'!$C$3:$K$47,9,0)</f>
        <v>00</v>
      </c>
    </row>
    <row r="2051" spans="1:15" ht="30">
      <c r="A2051" s="125"/>
      <c r="B2051" s="127"/>
      <c r="C2051" s="125"/>
      <c r="D2051" s="115"/>
      <c r="E2051" s="115"/>
      <c r="F2051" s="11" t="s">
        <v>663</v>
      </c>
      <c r="G2051" s="20" t="s">
        <v>664</v>
      </c>
      <c r="H2051" s="29" t="str">
        <f>VLOOKUP(G2051,'insumos terrapl'!$C$3:$K$47,2,0)</f>
        <v>2Q  62  02  18  00  00  00</v>
      </c>
      <c r="I2051" s="29" t="str">
        <f>VLOOKUP(G2051,'insumos terrapl'!$C$3:$K$47,3,0)</f>
        <v>2Q</v>
      </c>
      <c r="J2051" s="29">
        <f>VLOOKUP(G2051,'insumos terrapl'!$C$3:$K$47,4,0)</f>
        <v>62</v>
      </c>
      <c r="K2051" s="29" t="str">
        <f>VLOOKUP(G2051,'insumos terrapl'!$C$3:$K$47,5,0)</f>
        <v>02</v>
      </c>
      <c r="L2051" s="29" t="str">
        <f>VLOOKUP(G2051,'insumos terrapl'!$C$3:$K$47,6,0)</f>
        <v>18</v>
      </c>
      <c r="M2051" s="29" t="str">
        <f>VLOOKUP(G2051,'insumos terrapl'!$C$3:$K$47,7,0)</f>
        <v>00</v>
      </c>
      <c r="N2051" s="29" t="str">
        <f>VLOOKUP(G2051,'insumos terrapl'!$C$3:$K$47,8,0)</f>
        <v>00</v>
      </c>
      <c r="O2051" s="97" t="str">
        <f>VLOOKUP(G2051,'insumos terrapl'!$C$3:$K$47,9,0)</f>
        <v>00</v>
      </c>
    </row>
    <row r="2052" spans="1:15">
      <c r="A2052" s="125"/>
      <c r="B2052" s="127"/>
      <c r="C2052" s="125"/>
      <c r="D2052" s="115"/>
      <c r="E2052" s="115"/>
      <c r="F2052" s="11" t="s">
        <v>588</v>
      </c>
      <c r="G2052" s="20" t="s">
        <v>589</v>
      </c>
      <c r="H2052" s="29" t="str">
        <f>VLOOKUP(G2052,'insumos terrapl'!$C$3:$K$47,2,0)</f>
        <v>2N  20  14  08  00  00  00</v>
      </c>
      <c r="I2052" s="29" t="str">
        <f>VLOOKUP(G2052,'insumos terrapl'!$C$3:$K$47,3,0)</f>
        <v>2N</v>
      </c>
      <c r="J2052" s="29">
        <f>VLOOKUP(G2052,'insumos terrapl'!$C$3:$K$47,4,0)</f>
        <v>20</v>
      </c>
      <c r="K2052" s="29">
        <f>VLOOKUP(G2052,'insumos terrapl'!$C$3:$K$47,5,0)</f>
        <v>14</v>
      </c>
      <c r="L2052" s="29" t="str">
        <f>VLOOKUP(G2052,'insumos terrapl'!$C$3:$K$47,6,0)</f>
        <v>08</v>
      </c>
      <c r="M2052" s="29" t="str">
        <f>VLOOKUP(G2052,'insumos terrapl'!$C$3:$K$47,7,0)</f>
        <v>00</v>
      </c>
      <c r="N2052" s="29" t="str">
        <f>VLOOKUP(G2052,'insumos terrapl'!$C$3:$K$47,8,0)</f>
        <v>00</v>
      </c>
      <c r="O2052" s="97" t="str">
        <f>VLOOKUP(G2052,'insumos terrapl'!$C$3:$K$47,9,0)</f>
        <v>00</v>
      </c>
    </row>
    <row r="2053" spans="1:15">
      <c r="A2053" s="125"/>
      <c r="B2053" s="127"/>
      <c r="C2053" s="132"/>
      <c r="D2053" s="116"/>
      <c r="E2053" s="116"/>
      <c r="F2053" s="13"/>
      <c r="G2053" s="21"/>
      <c r="H2053" s="31"/>
      <c r="I2053" s="31"/>
      <c r="J2053" s="31"/>
      <c r="K2053" s="31"/>
      <c r="L2053" s="31"/>
      <c r="M2053" s="31"/>
      <c r="N2053" s="31"/>
      <c r="O2053" s="98"/>
    </row>
    <row r="2054" spans="1:15">
      <c r="A2054" s="125"/>
      <c r="B2054" s="127"/>
      <c r="C2054" s="124" t="s">
        <v>309</v>
      </c>
      <c r="D2054" s="114" t="str">
        <f>$A$1875</f>
        <v>2.6.9</v>
      </c>
      <c r="E2054" s="114" t="s">
        <v>567</v>
      </c>
      <c r="F2054" s="12" t="s">
        <v>309</v>
      </c>
      <c r="G2054" s="19"/>
      <c r="H2054" s="28"/>
      <c r="I2054" s="28"/>
      <c r="J2054" s="28"/>
      <c r="K2054" s="28"/>
      <c r="L2054" s="28"/>
      <c r="M2054" s="28"/>
      <c r="N2054" s="28"/>
      <c r="O2054" s="99"/>
    </row>
    <row r="2055" spans="1:15" ht="30">
      <c r="A2055" s="125"/>
      <c r="B2055" s="127"/>
      <c r="C2055" s="125"/>
      <c r="D2055" s="115"/>
      <c r="E2055" s="115"/>
      <c r="F2055" s="11" t="s">
        <v>665</v>
      </c>
      <c r="G2055" s="20" t="s">
        <v>666</v>
      </c>
      <c r="H2055" s="29" t="str">
        <f>VLOOKUP(G2055,'insumos terrapl'!$C$3:$K$47,2,0)</f>
        <v>2Q  66  10  02  00  00  00</v>
      </c>
      <c r="I2055" s="29" t="str">
        <f>VLOOKUP(G2055,'insumos terrapl'!$C$3:$K$47,3,0)</f>
        <v>2Q</v>
      </c>
      <c r="J2055" s="29">
        <f>VLOOKUP(G2055,'insumos terrapl'!$C$3:$K$47,4,0)</f>
        <v>66</v>
      </c>
      <c r="K2055" s="29" t="str">
        <f>VLOOKUP(G2055,'insumos terrapl'!$C$3:$K$47,5,0)</f>
        <v>10</v>
      </c>
      <c r="L2055" s="29" t="str">
        <f>VLOOKUP(G2055,'insumos terrapl'!$C$3:$K$47,6,0)</f>
        <v>02</v>
      </c>
      <c r="M2055" s="29" t="str">
        <f>VLOOKUP(G2055,'insumos terrapl'!$C$3:$K$47,7,0)</f>
        <v>00</v>
      </c>
      <c r="N2055" s="29" t="str">
        <f>VLOOKUP(G2055,'insumos terrapl'!$C$3:$K$47,8,0)</f>
        <v>00</v>
      </c>
      <c r="O2055" s="97" t="str">
        <f>VLOOKUP(G2055,'insumos terrapl'!$C$3:$K$47,9,0)</f>
        <v>00</v>
      </c>
    </row>
    <row r="2056" spans="1:15" ht="30">
      <c r="A2056" s="125"/>
      <c r="B2056" s="127"/>
      <c r="C2056" s="125"/>
      <c r="D2056" s="115"/>
      <c r="E2056" s="115"/>
      <c r="F2056" s="11" t="s">
        <v>663</v>
      </c>
      <c r="G2056" s="20" t="s">
        <v>664</v>
      </c>
      <c r="H2056" s="29" t="str">
        <f>VLOOKUP(G2056,'insumos terrapl'!$C$3:$K$47,2,0)</f>
        <v>2Q  62  02  18  00  00  00</v>
      </c>
      <c r="I2056" s="29" t="str">
        <f>VLOOKUP(G2056,'insumos terrapl'!$C$3:$K$47,3,0)</f>
        <v>2Q</v>
      </c>
      <c r="J2056" s="29">
        <f>VLOOKUP(G2056,'insumos terrapl'!$C$3:$K$47,4,0)</f>
        <v>62</v>
      </c>
      <c r="K2056" s="29" t="str">
        <f>VLOOKUP(G2056,'insumos terrapl'!$C$3:$K$47,5,0)</f>
        <v>02</v>
      </c>
      <c r="L2056" s="29" t="str">
        <f>VLOOKUP(G2056,'insumos terrapl'!$C$3:$K$47,6,0)</f>
        <v>18</v>
      </c>
      <c r="M2056" s="29" t="str">
        <f>VLOOKUP(G2056,'insumos terrapl'!$C$3:$K$47,7,0)</f>
        <v>00</v>
      </c>
      <c r="N2056" s="29" t="str">
        <f>VLOOKUP(G2056,'insumos terrapl'!$C$3:$K$47,8,0)</f>
        <v>00</v>
      </c>
      <c r="O2056" s="97" t="str">
        <f>VLOOKUP(G2056,'insumos terrapl'!$C$3:$K$47,9,0)</f>
        <v>00</v>
      </c>
    </row>
    <row r="2057" spans="1:15">
      <c r="A2057" s="125"/>
      <c r="B2057" s="127"/>
      <c r="C2057" s="125"/>
      <c r="D2057" s="115"/>
      <c r="E2057" s="115"/>
      <c r="F2057" s="11" t="s">
        <v>588</v>
      </c>
      <c r="G2057" s="20" t="s">
        <v>589</v>
      </c>
      <c r="H2057" s="29" t="str">
        <f>VLOOKUP(G2057,'insumos terrapl'!$C$3:$K$47,2,0)</f>
        <v>2N  20  14  08  00  00  00</v>
      </c>
      <c r="I2057" s="29" t="str">
        <f>VLOOKUP(G2057,'insumos terrapl'!$C$3:$K$47,3,0)</f>
        <v>2N</v>
      </c>
      <c r="J2057" s="29">
        <f>VLOOKUP(G2057,'insumos terrapl'!$C$3:$K$47,4,0)</f>
        <v>20</v>
      </c>
      <c r="K2057" s="29">
        <f>VLOOKUP(G2057,'insumos terrapl'!$C$3:$K$47,5,0)</f>
        <v>14</v>
      </c>
      <c r="L2057" s="29" t="str">
        <f>VLOOKUP(G2057,'insumos terrapl'!$C$3:$K$47,6,0)</f>
        <v>08</v>
      </c>
      <c r="M2057" s="29" t="str">
        <f>VLOOKUP(G2057,'insumos terrapl'!$C$3:$K$47,7,0)</f>
        <v>00</v>
      </c>
      <c r="N2057" s="29" t="str">
        <f>VLOOKUP(G2057,'insumos terrapl'!$C$3:$K$47,8,0)</f>
        <v>00</v>
      </c>
      <c r="O2057" s="97" t="str">
        <f>VLOOKUP(G2057,'insumos terrapl'!$C$3:$K$47,9,0)</f>
        <v>00</v>
      </c>
    </row>
    <row r="2058" spans="1:15">
      <c r="A2058" s="125"/>
      <c r="B2058" s="127"/>
      <c r="C2058" s="132"/>
      <c r="D2058" s="116"/>
      <c r="E2058" s="116"/>
      <c r="F2058" s="13"/>
      <c r="G2058" s="21"/>
      <c r="H2058" s="31"/>
      <c r="I2058" s="31"/>
      <c r="J2058" s="31"/>
      <c r="K2058" s="31"/>
      <c r="L2058" s="31"/>
      <c r="M2058" s="31"/>
      <c r="N2058" s="31"/>
      <c r="O2058" s="98"/>
    </row>
    <row r="2059" spans="1:15">
      <c r="A2059" s="125"/>
      <c r="B2059" s="127"/>
      <c r="C2059" s="125" t="s">
        <v>310</v>
      </c>
      <c r="D2059" s="114" t="str">
        <f>$A$1875</f>
        <v>2.6.9</v>
      </c>
      <c r="E2059" s="115" t="s">
        <v>568</v>
      </c>
      <c r="F2059" s="11" t="s">
        <v>310</v>
      </c>
      <c r="G2059" s="20"/>
      <c r="H2059" s="29"/>
      <c r="I2059" s="29"/>
      <c r="J2059" s="29"/>
      <c r="K2059" s="29"/>
      <c r="L2059" s="29"/>
      <c r="M2059" s="29"/>
      <c r="N2059" s="29"/>
      <c r="O2059" s="97"/>
    </row>
    <row r="2060" spans="1:15" ht="30">
      <c r="A2060" s="125"/>
      <c r="B2060" s="127"/>
      <c r="C2060" s="125"/>
      <c r="D2060" s="115"/>
      <c r="E2060" s="115"/>
      <c r="F2060" s="11" t="s">
        <v>665</v>
      </c>
      <c r="G2060" s="20" t="s">
        <v>666</v>
      </c>
      <c r="H2060" s="29" t="str">
        <f>VLOOKUP(G2060,'insumos terrapl'!$C$3:$K$47,2,0)</f>
        <v>2Q  66  10  02  00  00  00</v>
      </c>
      <c r="I2060" s="29" t="str">
        <f>VLOOKUP(G2060,'insumos terrapl'!$C$3:$K$47,3,0)</f>
        <v>2Q</v>
      </c>
      <c r="J2060" s="29">
        <f>VLOOKUP(G2060,'insumos terrapl'!$C$3:$K$47,4,0)</f>
        <v>66</v>
      </c>
      <c r="K2060" s="29" t="str">
        <f>VLOOKUP(G2060,'insumos terrapl'!$C$3:$K$47,5,0)</f>
        <v>10</v>
      </c>
      <c r="L2060" s="29" t="str">
        <f>VLOOKUP(G2060,'insumos terrapl'!$C$3:$K$47,6,0)</f>
        <v>02</v>
      </c>
      <c r="M2060" s="29" t="str">
        <f>VLOOKUP(G2060,'insumos terrapl'!$C$3:$K$47,7,0)</f>
        <v>00</v>
      </c>
      <c r="N2060" s="29" t="str">
        <f>VLOOKUP(G2060,'insumos terrapl'!$C$3:$K$47,8,0)</f>
        <v>00</v>
      </c>
      <c r="O2060" s="97" t="str">
        <f>VLOOKUP(G2060,'insumos terrapl'!$C$3:$K$47,9,0)</f>
        <v>00</v>
      </c>
    </row>
    <row r="2061" spans="1:15" ht="30">
      <c r="A2061" s="125"/>
      <c r="B2061" s="127"/>
      <c r="C2061" s="125"/>
      <c r="D2061" s="115"/>
      <c r="E2061" s="115"/>
      <c r="F2061" s="11" t="s">
        <v>663</v>
      </c>
      <c r="G2061" s="20" t="s">
        <v>664</v>
      </c>
      <c r="H2061" s="29" t="str">
        <f>VLOOKUP(G2061,'insumos terrapl'!$C$3:$K$47,2,0)</f>
        <v>2Q  62  02  18  00  00  00</v>
      </c>
      <c r="I2061" s="29" t="str">
        <f>VLOOKUP(G2061,'insumos terrapl'!$C$3:$K$47,3,0)</f>
        <v>2Q</v>
      </c>
      <c r="J2061" s="29">
        <f>VLOOKUP(G2061,'insumos terrapl'!$C$3:$K$47,4,0)</f>
        <v>62</v>
      </c>
      <c r="K2061" s="29" t="str">
        <f>VLOOKUP(G2061,'insumos terrapl'!$C$3:$K$47,5,0)</f>
        <v>02</v>
      </c>
      <c r="L2061" s="29" t="str">
        <f>VLOOKUP(G2061,'insumos terrapl'!$C$3:$K$47,6,0)</f>
        <v>18</v>
      </c>
      <c r="M2061" s="29" t="str">
        <f>VLOOKUP(G2061,'insumos terrapl'!$C$3:$K$47,7,0)</f>
        <v>00</v>
      </c>
      <c r="N2061" s="29" t="str">
        <f>VLOOKUP(G2061,'insumos terrapl'!$C$3:$K$47,8,0)</f>
        <v>00</v>
      </c>
      <c r="O2061" s="97" t="str">
        <f>VLOOKUP(G2061,'insumos terrapl'!$C$3:$K$47,9,0)</f>
        <v>00</v>
      </c>
    </row>
    <row r="2062" spans="1:15">
      <c r="A2062" s="125"/>
      <c r="B2062" s="127"/>
      <c r="C2062" s="125"/>
      <c r="D2062" s="115"/>
      <c r="E2062" s="115"/>
      <c r="F2062" s="11" t="s">
        <v>588</v>
      </c>
      <c r="G2062" s="20" t="s">
        <v>589</v>
      </c>
      <c r="H2062" s="29" t="str">
        <f>VLOOKUP(G2062,'insumos terrapl'!$C$3:$K$47,2,0)</f>
        <v>2N  20  14  08  00  00  00</v>
      </c>
      <c r="I2062" s="29" t="str">
        <f>VLOOKUP(G2062,'insumos terrapl'!$C$3:$K$47,3,0)</f>
        <v>2N</v>
      </c>
      <c r="J2062" s="29">
        <f>VLOOKUP(G2062,'insumos terrapl'!$C$3:$K$47,4,0)</f>
        <v>20</v>
      </c>
      <c r="K2062" s="29">
        <f>VLOOKUP(G2062,'insumos terrapl'!$C$3:$K$47,5,0)</f>
        <v>14</v>
      </c>
      <c r="L2062" s="29" t="str">
        <f>VLOOKUP(G2062,'insumos terrapl'!$C$3:$K$47,6,0)</f>
        <v>08</v>
      </c>
      <c r="M2062" s="29" t="str">
        <f>VLOOKUP(G2062,'insumos terrapl'!$C$3:$K$47,7,0)</f>
        <v>00</v>
      </c>
      <c r="N2062" s="29" t="str">
        <f>VLOOKUP(G2062,'insumos terrapl'!$C$3:$K$47,8,0)</f>
        <v>00</v>
      </c>
      <c r="O2062" s="97" t="str">
        <f>VLOOKUP(G2062,'insumos terrapl'!$C$3:$K$47,9,0)</f>
        <v>00</v>
      </c>
    </row>
    <row r="2063" spans="1:15">
      <c r="A2063" s="125"/>
      <c r="B2063" s="127"/>
      <c r="C2063" s="125"/>
      <c r="D2063" s="116"/>
      <c r="E2063" s="115"/>
      <c r="F2063" s="10"/>
      <c r="G2063" s="20"/>
      <c r="H2063" s="29"/>
      <c r="I2063" s="29"/>
      <c r="J2063" s="29"/>
      <c r="K2063" s="29"/>
      <c r="L2063" s="29"/>
      <c r="M2063" s="29"/>
      <c r="N2063" s="29"/>
      <c r="O2063" s="97"/>
    </row>
    <row r="2064" spans="1:15">
      <c r="A2064" s="125"/>
      <c r="B2064" s="127"/>
      <c r="C2064" s="124" t="s">
        <v>311</v>
      </c>
      <c r="D2064" s="114" t="str">
        <f>$A$1875</f>
        <v>2.6.9</v>
      </c>
      <c r="E2064" s="114" t="s">
        <v>569</v>
      </c>
      <c r="F2064" s="12" t="s">
        <v>311</v>
      </c>
      <c r="G2064" s="19"/>
      <c r="H2064" s="28"/>
      <c r="I2064" s="28"/>
      <c r="J2064" s="28"/>
      <c r="K2064" s="28"/>
      <c r="L2064" s="28"/>
      <c r="M2064" s="28"/>
      <c r="N2064" s="28"/>
      <c r="O2064" s="99"/>
    </row>
    <row r="2065" spans="1:15" ht="30">
      <c r="A2065" s="125"/>
      <c r="B2065" s="127"/>
      <c r="C2065" s="125"/>
      <c r="D2065" s="115"/>
      <c r="E2065" s="115"/>
      <c r="F2065" s="11" t="s">
        <v>665</v>
      </c>
      <c r="G2065" s="20" t="s">
        <v>666</v>
      </c>
      <c r="H2065" s="29" t="str">
        <f>VLOOKUP(G2065,'insumos terrapl'!$C$3:$K$47,2,0)</f>
        <v>2Q  66  10  02  00  00  00</v>
      </c>
      <c r="I2065" s="29" t="str">
        <f>VLOOKUP(G2065,'insumos terrapl'!$C$3:$K$47,3,0)</f>
        <v>2Q</v>
      </c>
      <c r="J2065" s="29">
        <f>VLOOKUP(G2065,'insumos terrapl'!$C$3:$K$47,4,0)</f>
        <v>66</v>
      </c>
      <c r="K2065" s="29" t="str">
        <f>VLOOKUP(G2065,'insumos terrapl'!$C$3:$K$47,5,0)</f>
        <v>10</v>
      </c>
      <c r="L2065" s="29" t="str">
        <f>VLOOKUP(G2065,'insumos terrapl'!$C$3:$K$47,6,0)</f>
        <v>02</v>
      </c>
      <c r="M2065" s="29" t="str">
        <f>VLOOKUP(G2065,'insumos terrapl'!$C$3:$K$47,7,0)</f>
        <v>00</v>
      </c>
      <c r="N2065" s="29" t="str">
        <f>VLOOKUP(G2065,'insumos terrapl'!$C$3:$K$47,8,0)</f>
        <v>00</v>
      </c>
      <c r="O2065" s="97" t="str">
        <f>VLOOKUP(G2065,'insumos terrapl'!$C$3:$K$47,9,0)</f>
        <v>00</v>
      </c>
    </row>
    <row r="2066" spans="1:15" ht="30">
      <c r="A2066" s="125"/>
      <c r="B2066" s="127"/>
      <c r="C2066" s="125"/>
      <c r="D2066" s="115"/>
      <c r="E2066" s="115"/>
      <c r="F2066" s="11" t="s">
        <v>663</v>
      </c>
      <c r="G2066" s="20" t="s">
        <v>664</v>
      </c>
      <c r="H2066" s="29" t="str">
        <f>VLOOKUP(G2066,'insumos terrapl'!$C$3:$K$47,2,0)</f>
        <v>2Q  62  02  18  00  00  00</v>
      </c>
      <c r="I2066" s="29" t="str">
        <f>VLOOKUP(G2066,'insumos terrapl'!$C$3:$K$47,3,0)</f>
        <v>2Q</v>
      </c>
      <c r="J2066" s="29">
        <f>VLOOKUP(G2066,'insumos terrapl'!$C$3:$K$47,4,0)</f>
        <v>62</v>
      </c>
      <c r="K2066" s="29" t="str">
        <f>VLOOKUP(G2066,'insumos terrapl'!$C$3:$K$47,5,0)</f>
        <v>02</v>
      </c>
      <c r="L2066" s="29" t="str">
        <f>VLOOKUP(G2066,'insumos terrapl'!$C$3:$K$47,6,0)</f>
        <v>18</v>
      </c>
      <c r="M2066" s="29" t="str">
        <f>VLOOKUP(G2066,'insumos terrapl'!$C$3:$K$47,7,0)</f>
        <v>00</v>
      </c>
      <c r="N2066" s="29" t="str">
        <f>VLOOKUP(G2066,'insumos terrapl'!$C$3:$K$47,8,0)</f>
        <v>00</v>
      </c>
      <c r="O2066" s="97" t="str">
        <f>VLOOKUP(G2066,'insumos terrapl'!$C$3:$K$47,9,0)</f>
        <v>00</v>
      </c>
    </row>
    <row r="2067" spans="1:15">
      <c r="A2067" s="125"/>
      <c r="B2067" s="127"/>
      <c r="C2067" s="125"/>
      <c r="D2067" s="115"/>
      <c r="E2067" s="115"/>
      <c r="F2067" s="11" t="s">
        <v>588</v>
      </c>
      <c r="G2067" s="20" t="s">
        <v>589</v>
      </c>
      <c r="H2067" s="29" t="str">
        <f>VLOOKUP(G2067,'insumos terrapl'!$C$3:$K$47,2,0)</f>
        <v>2N  20  14  08  00  00  00</v>
      </c>
      <c r="I2067" s="29" t="str">
        <f>VLOOKUP(G2067,'insumos terrapl'!$C$3:$K$47,3,0)</f>
        <v>2N</v>
      </c>
      <c r="J2067" s="29">
        <f>VLOOKUP(G2067,'insumos terrapl'!$C$3:$K$47,4,0)</f>
        <v>20</v>
      </c>
      <c r="K2067" s="29">
        <f>VLOOKUP(G2067,'insumos terrapl'!$C$3:$K$47,5,0)</f>
        <v>14</v>
      </c>
      <c r="L2067" s="29" t="str">
        <f>VLOOKUP(G2067,'insumos terrapl'!$C$3:$K$47,6,0)</f>
        <v>08</v>
      </c>
      <c r="M2067" s="29" t="str">
        <f>VLOOKUP(G2067,'insumos terrapl'!$C$3:$K$47,7,0)</f>
        <v>00</v>
      </c>
      <c r="N2067" s="29" t="str">
        <f>VLOOKUP(G2067,'insumos terrapl'!$C$3:$K$47,8,0)</f>
        <v>00</v>
      </c>
      <c r="O2067" s="97" t="str">
        <f>VLOOKUP(G2067,'insumos terrapl'!$C$3:$K$47,9,0)</f>
        <v>00</v>
      </c>
    </row>
    <row r="2068" spans="1:15">
      <c r="A2068" s="125"/>
      <c r="B2068" s="127"/>
      <c r="C2068" s="132"/>
      <c r="D2068" s="116"/>
      <c r="E2068" s="116"/>
      <c r="F2068" s="13"/>
      <c r="G2068" s="21"/>
      <c r="H2068" s="31"/>
      <c r="I2068" s="31"/>
      <c r="J2068" s="31"/>
      <c r="K2068" s="31"/>
      <c r="L2068" s="31"/>
      <c r="M2068" s="31"/>
      <c r="N2068" s="31"/>
      <c r="O2068" s="98"/>
    </row>
    <row r="2069" spans="1:15">
      <c r="A2069" s="125"/>
      <c r="B2069" s="127"/>
      <c r="C2069" s="125" t="s">
        <v>312</v>
      </c>
      <c r="D2069" s="114" t="str">
        <f>$A$1875</f>
        <v>2.6.9</v>
      </c>
      <c r="E2069" s="115" t="s">
        <v>570</v>
      </c>
      <c r="F2069" s="11" t="s">
        <v>312</v>
      </c>
      <c r="G2069" s="20"/>
      <c r="H2069" s="29"/>
      <c r="I2069" s="29"/>
      <c r="J2069" s="29"/>
      <c r="K2069" s="29"/>
      <c r="L2069" s="29"/>
      <c r="M2069" s="29"/>
      <c r="N2069" s="29"/>
      <c r="O2069" s="97"/>
    </row>
    <row r="2070" spans="1:15" ht="30">
      <c r="A2070" s="125"/>
      <c r="B2070" s="127"/>
      <c r="C2070" s="125"/>
      <c r="D2070" s="115"/>
      <c r="E2070" s="115"/>
      <c r="F2070" s="11" t="s">
        <v>665</v>
      </c>
      <c r="G2070" s="20" t="s">
        <v>666</v>
      </c>
      <c r="H2070" s="29" t="str">
        <f>VLOOKUP(G2070,'insumos terrapl'!$C$3:$K$47,2,0)</f>
        <v>2Q  66  10  02  00  00  00</v>
      </c>
      <c r="I2070" s="29" t="str">
        <f>VLOOKUP(G2070,'insumos terrapl'!$C$3:$K$47,3,0)</f>
        <v>2Q</v>
      </c>
      <c r="J2070" s="29">
        <f>VLOOKUP(G2070,'insumos terrapl'!$C$3:$K$47,4,0)</f>
        <v>66</v>
      </c>
      <c r="K2070" s="29" t="str">
        <f>VLOOKUP(G2070,'insumos terrapl'!$C$3:$K$47,5,0)</f>
        <v>10</v>
      </c>
      <c r="L2070" s="29" t="str">
        <f>VLOOKUP(G2070,'insumos terrapl'!$C$3:$K$47,6,0)</f>
        <v>02</v>
      </c>
      <c r="M2070" s="29" t="str">
        <f>VLOOKUP(G2070,'insumos terrapl'!$C$3:$K$47,7,0)</f>
        <v>00</v>
      </c>
      <c r="N2070" s="29" t="str">
        <f>VLOOKUP(G2070,'insumos terrapl'!$C$3:$K$47,8,0)</f>
        <v>00</v>
      </c>
      <c r="O2070" s="97" t="str">
        <f>VLOOKUP(G2070,'insumos terrapl'!$C$3:$K$47,9,0)</f>
        <v>00</v>
      </c>
    </row>
    <row r="2071" spans="1:15" ht="30">
      <c r="A2071" s="125"/>
      <c r="B2071" s="127"/>
      <c r="C2071" s="125"/>
      <c r="D2071" s="115"/>
      <c r="E2071" s="115"/>
      <c r="F2071" s="11" t="s">
        <v>663</v>
      </c>
      <c r="G2071" s="20" t="s">
        <v>664</v>
      </c>
      <c r="H2071" s="29" t="str">
        <f>VLOOKUP(G2071,'insumos terrapl'!$C$3:$K$47,2,0)</f>
        <v>2Q  62  02  18  00  00  00</v>
      </c>
      <c r="I2071" s="29" t="str">
        <f>VLOOKUP(G2071,'insumos terrapl'!$C$3:$K$47,3,0)</f>
        <v>2Q</v>
      </c>
      <c r="J2071" s="29">
        <f>VLOOKUP(G2071,'insumos terrapl'!$C$3:$K$47,4,0)</f>
        <v>62</v>
      </c>
      <c r="K2071" s="29" t="str">
        <f>VLOOKUP(G2071,'insumos terrapl'!$C$3:$K$47,5,0)</f>
        <v>02</v>
      </c>
      <c r="L2071" s="29" t="str">
        <f>VLOOKUP(G2071,'insumos terrapl'!$C$3:$K$47,6,0)</f>
        <v>18</v>
      </c>
      <c r="M2071" s="29" t="str">
        <f>VLOOKUP(G2071,'insumos terrapl'!$C$3:$K$47,7,0)</f>
        <v>00</v>
      </c>
      <c r="N2071" s="29" t="str">
        <f>VLOOKUP(G2071,'insumos terrapl'!$C$3:$K$47,8,0)</f>
        <v>00</v>
      </c>
      <c r="O2071" s="97" t="str">
        <f>VLOOKUP(G2071,'insumos terrapl'!$C$3:$K$47,9,0)</f>
        <v>00</v>
      </c>
    </row>
    <row r="2072" spans="1:15">
      <c r="A2072" s="125"/>
      <c r="B2072" s="127"/>
      <c r="C2072" s="125"/>
      <c r="D2072" s="115"/>
      <c r="E2072" s="115"/>
      <c r="F2072" s="11" t="s">
        <v>588</v>
      </c>
      <c r="G2072" s="20" t="s">
        <v>589</v>
      </c>
      <c r="H2072" s="29" t="str">
        <f>VLOOKUP(G2072,'insumos terrapl'!$C$3:$K$47,2,0)</f>
        <v>2N  20  14  08  00  00  00</v>
      </c>
      <c r="I2072" s="29" t="str">
        <f>VLOOKUP(G2072,'insumos terrapl'!$C$3:$K$47,3,0)</f>
        <v>2N</v>
      </c>
      <c r="J2072" s="29">
        <f>VLOOKUP(G2072,'insumos terrapl'!$C$3:$K$47,4,0)</f>
        <v>20</v>
      </c>
      <c r="K2072" s="29">
        <f>VLOOKUP(G2072,'insumos terrapl'!$C$3:$K$47,5,0)</f>
        <v>14</v>
      </c>
      <c r="L2072" s="29" t="str">
        <f>VLOOKUP(G2072,'insumos terrapl'!$C$3:$K$47,6,0)</f>
        <v>08</v>
      </c>
      <c r="M2072" s="29" t="str">
        <f>VLOOKUP(G2072,'insumos terrapl'!$C$3:$K$47,7,0)</f>
        <v>00</v>
      </c>
      <c r="N2072" s="29" t="str">
        <f>VLOOKUP(G2072,'insumos terrapl'!$C$3:$K$47,8,0)</f>
        <v>00</v>
      </c>
      <c r="O2072" s="97" t="str">
        <f>VLOOKUP(G2072,'insumos terrapl'!$C$3:$K$47,9,0)</f>
        <v>00</v>
      </c>
    </row>
    <row r="2073" spans="1:15">
      <c r="A2073" s="125"/>
      <c r="B2073" s="127"/>
      <c r="C2073" s="125"/>
      <c r="D2073" s="116"/>
      <c r="E2073" s="115"/>
      <c r="F2073" s="10"/>
      <c r="G2073" s="20"/>
      <c r="H2073" s="29"/>
      <c r="I2073" s="29"/>
      <c r="J2073" s="29"/>
      <c r="K2073" s="29"/>
      <c r="L2073" s="29"/>
      <c r="M2073" s="29"/>
      <c r="N2073" s="29"/>
      <c r="O2073" s="97"/>
    </row>
    <row r="2074" spans="1:15">
      <c r="A2074" s="124" t="s">
        <v>54</v>
      </c>
      <c r="B2074" s="126" t="s">
        <v>17</v>
      </c>
      <c r="C2074" s="124" t="s">
        <v>315</v>
      </c>
      <c r="D2074" s="114" t="str">
        <f>A2074</f>
        <v>2.7.1</v>
      </c>
      <c r="E2074" s="114" t="s">
        <v>58</v>
      </c>
      <c r="F2074" s="12" t="s">
        <v>315</v>
      </c>
      <c r="G2074" s="19"/>
      <c r="H2074" s="28"/>
      <c r="I2074" s="28"/>
      <c r="J2074" s="28"/>
      <c r="K2074" s="28"/>
      <c r="L2074" s="28"/>
      <c r="M2074" s="28"/>
      <c r="N2074" s="28"/>
      <c r="O2074" s="99"/>
    </row>
    <row r="2075" spans="1:15" ht="30">
      <c r="A2075" s="125"/>
      <c r="B2075" s="127"/>
      <c r="C2075" s="125"/>
      <c r="D2075" s="115"/>
      <c r="E2075" s="115"/>
      <c r="F2075" s="11" t="s">
        <v>593</v>
      </c>
      <c r="G2075" s="20" t="s">
        <v>594</v>
      </c>
      <c r="H2075" s="29" t="str">
        <f>VLOOKUP(G2075,'insumos terrapl'!$C$3:$K$47,2,0)</f>
        <v>2Q  66  06  26  00  00  00</v>
      </c>
      <c r="I2075" s="29" t="str">
        <f>VLOOKUP(G2075,'insumos terrapl'!$C$3:$K$47,3,0)</f>
        <v>2Q</v>
      </c>
      <c r="J2075" s="29">
        <f>VLOOKUP(G2075,'insumos terrapl'!$C$3:$K$47,4,0)</f>
        <v>66</v>
      </c>
      <c r="K2075" s="29" t="str">
        <f>VLOOKUP(G2075,'insumos terrapl'!$C$3:$K$47,5,0)</f>
        <v>06</v>
      </c>
      <c r="L2075" s="29" t="str">
        <f>VLOOKUP(G2075,'insumos terrapl'!$C$3:$K$47,6,0)</f>
        <v>26</v>
      </c>
      <c r="M2075" s="29" t="str">
        <f>VLOOKUP(G2075,'insumos terrapl'!$C$3:$K$47,7,0)</f>
        <v>00</v>
      </c>
      <c r="N2075" s="29" t="str">
        <f>VLOOKUP(G2075,'insumos terrapl'!$C$3:$K$47,8,0)</f>
        <v>00</v>
      </c>
      <c r="O2075" s="97" t="str">
        <f>VLOOKUP(G2075,'insumos terrapl'!$C$3:$K$47,9,0)</f>
        <v>00</v>
      </c>
    </row>
    <row r="2076" spans="1:15" ht="30">
      <c r="A2076" s="125"/>
      <c r="B2076" s="127"/>
      <c r="C2076" s="125"/>
      <c r="D2076" s="115"/>
      <c r="E2076" s="115"/>
      <c r="F2076" s="11" t="s">
        <v>595</v>
      </c>
      <c r="G2076" s="20" t="s">
        <v>596</v>
      </c>
      <c r="H2076" s="29" t="str">
        <f>VLOOKUP(G2076,'insumos terrapl'!$C$3:$K$47,2,0)</f>
        <v>2Q  62  34  66  02  00  00</v>
      </c>
      <c r="I2076" s="29" t="str">
        <f>VLOOKUP(G2076,'insumos terrapl'!$C$3:$K$47,3,0)</f>
        <v>2Q</v>
      </c>
      <c r="J2076" s="29">
        <f>VLOOKUP(G2076,'insumos terrapl'!$C$3:$K$47,4,0)</f>
        <v>62</v>
      </c>
      <c r="K2076" s="29" t="str">
        <f>VLOOKUP(G2076,'insumos terrapl'!$C$3:$K$47,5,0)</f>
        <v>34</v>
      </c>
      <c r="L2076" s="29" t="str">
        <f>VLOOKUP(G2076,'insumos terrapl'!$C$3:$K$47,6,0)</f>
        <v>66</v>
      </c>
      <c r="M2076" s="29" t="str">
        <f>VLOOKUP(G2076,'insumos terrapl'!$C$3:$K$47,7,0)</f>
        <v>02</v>
      </c>
      <c r="N2076" s="29" t="str">
        <f>VLOOKUP(G2076,'insumos terrapl'!$C$3:$K$47,8,0)</f>
        <v>00</v>
      </c>
      <c r="O2076" s="97" t="str">
        <f>VLOOKUP(G2076,'insumos terrapl'!$C$3:$K$47,9,0)</f>
        <v>00</v>
      </c>
    </row>
    <row r="2077" spans="1:15">
      <c r="A2077" s="125"/>
      <c r="B2077" s="127"/>
      <c r="C2077" s="125"/>
      <c r="D2077" s="115"/>
      <c r="E2077" s="115"/>
      <c r="F2077" s="11" t="s">
        <v>597</v>
      </c>
      <c r="G2077" s="20" t="s">
        <v>598</v>
      </c>
      <c r="H2077" s="29" t="str">
        <f>VLOOKUP(G2077,'insumos terrapl'!$C$3:$K$47,2,0)</f>
        <v>2Q  62  30  06  02  00  00</v>
      </c>
      <c r="I2077" s="29" t="str">
        <f>VLOOKUP(G2077,'insumos terrapl'!$C$3:$K$47,3,0)</f>
        <v>2Q</v>
      </c>
      <c r="J2077" s="29">
        <f>VLOOKUP(G2077,'insumos terrapl'!$C$3:$K$47,4,0)</f>
        <v>62</v>
      </c>
      <c r="K2077" s="29">
        <f>VLOOKUP(G2077,'insumos terrapl'!$C$3:$K$47,5,0)</f>
        <v>30</v>
      </c>
      <c r="L2077" s="29" t="str">
        <f>VLOOKUP(G2077,'insumos terrapl'!$C$3:$K$47,6,0)</f>
        <v>06</v>
      </c>
      <c r="M2077" s="29" t="str">
        <f>VLOOKUP(G2077,'insumos terrapl'!$C$3:$K$47,7,0)</f>
        <v>02</v>
      </c>
      <c r="N2077" s="29" t="str">
        <f>VLOOKUP(G2077,'insumos terrapl'!$C$3:$K$47,8,0)</f>
        <v>00</v>
      </c>
      <c r="O2077" s="97" t="str">
        <f>VLOOKUP(G2077,'insumos terrapl'!$C$3:$K$47,9,0)</f>
        <v>00</v>
      </c>
    </row>
    <row r="2078" spans="1:15" ht="30">
      <c r="A2078" s="125"/>
      <c r="B2078" s="127"/>
      <c r="C2078" s="125"/>
      <c r="D2078" s="115"/>
      <c r="E2078" s="115"/>
      <c r="F2078" s="11" t="s">
        <v>599</v>
      </c>
      <c r="G2078" s="20" t="s">
        <v>600</v>
      </c>
      <c r="H2078" s="29" t="str">
        <f>VLOOKUP(G2078,'insumos terrapl'!$C$3:$K$47,2,0)</f>
        <v>2Q  62  34  54  02  06  00</v>
      </c>
      <c r="I2078" s="29" t="str">
        <f>VLOOKUP(G2078,'insumos terrapl'!$C$3:$K$47,3,0)</f>
        <v>2Q</v>
      </c>
      <c r="J2078" s="29">
        <f>VLOOKUP(G2078,'insumos terrapl'!$C$3:$K$47,4,0)</f>
        <v>62</v>
      </c>
      <c r="K2078" s="29" t="str">
        <f>VLOOKUP(G2078,'insumos terrapl'!$C$3:$K$47,5,0)</f>
        <v>34</v>
      </c>
      <c r="L2078" s="29" t="str">
        <f>VLOOKUP(G2078,'insumos terrapl'!$C$3:$K$47,6,0)</f>
        <v>54</v>
      </c>
      <c r="M2078" s="29" t="str">
        <f>VLOOKUP(G2078,'insumos terrapl'!$C$3:$K$47,7,0)</f>
        <v>02</v>
      </c>
      <c r="N2078" s="29" t="str">
        <f>VLOOKUP(G2078,'insumos terrapl'!$C$3:$K$47,8,0)</f>
        <v>06</v>
      </c>
      <c r="O2078" s="97" t="str">
        <f>VLOOKUP(G2078,'insumos terrapl'!$C$3:$K$47,9,0)</f>
        <v>00</v>
      </c>
    </row>
    <row r="2079" spans="1:15">
      <c r="A2079" s="125"/>
      <c r="B2079" s="127"/>
      <c r="C2079" s="125"/>
      <c r="D2079" s="115"/>
      <c r="E2079" s="115"/>
      <c r="F2079" s="11" t="s">
        <v>601</v>
      </c>
      <c r="G2079" s="20" t="s">
        <v>602</v>
      </c>
      <c r="H2079" s="29" t="str">
        <f>VLOOKUP(G2079,'insumos terrapl'!$C$3:$K$47,2,0)</f>
        <v>2Q  62  30  02  02  00  00</v>
      </c>
      <c r="I2079" s="29" t="str">
        <f>VLOOKUP(G2079,'insumos terrapl'!$C$3:$K$47,3,0)</f>
        <v>2Q</v>
      </c>
      <c r="J2079" s="29">
        <f>VLOOKUP(G2079,'insumos terrapl'!$C$3:$K$47,4,0)</f>
        <v>62</v>
      </c>
      <c r="K2079" s="29" t="str">
        <f>VLOOKUP(G2079,'insumos terrapl'!$C$3:$K$47,5,0)</f>
        <v>30</v>
      </c>
      <c r="L2079" s="29" t="str">
        <f>VLOOKUP(G2079,'insumos terrapl'!$C$3:$K$47,6,0)</f>
        <v>02</v>
      </c>
      <c r="M2079" s="29" t="str">
        <f>VLOOKUP(G2079,'insumos terrapl'!$C$3:$K$47,7,0)</f>
        <v>02</v>
      </c>
      <c r="N2079" s="29" t="str">
        <f>VLOOKUP(G2079,'insumos terrapl'!$C$3:$K$47,8,0)</f>
        <v>00</v>
      </c>
      <c r="O2079" s="97" t="str">
        <f>VLOOKUP(G2079,'insumos terrapl'!$C$3:$K$47,9,0)</f>
        <v>00</v>
      </c>
    </row>
    <row r="2080" spans="1:15">
      <c r="A2080" s="125"/>
      <c r="B2080" s="127"/>
      <c r="C2080" s="125"/>
      <c r="D2080" s="115"/>
      <c r="E2080" s="115"/>
      <c r="F2080" s="11" t="s">
        <v>588</v>
      </c>
      <c r="G2080" s="20" t="s">
        <v>589</v>
      </c>
      <c r="H2080" s="29" t="str">
        <f>VLOOKUP(G2080,'insumos terrapl'!$C$3:$K$47,2,0)</f>
        <v>2N  20  14  08  00  00  00</v>
      </c>
      <c r="I2080" s="29" t="str">
        <f>VLOOKUP(G2080,'insumos terrapl'!$C$3:$K$47,3,0)</f>
        <v>2N</v>
      </c>
      <c r="J2080" s="29">
        <f>VLOOKUP(G2080,'insumos terrapl'!$C$3:$K$47,4,0)</f>
        <v>20</v>
      </c>
      <c r="K2080" s="29">
        <f>VLOOKUP(G2080,'insumos terrapl'!$C$3:$K$47,5,0)</f>
        <v>14</v>
      </c>
      <c r="L2080" s="29" t="str">
        <f>VLOOKUP(G2080,'insumos terrapl'!$C$3:$K$47,6,0)</f>
        <v>08</v>
      </c>
      <c r="M2080" s="29" t="str">
        <f>VLOOKUP(G2080,'insumos terrapl'!$C$3:$K$47,7,0)</f>
        <v>00</v>
      </c>
      <c r="N2080" s="29" t="str">
        <f>VLOOKUP(G2080,'insumos terrapl'!$C$3:$K$47,8,0)</f>
        <v>00</v>
      </c>
      <c r="O2080" s="97" t="str">
        <f>VLOOKUP(G2080,'insumos terrapl'!$C$3:$K$47,9,0)</f>
        <v>00</v>
      </c>
    </row>
    <row r="2081" spans="1:15">
      <c r="A2081" s="125"/>
      <c r="B2081" s="127"/>
      <c r="C2081" s="132"/>
      <c r="D2081" s="116"/>
      <c r="E2081" s="115"/>
      <c r="F2081" s="11"/>
      <c r="G2081" s="20"/>
      <c r="H2081" s="29"/>
      <c r="I2081" s="29"/>
      <c r="J2081" s="29"/>
      <c r="K2081" s="29"/>
      <c r="L2081" s="29"/>
      <c r="M2081" s="29"/>
      <c r="N2081" s="29"/>
      <c r="O2081" s="97"/>
    </row>
    <row r="2082" spans="1:15" ht="30">
      <c r="A2082" s="125"/>
      <c r="B2082" s="127"/>
      <c r="C2082" s="124">
        <v>5502978</v>
      </c>
      <c r="D2082" s="114" t="str">
        <f>A2074</f>
        <v>2.7.1</v>
      </c>
      <c r="E2082" s="114" t="s">
        <v>59</v>
      </c>
      <c r="F2082" s="12" t="s">
        <v>593</v>
      </c>
      <c r="G2082" s="19" t="s">
        <v>594</v>
      </c>
      <c r="H2082" s="28" t="str">
        <f>VLOOKUP(G2082,'insumos terrapl'!$C$3:$K$47,2,0)</f>
        <v>2Q  66  06  26  00  00  00</v>
      </c>
      <c r="I2082" s="28" t="str">
        <f>VLOOKUP(G2082,'insumos terrapl'!$C$3:$K$47,3,0)</f>
        <v>2Q</v>
      </c>
      <c r="J2082" s="28">
        <f>VLOOKUP(G2082,'insumos terrapl'!$C$3:$K$47,4,0)</f>
        <v>66</v>
      </c>
      <c r="K2082" s="28" t="str">
        <f>VLOOKUP(G2082,'insumos terrapl'!$C$3:$K$47,5,0)</f>
        <v>06</v>
      </c>
      <c r="L2082" s="28" t="str">
        <f>VLOOKUP(G2082,'insumos terrapl'!$C$3:$K$47,6,0)</f>
        <v>26</v>
      </c>
      <c r="M2082" s="28" t="str">
        <f>VLOOKUP(G2082,'insumos terrapl'!$C$3:$K$47,7,0)</f>
        <v>00</v>
      </c>
      <c r="N2082" s="28" t="str">
        <f>VLOOKUP(G2082,'insumos terrapl'!$C$3:$K$47,8,0)</f>
        <v>00</v>
      </c>
      <c r="O2082" s="99" t="str">
        <f>VLOOKUP(G2082,'insumos terrapl'!$C$3:$K$47,9,0)</f>
        <v>00</v>
      </c>
    </row>
    <row r="2083" spans="1:15" ht="30">
      <c r="A2083" s="125"/>
      <c r="B2083" s="127"/>
      <c r="C2083" s="125"/>
      <c r="D2083" s="115"/>
      <c r="E2083" s="115"/>
      <c r="F2083" s="11" t="s">
        <v>595</v>
      </c>
      <c r="G2083" s="20" t="s">
        <v>596</v>
      </c>
      <c r="H2083" s="29" t="str">
        <f>VLOOKUP(G2083,'insumos terrapl'!$C$3:$K$47,2,0)</f>
        <v>2Q  62  34  66  02  00  00</v>
      </c>
      <c r="I2083" s="29" t="str">
        <f>VLOOKUP(G2083,'insumos terrapl'!$C$3:$K$47,3,0)</f>
        <v>2Q</v>
      </c>
      <c r="J2083" s="29">
        <f>VLOOKUP(G2083,'insumos terrapl'!$C$3:$K$47,4,0)</f>
        <v>62</v>
      </c>
      <c r="K2083" s="29" t="str">
        <f>VLOOKUP(G2083,'insumos terrapl'!$C$3:$K$47,5,0)</f>
        <v>34</v>
      </c>
      <c r="L2083" s="29" t="str">
        <f>VLOOKUP(G2083,'insumos terrapl'!$C$3:$K$47,6,0)</f>
        <v>66</v>
      </c>
      <c r="M2083" s="29" t="str">
        <f>VLOOKUP(G2083,'insumos terrapl'!$C$3:$K$47,7,0)</f>
        <v>02</v>
      </c>
      <c r="N2083" s="29" t="str">
        <f>VLOOKUP(G2083,'insumos terrapl'!$C$3:$K$47,8,0)</f>
        <v>00</v>
      </c>
      <c r="O2083" s="97" t="str">
        <f>VLOOKUP(G2083,'insumos terrapl'!$C$3:$K$47,9,0)</f>
        <v>00</v>
      </c>
    </row>
    <row r="2084" spans="1:15">
      <c r="A2084" s="125"/>
      <c r="B2084" s="127"/>
      <c r="C2084" s="125"/>
      <c r="D2084" s="115"/>
      <c r="E2084" s="115"/>
      <c r="F2084" s="11" t="s">
        <v>597</v>
      </c>
      <c r="G2084" s="20" t="s">
        <v>598</v>
      </c>
      <c r="H2084" s="29" t="str">
        <f>VLOOKUP(G2084,'insumos terrapl'!$C$3:$K$47,2,0)</f>
        <v>2Q  62  30  06  02  00  00</v>
      </c>
      <c r="I2084" s="29" t="str">
        <f>VLOOKUP(G2084,'insumos terrapl'!$C$3:$K$47,3,0)</f>
        <v>2Q</v>
      </c>
      <c r="J2084" s="29">
        <f>VLOOKUP(G2084,'insumos terrapl'!$C$3:$K$47,4,0)</f>
        <v>62</v>
      </c>
      <c r="K2084" s="29">
        <f>VLOOKUP(G2084,'insumos terrapl'!$C$3:$K$47,5,0)</f>
        <v>30</v>
      </c>
      <c r="L2084" s="29" t="str">
        <f>VLOOKUP(G2084,'insumos terrapl'!$C$3:$K$47,6,0)</f>
        <v>06</v>
      </c>
      <c r="M2084" s="29" t="str">
        <f>VLOOKUP(G2084,'insumos terrapl'!$C$3:$K$47,7,0)</f>
        <v>02</v>
      </c>
      <c r="N2084" s="29" t="str">
        <f>VLOOKUP(G2084,'insumos terrapl'!$C$3:$K$47,8,0)</f>
        <v>00</v>
      </c>
      <c r="O2084" s="97" t="str">
        <f>VLOOKUP(G2084,'insumos terrapl'!$C$3:$K$47,9,0)</f>
        <v>00</v>
      </c>
    </row>
    <row r="2085" spans="1:15" ht="30">
      <c r="A2085" s="125"/>
      <c r="B2085" s="127"/>
      <c r="C2085" s="125"/>
      <c r="D2085" s="115"/>
      <c r="E2085" s="115"/>
      <c r="F2085" s="11" t="s">
        <v>599</v>
      </c>
      <c r="G2085" s="20" t="s">
        <v>600</v>
      </c>
      <c r="H2085" s="29" t="str">
        <f>VLOOKUP(G2085,'insumos terrapl'!$C$3:$K$47,2,0)</f>
        <v>2Q  62  34  54  02  06  00</v>
      </c>
      <c r="I2085" s="29" t="str">
        <f>VLOOKUP(G2085,'insumos terrapl'!$C$3:$K$47,3,0)</f>
        <v>2Q</v>
      </c>
      <c r="J2085" s="29">
        <f>VLOOKUP(G2085,'insumos terrapl'!$C$3:$K$47,4,0)</f>
        <v>62</v>
      </c>
      <c r="K2085" s="29" t="str">
        <f>VLOOKUP(G2085,'insumos terrapl'!$C$3:$K$47,5,0)</f>
        <v>34</v>
      </c>
      <c r="L2085" s="29" t="str">
        <f>VLOOKUP(G2085,'insumos terrapl'!$C$3:$K$47,6,0)</f>
        <v>54</v>
      </c>
      <c r="M2085" s="29" t="str">
        <f>VLOOKUP(G2085,'insumos terrapl'!$C$3:$K$47,7,0)</f>
        <v>02</v>
      </c>
      <c r="N2085" s="29" t="str">
        <f>VLOOKUP(G2085,'insumos terrapl'!$C$3:$K$47,8,0)</f>
        <v>06</v>
      </c>
      <c r="O2085" s="97" t="str">
        <f>VLOOKUP(G2085,'insumos terrapl'!$C$3:$K$47,9,0)</f>
        <v>00</v>
      </c>
    </row>
    <row r="2086" spans="1:15">
      <c r="A2086" s="125"/>
      <c r="B2086" s="127"/>
      <c r="C2086" s="125"/>
      <c r="D2086" s="115"/>
      <c r="E2086" s="115"/>
      <c r="F2086" s="11" t="s">
        <v>601</v>
      </c>
      <c r="G2086" s="20" t="s">
        <v>602</v>
      </c>
      <c r="H2086" s="29" t="str">
        <f>VLOOKUP(G2086,'insumos terrapl'!$C$3:$K$47,2,0)</f>
        <v>2Q  62  30  02  02  00  00</v>
      </c>
      <c r="I2086" s="29" t="str">
        <f>VLOOKUP(G2086,'insumos terrapl'!$C$3:$K$47,3,0)</f>
        <v>2Q</v>
      </c>
      <c r="J2086" s="29">
        <f>VLOOKUP(G2086,'insumos terrapl'!$C$3:$K$47,4,0)</f>
        <v>62</v>
      </c>
      <c r="K2086" s="29" t="str">
        <f>VLOOKUP(G2086,'insumos terrapl'!$C$3:$K$47,5,0)</f>
        <v>30</v>
      </c>
      <c r="L2086" s="29" t="str">
        <f>VLOOKUP(G2086,'insumos terrapl'!$C$3:$K$47,6,0)</f>
        <v>02</v>
      </c>
      <c r="M2086" s="29" t="str">
        <f>VLOOKUP(G2086,'insumos terrapl'!$C$3:$K$47,7,0)</f>
        <v>02</v>
      </c>
      <c r="N2086" s="29" t="str">
        <f>VLOOKUP(G2086,'insumos terrapl'!$C$3:$K$47,8,0)</f>
        <v>00</v>
      </c>
      <c r="O2086" s="97" t="str">
        <f>VLOOKUP(G2086,'insumos terrapl'!$C$3:$K$47,9,0)</f>
        <v>00</v>
      </c>
    </row>
    <row r="2087" spans="1:15">
      <c r="A2087" s="125"/>
      <c r="B2087" s="127"/>
      <c r="C2087" s="125"/>
      <c r="D2087" s="115"/>
      <c r="E2087" s="115"/>
      <c r="F2087" s="11" t="s">
        <v>588</v>
      </c>
      <c r="G2087" s="20" t="s">
        <v>589</v>
      </c>
      <c r="H2087" s="29" t="str">
        <f>VLOOKUP(G2087,'insumos terrapl'!$C$3:$K$47,2,0)</f>
        <v>2N  20  14  08  00  00  00</v>
      </c>
      <c r="I2087" s="29" t="str">
        <f>VLOOKUP(G2087,'insumos terrapl'!$C$3:$K$47,3,0)</f>
        <v>2N</v>
      </c>
      <c r="J2087" s="29">
        <f>VLOOKUP(G2087,'insumos terrapl'!$C$3:$K$47,4,0)</f>
        <v>20</v>
      </c>
      <c r="K2087" s="29">
        <f>VLOOKUP(G2087,'insumos terrapl'!$C$3:$K$47,5,0)</f>
        <v>14</v>
      </c>
      <c r="L2087" s="29" t="str">
        <f>VLOOKUP(G2087,'insumos terrapl'!$C$3:$K$47,6,0)</f>
        <v>08</v>
      </c>
      <c r="M2087" s="29" t="str">
        <f>VLOOKUP(G2087,'insumos terrapl'!$C$3:$K$47,7,0)</f>
        <v>00</v>
      </c>
      <c r="N2087" s="29" t="str">
        <f>VLOOKUP(G2087,'insumos terrapl'!$C$3:$K$47,8,0)</f>
        <v>00</v>
      </c>
      <c r="O2087" s="97" t="str">
        <f>VLOOKUP(G2087,'insumos terrapl'!$C$3:$K$47,9,0)</f>
        <v>00</v>
      </c>
    </row>
    <row r="2088" spans="1:15">
      <c r="A2088" s="132"/>
      <c r="B2088" s="131"/>
      <c r="C2088" s="132"/>
      <c r="D2088" s="116"/>
      <c r="E2088" s="116"/>
      <c r="F2088" s="13"/>
      <c r="G2088" s="21"/>
      <c r="H2088" s="31"/>
      <c r="I2088" s="31"/>
      <c r="J2088" s="31"/>
      <c r="K2088" s="31"/>
      <c r="L2088" s="31"/>
      <c r="M2088" s="31"/>
      <c r="N2088" s="31"/>
      <c r="O2088" s="98"/>
    </row>
    <row r="2089" spans="1:15">
      <c r="A2089" s="125" t="s">
        <v>55</v>
      </c>
      <c r="B2089" s="127" t="s">
        <v>15</v>
      </c>
      <c r="C2089" s="125" t="s">
        <v>316</v>
      </c>
      <c r="D2089" s="115" t="str">
        <f>A2089</f>
        <v>2.7.2</v>
      </c>
      <c r="E2089" s="115" t="s">
        <v>15</v>
      </c>
      <c r="F2089" s="11" t="s">
        <v>316</v>
      </c>
      <c r="G2089" s="20"/>
      <c r="H2089" s="29"/>
      <c r="I2089" s="29"/>
      <c r="J2089" s="29"/>
      <c r="K2089" s="29"/>
      <c r="L2089" s="29"/>
      <c r="M2089" s="29"/>
      <c r="N2089" s="29"/>
      <c r="O2089" s="97"/>
    </row>
    <row r="2090" spans="1:15">
      <c r="A2090" s="125"/>
      <c r="B2090" s="127"/>
      <c r="C2090" s="125"/>
      <c r="D2090" s="115"/>
      <c r="E2090" s="115"/>
      <c r="F2090" s="11" t="s">
        <v>597</v>
      </c>
      <c r="G2090" s="20" t="s">
        <v>598</v>
      </c>
      <c r="H2090" s="29" t="str">
        <f>VLOOKUP(G2090,'insumos terrapl'!$C$3:$K$47,2,0)</f>
        <v>2Q  62  30  06  02  00  00</v>
      </c>
      <c r="I2090" s="29" t="str">
        <f>VLOOKUP(G2090,'insumos terrapl'!$C$3:$K$47,3,0)</f>
        <v>2Q</v>
      </c>
      <c r="J2090" s="29">
        <f>VLOOKUP(G2090,'insumos terrapl'!$C$3:$K$47,4,0)</f>
        <v>62</v>
      </c>
      <c r="K2090" s="29">
        <f>VLOOKUP(G2090,'insumos terrapl'!$C$3:$K$47,5,0)</f>
        <v>30</v>
      </c>
      <c r="L2090" s="29" t="str">
        <f>VLOOKUP(G2090,'insumos terrapl'!$C$3:$K$47,6,0)</f>
        <v>06</v>
      </c>
      <c r="M2090" s="29" t="str">
        <f>VLOOKUP(G2090,'insumos terrapl'!$C$3:$K$47,7,0)</f>
        <v>02</v>
      </c>
      <c r="N2090" s="29" t="str">
        <f>VLOOKUP(G2090,'insumos terrapl'!$C$3:$K$47,8,0)</f>
        <v>00</v>
      </c>
      <c r="O2090" s="97" t="str">
        <f>VLOOKUP(G2090,'insumos terrapl'!$C$3:$K$47,9,0)</f>
        <v>00</v>
      </c>
    </row>
    <row r="2091" spans="1:15" ht="30">
      <c r="A2091" s="125"/>
      <c r="B2091" s="127"/>
      <c r="C2091" s="125"/>
      <c r="D2091" s="115"/>
      <c r="E2091" s="115"/>
      <c r="F2091" s="11" t="s">
        <v>603</v>
      </c>
      <c r="G2091" s="20" t="s">
        <v>604</v>
      </c>
      <c r="H2091" s="29" t="str">
        <f>VLOOKUP(G2091,'insumos terrapl'!$C$3:$K$47,2,0)</f>
        <v>2Q  62  34  54  02  02  00</v>
      </c>
      <c r="I2091" s="29" t="str">
        <f>VLOOKUP(G2091,'insumos terrapl'!$C$3:$K$47,3,0)</f>
        <v>2Q</v>
      </c>
      <c r="J2091" s="29">
        <f>VLOOKUP(G2091,'insumos terrapl'!$C$3:$K$47,4,0)</f>
        <v>62</v>
      </c>
      <c r="K2091" s="29" t="str">
        <f>VLOOKUP(G2091,'insumos terrapl'!$C$3:$K$47,5,0)</f>
        <v>34</v>
      </c>
      <c r="L2091" s="29" t="str">
        <f>VLOOKUP(G2091,'insumos terrapl'!$C$3:$K$47,6,0)</f>
        <v>54</v>
      </c>
      <c r="M2091" s="29" t="str">
        <f>VLOOKUP(G2091,'insumos terrapl'!$C$3:$K$47,7,0)</f>
        <v>02</v>
      </c>
      <c r="N2091" s="29" t="str">
        <f>VLOOKUP(G2091,'insumos terrapl'!$C$3:$K$47,8,0)</f>
        <v>02</v>
      </c>
      <c r="O2091" s="97" t="str">
        <f>VLOOKUP(G2091,'insumos terrapl'!$C$3:$K$47,9,0)</f>
        <v>00</v>
      </c>
    </row>
    <row r="2092" spans="1:15">
      <c r="A2092" s="132"/>
      <c r="B2092" s="131"/>
      <c r="C2092" s="132"/>
      <c r="D2092" s="116"/>
      <c r="E2092" s="115"/>
      <c r="F2092" s="11" t="s">
        <v>588</v>
      </c>
      <c r="G2092" s="20" t="s">
        <v>589</v>
      </c>
      <c r="H2092" s="29" t="str">
        <f>VLOOKUP(G2092,'insumos terrapl'!$C$3:$K$47,2,0)</f>
        <v>2N  20  14  08  00  00  00</v>
      </c>
      <c r="I2092" s="29" t="str">
        <f>VLOOKUP(G2092,'insumos terrapl'!$C$3:$K$47,3,0)</f>
        <v>2N</v>
      </c>
      <c r="J2092" s="29">
        <f>VLOOKUP(G2092,'insumos terrapl'!$C$3:$K$47,4,0)</f>
        <v>20</v>
      </c>
      <c r="K2092" s="29">
        <f>VLOOKUP(G2092,'insumos terrapl'!$C$3:$K$47,5,0)</f>
        <v>14</v>
      </c>
      <c r="L2092" s="29" t="str">
        <f>VLOOKUP(G2092,'insumos terrapl'!$C$3:$K$47,6,0)</f>
        <v>08</v>
      </c>
      <c r="M2092" s="29" t="str">
        <f>VLOOKUP(G2092,'insumos terrapl'!$C$3:$K$47,7,0)</f>
        <v>00</v>
      </c>
      <c r="N2092" s="29" t="str">
        <f>VLOOKUP(G2092,'insumos terrapl'!$C$3:$K$47,8,0)</f>
        <v>00</v>
      </c>
      <c r="O2092" s="97" t="str">
        <f>VLOOKUP(G2092,'insumos terrapl'!$C$3:$K$47,9,0)</f>
        <v>00</v>
      </c>
    </row>
    <row r="2093" spans="1:15">
      <c r="A2093" s="124" t="s">
        <v>56</v>
      </c>
      <c r="B2093" s="126" t="s">
        <v>14</v>
      </c>
      <c r="C2093" s="124" t="s">
        <v>317</v>
      </c>
      <c r="D2093" s="114" t="str">
        <f>A2093</f>
        <v>2.8.1</v>
      </c>
      <c r="E2093" s="114" t="s">
        <v>14</v>
      </c>
      <c r="F2093" s="12" t="s">
        <v>317</v>
      </c>
      <c r="G2093" s="19"/>
      <c r="H2093" s="28"/>
      <c r="I2093" s="28"/>
      <c r="J2093" s="28"/>
      <c r="K2093" s="28"/>
      <c r="L2093" s="28"/>
      <c r="M2093" s="28"/>
      <c r="N2093" s="28"/>
      <c r="O2093" s="99"/>
    </row>
    <row r="2094" spans="1:15">
      <c r="A2094" s="125"/>
      <c r="B2094" s="127"/>
      <c r="C2094" s="125"/>
      <c r="D2094" s="115"/>
      <c r="E2094" s="115"/>
      <c r="F2094" s="11" t="s">
        <v>605</v>
      </c>
      <c r="G2094" s="20" t="s">
        <v>606</v>
      </c>
      <c r="H2094" s="29" t="str">
        <f>VLOOKUP(G2094,'insumos terrapl'!$C$3:$K$47,2,0)</f>
        <v>2Q  62  30  02  14  00  00</v>
      </c>
      <c r="I2094" s="29" t="str">
        <f>VLOOKUP(G2094,'insumos terrapl'!$C$3:$K$47,3,0)</f>
        <v>2Q</v>
      </c>
      <c r="J2094" s="29">
        <f>VLOOKUP(G2094,'insumos terrapl'!$C$3:$K$47,4,0)</f>
        <v>62</v>
      </c>
      <c r="K2094" s="29">
        <f>VLOOKUP(G2094,'insumos terrapl'!$C$3:$K$47,5,0)</f>
        <v>30</v>
      </c>
      <c r="L2094" s="29" t="str">
        <f>VLOOKUP(G2094,'insumos terrapl'!$C$3:$K$47,6,0)</f>
        <v>02</v>
      </c>
      <c r="M2094" s="29" t="str">
        <f>VLOOKUP(G2094,'insumos terrapl'!$C$3:$K$47,7,0)</f>
        <v>14</v>
      </c>
      <c r="N2094" s="29" t="str">
        <f>VLOOKUP(G2094,'insumos terrapl'!$C$3:$K$47,8,0)</f>
        <v>00</v>
      </c>
      <c r="O2094" s="97" t="str">
        <f>VLOOKUP(G2094,'insumos terrapl'!$C$3:$K$47,9,0)</f>
        <v>00</v>
      </c>
    </row>
    <row r="2095" spans="1:15">
      <c r="A2095" s="125"/>
      <c r="B2095" s="127"/>
      <c r="C2095" s="125"/>
      <c r="D2095" s="115"/>
      <c r="E2095" s="115"/>
      <c r="F2095" s="11" t="s">
        <v>588</v>
      </c>
      <c r="G2095" s="20" t="s">
        <v>589</v>
      </c>
      <c r="H2095" s="29" t="str">
        <f>VLOOKUP(G2095,'insumos terrapl'!$C$3:$K$47,2,0)</f>
        <v>2N  20  14  08  00  00  00</v>
      </c>
      <c r="I2095" s="29" t="str">
        <f>VLOOKUP(G2095,'insumos terrapl'!$C$3:$K$47,3,0)</f>
        <v>2N</v>
      </c>
      <c r="J2095" s="29">
        <f>VLOOKUP(G2095,'insumos terrapl'!$C$3:$K$47,4,0)</f>
        <v>20</v>
      </c>
      <c r="K2095" s="29">
        <f>VLOOKUP(G2095,'insumos terrapl'!$C$3:$K$47,5,0)</f>
        <v>14</v>
      </c>
      <c r="L2095" s="29" t="str">
        <f>VLOOKUP(G2095,'insumos terrapl'!$C$3:$K$47,6,0)</f>
        <v>08</v>
      </c>
      <c r="M2095" s="29" t="str">
        <f>VLOOKUP(G2095,'insumos terrapl'!$C$3:$K$47,7,0)</f>
        <v>00</v>
      </c>
      <c r="N2095" s="29" t="str">
        <f>VLOOKUP(G2095,'insumos terrapl'!$C$3:$K$47,8,0)</f>
        <v>00</v>
      </c>
      <c r="O2095" s="97" t="str">
        <f>VLOOKUP(G2095,'insumos terrapl'!$C$3:$K$47,9,0)</f>
        <v>00</v>
      </c>
    </row>
    <row r="2096" spans="1:15">
      <c r="A2096" s="125"/>
      <c r="B2096" s="127"/>
      <c r="C2096" s="125"/>
      <c r="D2096" s="115"/>
      <c r="E2096" s="116"/>
      <c r="F2096" s="13"/>
      <c r="G2096" s="21"/>
      <c r="H2096" s="31"/>
      <c r="I2096" s="31"/>
      <c r="J2096" s="31"/>
      <c r="K2096" s="31"/>
      <c r="L2096" s="31"/>
      <c r="M2096" s="31"/>
      <c r="N2096" s="31"/>
      <c r="O2096" s="98"/>
    </row>
    <row r="2097" spans="1:15">
      <c r="A2097" s="124" t="s">
        <v>57</v>
      </c>
      <c r="B2097" s="126" t="s">
        <v>13</v>
      </c>
      <c r="C2097" s="124">
        <v>5502806</v>
      </c>
      <c r="D2097" s="114" t="str">
        <f>A2097</f>
        <v>2.9.1</v>
      </c>
      <c r="E2097" s="114" t="s">
        <v>60</v>
      </c>
      <c r="F2097" s="12" t="s">
        <v>313</v>
      </c>
      <c r="G2097" s="19"/>
      <c r="H2097" s="28"/>
      <c r="I2097" s="28"/>
      <c r="J2097" s="28"/>
      <c r="K2097" s="28"/>
      <c r="L2097" s="28"/>
      <c r="M2097" s="28"/>
      <c r="N2097" s="28"/>
      <c r="O2097" s="99"/>
    </row>
    <row r="2098" spans="1:15">
      <c r="A2098" s="125"/>
      <c r="B2098" s="127"/>
      <c r="C2098" s="125"/>
      <c r="D2098" s="115"/>
      <c r="E2098" s="115"/>
      <c r="F2098" s="11" t="s">
        <v>586</v>
      </c>
      <c r="G2098" s="20" t="s">
        <v>587</v>
      </c>
      <c r="H2098" s="29" t="str">
        <f>VLOOKUP(G2098,'insumos terrapl'!$C$3:$K$47,2,0)</f>
        <v>2Q  62  30  02  14  00  00</v>
      </c>
      <c r="I2098" s="29" t="str">
        <f>VLOOKUP(G2098,'insumos terrapl'!$C$3:$K$47,3,0)</f>
        <v>2Q</v>
      </c>
      <c r="J2098" s="29">
        <f>VLOOKUP(G2098,'insumos terrapl'!$C$3:$K$47,4,0)</f>
        <v>62</v>
      </c>
      <c r="K2098" s="29">
        <f>VLOOKUP(G2098,'insumos terrapl'!$C$3:$K$47,5,0)</f>
        <v>30</v>
      </c>
      <c r="L2098" s="29" t="str">
        <f>VLOOKUP(G2098,'insumos terrapl'!$C$3:$K$47,6,0)</f>
        <v>02</v>
      </c>
      <c r="M2098" s="29" t="str">
        <f>VLOOKUP(G2098,'insumos terrapl'!$C$3:$K$47,7,0)</f>
        <v>14</v>
      </c>
      <c r="N2098" s="29" t="str">
        <f>VLOOKUP(G2098,'insumos terrapl'!$C$3:$K$47,8,0)</f>
        <v>00</v>
      </c>
      <c r="O2098" s="97" t="str">
        <f>VLOOKUP(G2098,'insumos terrapl'!$C$3:$K$47,9,0)</f>
        <v>00</v>
      </c>
    </row>
    <row r="2099" spans="1:15">
      <c r="A2099" s="125"/>
      <c r="B2099" s="127"/>
      <c r="C2099" s="125"/>
      <c r="D2099" s="115"/>
      <c r="E2099" s="115"/>
      <c r="F2099" s="11" t="s">
        <v>588</v>
      </c>
      <c r="G2099" s="20" t="s">
        <v>589</v>
      </c>
      <c r="H2099" s="29" t="str">
        <f>VLOOKUP(G2099,'insumos terrapl'!$C$3:$K$47,2,0)</f>
        <v>2N  20  14  08  00  00  00</v>
      </c>
      <c r="I2099" s="29" t="str">
        <f>VLOOKUP(G2099,'insumos terrapl'!$C$3:$K$47,3,0)</f>
        <v>2N</v>
      </c>
      <c r="J2099" s="29">
        <f>VLOOKUP(G2099,'insumos terrapl'!$C$3:$K$47,4,0)</f>
        <v>20</v>
      </c>
      <c r="K2099" s="29">
        <f>VLOOKUP(G2099,'insumos terrapl'!$C$3:$K$47,5,0)</f>
        <v>14</v>
      </c>
      <c r="L2099" s="29" t="str">
        <f>VLOOKUP(G2099,'insumos terrapl'!$C$3:$K$47,6,0)</f>
        <v>08</v>
      </c>
      <c r="M2099" s="29" t="str">
        <f>VLOOKUP(G2099,'insumos terrapl'!$C$3:$K$47,7,0)</f>
        <v>00</v>
      </c>
      <c r="N2099" s="29" t="str">
        <f>VLOOKUP(G2099,'insumos terrapl'!$C$3:$K$47,8,0)</f>
        <v>00</v>
      </c>
      <c r="O2099" s="97" t="str">
        <f>VLOOKUP(G2099,'insumos terrapl'!$C$3:$K$47,9,0)</f>
        <v>00</v>
      </c>
    </row>
    <row r="2100" spans="1:15">
      <c r="A2100" s="125"/>
      <c r="B2100" s="127"/>
      <c r="C2100" s="125"/>
      <c r="D2100" s="115"/>
      <c r="E2100" s="115"/>
      <c r="F2100" s="11" t="s">
        <v>590</v>
      </c>
      <c r="G2100" s="20" t="s">
        <v>591</v>
      </c>
      <c r="H2100" s="29" t="str">
        <f>VLOOKUP(G2100,'insumos terrapl'!$C$3:$K$47,2,0)</f>
        <v>2C  58  02  02  10  00  00</v>
      </c>
      <c r="I2100" s="29" t="str">
        <f>VLOOKUP(G2100,'insumos terrapl'!$C$3:$K$47,3,0)</f>
        <v>2C</v>
      </c>
      <c r="J2100" s="29">
        <f>VLOOKUP(G2100,'insumos terrapl'!$C$3:$K$47,4,0)</f>
        <v>58</v>
      </c>
      <c r="K2100" s="29" t="str">
        <f>VLOOKUP(G2100,'insumos terrapl'!$C$3:$K$47,5,0)</f>
        <v>02</v>
      </c>
      <c r="L2100" s="29" t="str">
        <f>VLOOKUP(G2100,'insumos terrapl'!$C$3:$K$47,6,0)</f>
        <v>02</v>
      </c>
      <c r="M2100" s="29" t="str">
        <f>VLOOKUP(G2100,'insumos terrapl'!$C$3:$K$47,7,0)</f>
        <v>10</v>
      </c>
      <c r="N2100" s="29" t="str">
        <f>VLOOKUP(G2100,'insumos terrapl'!$C$3:$K$47,8,0)</f>
        <v>00</v>
      </c>
      <c r="O2100" s="97" t="str">
        <f>VLOOKUP(G2100,'insumos terrapl'!$C$3:$K$47,9,0)</f>
        <v>00</v>
      </c>
    </row>
    <row r="2101" spans="1:15">
      <c r="A2101" s="125"/>
      <c r="B2101" s="127"/>
      <c r="C2101" s="125"/>
      <c r="D2101" s="115"/>
      <c r="E2101" s="115"/>
      <c r="F2101" s="11" t="s">
        <v>590</v>
      </c>
      <c r="G2101" s="20" t="s">
        <v>592</v>
      </c>
      <c r="H2101" s="29" t="str">
        <f>VLOOKUP(G2101,'insumos terrapl'!$C$3:$K$47,2,0)</f>
        <v>2Q  66  10  02  00  00  00</v>
      </c>
      <c r="I2101" s="29" t="str">
        <f>VLOOKUP(G2101,'insumos terrapl'!$C$3:$K$47,3,0)</f>
        <v>2Q</v>
      </c>
      <c r="J2101" s="29">
        <f>VLOOKUP(G2101,'insumos terrapl'!$C$3:$K$47,4,0)</f>
        <v>66</v>
      </c>
      <c r="K2101" s="29" t="str">
        <f>VLOOKUP(G2101,'insumos terrapl'!$C$3:$K$47,5,0)</f>
        <v>10</v>
      </c>
      <c r="L2101" s="29" t="str">
        <f>VLOOKUP(G2101,'insumos terrapl'!$C$3:$K$47,6,0)</f>
        <v>02</v>
      </c>
      <c r="M2101" s="29" t="str">
        <f>VLOOKUP(G2101,'insumos terrapl'!$C$3:$K$47,7,0)</f>
        <v>00</v>
      </c>
      <c r="N2101" s="29" t="str">
        <f>VLOOKUP(G2101,'insumos terrapl'!$C$3:$K$47,8,0)</f>
        <v>00</v>
      </c>
      <c r="O2101" s="97" t="str">
        <f>VLOOKUP(G2101,'insumos terrapl'!$C$3:$K$47,9,0)</f>
        <v>00</v>
      </c>
    </row>
    <row r="2102" spans="1:15">
      <c r="A2102" s="125"/>
      <c r="B2102" s="127"/>
      <c r="C2102" s="125"/>
      <c r="D2102" s="115"/>
      <c r="E2102" s="115"/>
      <c r="F2102" s="11"/>
      <c r="G2102" s="20"/>
      <c r="H2102" s="29"/>
      <c r="I2102" s="29"/>
      <c r="J2102" s="29"/>
      <c r="K2102" s="29"/>
      <c r="L2102" s="29"/>
      <c r="M2102" s="29"/>
      <c r="N2102" s="29"/>
      <c r="O2102" s="97"/>
    </row>
    <row r="2103" spans="1:15">
      <c r="A2103" s="125"/>
      <c r="B2103" s="127"/>
      <c r="C2103" s="124" t="s">
        <v>314</v>
      </c>
      <c r="D2103" s="114" t="str">
        <f>A2097</f>
        <v>2.9.1</v>
      </c>
      <c r="E2103" s="114" t="s">
        <v>61</v>
      </c>
      <c r="F2103" s="12" t="s">
        <v>314</v>
      </c>
      <c r="G2103" s="19"/>
      <c r="H2103" s="28"/>
      <c r="I2103" s="28"/>
      <c r="J2103" s="28"/>
      <c r="K2103" s="28"/>
      <c r="L2103" s="28"/>
      <c r="M2103" s="28"/>
      <c r="N2103" s="28"/>
      <c r="O2103" s="99"/>
    </row>
    <row r="2104" spans="1:15">
      <c r="A2104" s="125"/>
      <c r="B2104" s="127"/>
      <c r="C2104" s="125"/>
      <c r="D2104" s="115"/>
      <c r="E2104" s="115"/>
      <c r="F2104" s="11" t="s">
        <v>586</v>
      </c>
      <c r="G2104" s="20" t="s">
        <v>587</v>
      </c>
      <c r="H2104" s="29" t="str">
        <f>VLOOKUP(G2104,'insumos terrapl'!$C$3:$K$47,2,0)</f>
        <v>2Q  62  30  02  14  00  00</v>
      </c>
      <c r="I2104" s="29" t="str">
        <f>VLOOKUP(G2104,'insumos terrapl'!$C$3:$K$47,3,0)</f>
        <v>2Q</v>
      </c>
      <c r="J2104" s="29">
        <f>VLOOKUP(G2104,'insumos terrapl'!$C$3:$K$47,4,0)</f>
        <v>62</v>
      </c>
      <c r="K2104" s="29">
        <f>VLOOKUP(G2104,'insumos terrapl'!$C$3:$K$47,5,0)</f>
        <v>30</v>
      </c>
      <c r="L2104" s="29" t="str">
        <f>VLOOKUP(G2104,'insumos terrapl'!$C$3:$K$47,6,0)</f>
        <v>02</v>
      </c>
      <c r="M2104" s="29" t="str">
        <f>VLOOKUP(G2104,'insumos terrapl'!$C$3:$K$47,7,0)</f>
        <v>14</v>
      </c>
      <c r="N2104" s="29" t="str">
        <f>VLOOKUP(G2104,'insumos terrapl'!$C$3:$K$47,8,0)</f>
        <v>00</v>
      </c>
      <c r="O2104" s="97" t="str">
        <f>VLOOKUP(G2104,'insumos terrapl'!$C$3:$K$47,9,0)</f>
        <v>00</v>
      </c>
    </row>
    <row r="2105" spans="1:15" ht="15.75" thickBot="1">
      <c r="A2105" s="130"/>
      <c r="B2105" s="128"/>
      <c r="C2105" s="130"/>
      <c r="D2105" s="129"/>
      <c r="E2105" s="129"/>
      <c r="F2105" s="24" t="s">
        <v>588</v>
      </c>
      <c r="G2105" s="25" t="s">
        <v>589</v>
      </c>
      <c r="H2105" s="30" t="str">
        <f>VLOOKUP(G2105,'insumos terrapl'!$C$3:$K$47,2,0)</f>
        <v>2N  20  14  08  00  00  00</v>
      </c>
      <c r="I2105" s="30" t="str">
        <f>VLOOKUP(G2105,'insumos terrapl'!$C$3:$K$47,3,0)</f>
        <v>2N</v>
      </c>
      <c r="J2105" s="30">
        <f>VLOOKUP(G2105,'insumos terrapl'!$C$3:$K$47,4,0)</f>
        <v>20</v>
      </c>
      <c r="K2105" s="30">
        <f>VLOOKUP(G2105,'insumos terrapl'!$C$3:$K$47,5,0)</f>
        <v>14</v>
      </c>
      <c r="L2105" s="30" t="str">
        <f>VLOOKUP(G2105,'insumos terrapl'!$C$3:$K$47,6,0)</f>
        <v>08</v>
      </c>
      <c r="M2105" s="30" t="str">
        <f>VLOOKUP(G2105,'insumos terrapl'!$C$3:$K$47,7,0)</f>
        <v>00</v>
      </c>
      <c r="N2105" s="30" t="str">
        <f>VLOOKUP(G2105,'insumos terrapl'!$C$3:$K$47,8,0)</f>
        <v>00</v>
      </c>
      <c r="O2105" s="102" t="str">
        <f>VLOOKUP(G2105,'insumos terrapl'!$C$3:$K$47,9,0)</f>
        <v>00</v>
      </c>
    </row>
  </sheetData>
  <mergeCells count="881">
    <mergeCell ref="A34:A58"/>
    <mergeCell ref="B34:B58"/>
    <mergeCell ref="B30:B33"/>
    <mergeCell ref="B27:B29"/>
    <mergeCell ref="B24:B26"/>
    <mergeCell ref="A9:A16"/>
    <mergeCell ref="A17:A19"/>
    <mergeCell ref="A30:A33"/>
    <mergeCell ref="F3:G3"/>
    <mergeCell ref="C5:C8"/>
    <mergeCell ref="C9:C12"/>
    <mergeCell ref="C13:C16"/>
    <mergeCell ref="E13:E16"/>
    <mergeCell ref="E9:E12"/>
    <mergeCell ref="D5:D8"/>
    <mergeCell ref="A4:B4"/>
    <mergeCell ref="A5:A8"/>
    <mergeCell ref="B5:B8"/>
    <mergeCell ref="B9:B16"/>
    <mergeCell ref="C17:C19"/>
    <mergeCell ref="C30:C33"/>
    <mergeCell ref="C27:C29"/>
    <mergeCell ref="E27:E29"/>
    <mergeCell ref="D9:D12"/>
    <mergeCell ref="C64:C68"/>
    <mergeCell ref="C39:C43"/>
    <mergeCell ref="C44:C48"/>
    <mergeCell ref="C49:C53"/>
    <mergeCell ref="E39:E43"/>
    <mergeCell ref="C34:C38"/>
    <mergeCell ref="E34:E38"/>
    <mergeCell ref="E44:E48"/>
    <mergeCell ref="E49:E53"/>
    <mergeCell ref="E54:E58"/>
    <mergeCell ref="D44:D48"/>
    <mergeCell ref="D49:D53"/>
    <mergeCell ref="D54:D58"/>
    <mergeCell ref="D59:D63"/>
    <mergeCell ref="D64:D68"/>
    <mergeCell ref="A106:A113"/>
    <mergeCell ref="B114:B122"/>
    <mergeCell ref="A114:A122"/>
    <mergeCell ref="A84:A88"/>
    <mergeCell ref="E84:E88"/>
    <mergeCell ref="C84:C88"/>
    <mergeCell ref="E24:E26"/>
    <mergeCell ref="E30:E33"/>
    <mergeCell ref="C59:C63"/>
    <mergeCell ref="E59:E63"/>
    <mergeCell ref="E64:E68"/>
    <mergeCell ref="E69:E73"/>
    <mergeCell ref="C24:C26"/>
    <mergeCell ref="C54:C58"/>
    <mergeCell ref="B59:B83"/>
    <mergeCell ref="B106:B113"/>
    <mergeCell ref="C106:C113"/>
    <mergeCell ref="C79:C83"/>
    <mergeCell ref="C74:C78"/>
    <mergeCell ref="C69:C73"/>
    <mergeCell ref="B89:B105"/>
    <mergeCell ref="A89:A105"/>
    <mergeCell ref="A24:A26"/>
    <mergeCell ref="A27:A29"/>
    <mergeCell ref="E74:E78"/>
    <mergeCell ref="E79:E83"/>
    <mergeCell ref="B84:B88"/>
    <mergeCell ref="A59:A83"/>
    <mergeCell ref="B17:B19"/>
    <mergeCell ref="E496:E502"/>
    <mergeCell ref="C496:C502"/>
    <mergeCell ref="C503:C509"/>
    <mergeCell ref="E503:E509"/>
    <mergeCell ref="C489:C495"/>
    <mergeCell ref="A142:A176"/>
    <mergeCell ref="C172:C176"/>
    <mergeCell ref="E172:E176"/>
    <mergeCell ref="C162:C166"/>
    <mergeCell ref="E152:E156"/>
    <mergeCell ref="E114:E122"/>
    <mergeCell ref="C114:C122"/>
    <mergeCell ref="C294:C299"/>
    <mergeCell ref="E294:E299"/>
    <mergeCell ref="C142:C146"/>
    <mergeCell ref="E142:E146"/>
    <mergeCell ref="E147:E151"/>
    <mergeCell ref="C147:C151"/>
    <mergeCell ref="C152:C156"/>
    <mergeCell ref="C510:C516"/>
    <mergeCell ref="E510:E516"/>
    <mergeCell ref="E106:E113"/>
    <mergeCell ref="E89:E105"/>
    <mergeCell ref="C89:C105"/>
    <mergeCell ref="B414:B418"/>
    <mergeCell ref="E414:E418"/>
    <mergeCell ref="C414:C418"/>
    <mergeCell ref="A414:A418"/>
    <mergeCell ref="E324:E329"/>
    <mergeCell ref="C324:C329"/>
    <mergeCell ref="C330:C335"/>
    <mergeCell ref="C336:C341"/>
    <mergeCell ref="C342:C347"/>
    <mergeCell ref="C348:C353"/>
    <mergeCell ref="B136:B141"/>
    <mergeCell ref="C136:C141"/>
    <mergeCell ref="E136:E141"/>
    <mergeCell ref="A136:A141"/>
    <mergeCell ref="E123:E135"/>
    <mergeCell ref="C123:C135"/>
    <mergeCell ref="B123:B135"/>
    <mergeCell ref="A123:A135"/>
    <mergeCell ref="B142:B176"/>
    <mergeCell ref="C157:C161"/>
    <mergeCell ref="C177:C180"/>
    <mergeCell ref="E177:E180"/>
    <mergeCell ref="E157:E161"/>
    <mergeCell ref="E162:E166"/>
    <mergeCell ref="C167:C171"/>
    <mergeCell ref="E167:E171"/>
    <mergeCell ref="B181:B413"/>
    <mergeCell ref="A181:A413"/>
    <mergeCell ref="C186:C191"/>
    <mergeCell ref="C192:C197"/>
    <mergeCell ref="C198:C203"/>
    <mergeCell ref="C204:C209"/>
    <mergeCell ref="A177:A180"/>
    <mergeCell ref="B177:B180"/>
    <mergeCell ref="C181:C185"/>
    <mergeCell ref="E181:E185"/>
    <mergeCell ref="C234:C239"/>
    <mergeCell ref="C240:C245"/>
    <mergeCell ref="C246:C251"/>
    <mergeCell ref="C252:C257"/>
    <mergeCell ref="E234:E239"/>
    <mergeCell ref="E240:E245"/>
    <mergeCell ref="E246:E251"/>
    <mergeCell ref="E252:E257"/>
    <mergeCell ref="C228:C233"/>
    <mergeCell ref="E210:E215"/>
    <mergeCell ref="E216:E221"/>
    <mergeCell ref="E222:E227"/>
    <mergeCell ref="E228:E233"/>
    <mergeCell ref="E186:E191"/>
    <mergeCell ref="E192:E197"/>
    <mergeCell ref="E198:E203"/>
    <mergeCell ref="E204:E209"/>
    <mergeCell ref="C210:C215"/>
    <mergeCell ref="C216:C221"/>
    <mergeCell ref="C222:C227"/>
    <mergeCell ref="D210:D215"/>
    <mergeCell ref="D216:D221"/>
    <mergeCell ref="D222:D227"/>
    <mergeCell ref="D228:D233"/>
    <mergeCell ref="D234:D239"/>
    <mergeCell ref="D240:D245"/>
    <mergeCell ref="D246:D251"/>
    <mergeCell ref="D252:D257"/>
    <mergeCell ref="D186:D191"/>
    <mergeCell ref="D192:D197"/>
    <mergeCell ref="D198:D203"/>
    <mergeCell ref="E258:E263"/>
    <mergeCell ref="E264:E269"/>
    <mergeCell ref="E270:E275"/>
    <mergeCell ref="E276:E281"/>
    <mergeCell ref="E282:E287"/>
    <mergeCell ref="E288:E293"/>
    <mergeCell ref="C258:C263"/>
    <mergeCell ref="C264:C269"/>
    <mergeCell ref="C270:C275"/>
    <mergeCell ref="C276:C281"/>
    <mergeCell ref="C282:C287"/>
    <mergeCell ref="C288:C293"/>
    <mergeCell ref="D258:D263"/>
    <mergeCell ref="D264:D269"/>
    <mergeCell ref="D270:D275"/>
    <mergeCell ref="D276:D281"/>
    <mergeCell ref="D282:D287"/>
    <mergeCell ref="D288:D293"/>
    <mergeCell ref="E468:E474"/>
    <mergeCell ref="E475:E481"/>
    <mergeCell ref="E482:E488"/>
    <mergeCell ref="E419:E425"/>
    <mergeCell ref="E426:E432"/>
    <mergeCell ref="E433:E439"/>
    <mergeCell ref="B419:B691"/>
    <mergeCell ref="A419:A691"/>
    <mergeCell ref="C419:C425"/>
    <mergeCell ref="C426:C432"/>
    <mergeCell ref="C433:C439"/>
    <mergeCell ref="C447:C453"/>
    <mergeCell ref="C454:C460"/>
    <mergeCell ref="C461:C467"/>
    <mergeCell ref="C468:C474"/>
    <mergeCell ref="C475:C481"/>
    <mergeCell ref="C517:C523"/>
    <mergeCell ref="C524:C530"/>
    <mergeCell ref="E524:E530"/>
    <mergeCell ref="E517:E523"/>
    <mergeCell ref="E489:E495"/>
    <mergeCell ref="E440:E446"/>
    <mergeCell ref="C440:C446"/>
    <mergeCell ref="C482:C488"/>
    <mergeCell ref="C372:C377"/>
    <mergeCell ref="C378:C383"/>
    <mergeCell ref="C384:C389"/>
    <mergeCell ref="E461:E467"/>
    <mergeCell ref="E447:E453"/>
    <mergeCell ref="E454:E460"/>
    <mergeCell ref="E402:E407"/>
    <mergeCell ref="E408:E413"/>
    <mergeCell ref="E372:E377"/>
    <mergeCell ref="E378:E383"/>
    <mergeCell ref="E384:E389"/>
    <mergeCell ref="E390:E395"/>
    <mergeCell ref="E396:E401"/>
    <mergeCell ref="C390:C395"/>
    <mergeCell ref="C396:C401"/>
    <mergeCell ref="C402:C407"/>
    <mergeCell ref="C408:C413"/>
    <mergeCell ref="D372:D377"/>
    <mergeCell ref="D378:D383"/>
    <mergeCell ref="D384:D389"/>
    <mergeCell ref="D390:D395"/>
    <mergeCell ref="D396:D401"/>
    <mergeCell ref="D402:D407"/>
    <mergeCell ref="D408:D413"/>
    <mergeCell ref="C300:C305"/>
    <mergeCell ref="C306:C311"/>
    <mergeCell ref="C312:C317"/>
    <mergeCell ref="C318:C323"/>
    <mergeCell ref="E300:E305"/>
    <mergeCell ref="E306:E311"/>
    <mergeCell ref="E312:E317"/>
    <mergeCell ref="E318:E323"/>
    <mergeCell ref="E366:E371"/>
    <mergeCell ref="E330:E335"/>
    <mergeCell ref="E336:E341"/>
    <mergeCell ref="E342:E347"/>
    <mergeCell ref="E348:E353"/>
    <mergeCell ref="E354:E359"/>
    <mergeCell ref="E360:E365"/>
    <mergeCell ref="C354:C359"/>
    <mergeCell ref="C360:C365"/>
    <mergeCell ref="C366:C371"/>
    <mergeCell ref="D348:D353"/>
    <mergeCell ref="D354:D359"/>
    <mergeCell ref="D360:D365"/>
    <mergeCell ref="D366:D371"/>
    <mergeCell ref="D342:D347"/>
    <mergeCell ref="E664:E670"/>
    <mergeCell ref="E671:E677"/>
    <mergeCell ref="E678:E685"/>
    <mergeCell ref="E686:E691"/>
    <mergeCell ref="C531:C537"/>
    <mergeCell ref="C538:C544"/>
    <mergeCell ref="C552:C558"/>
    <mergeCell ref="C545:C551"/>
    <mergeCell ref="C559:C565"/>
    <mergeCell ref="C566:C572"/>
    <mergeCell ref="E629:E635"/>
    <mergeCell ref="E636:E642"/>
    <mergeCell ref="E643:E649"/>
    <mergeCell ref="E650:E656"/>
    <mergeCell ref="E657:E663"/>
    <mergeCell ref="C629:C635"/>
    <mergeCell ref="C636:C642"/>
    <mergeCell ref="C643:C649"/>
    <mergeCell ref="C650:C656"/>
    <mergeCell ref="C657:C663"/>
    <mergeCell ref="E531:E537"/>
    <mergeCell ref="E538:E544"/>
    <mergeCell ref="E545:E551"/>
    <mergeCell ref="E552:E558"/>
    <mergeCell ref="E559:E565"/>
    <mergeCell ref="E566:E572"/>
    <mergeCell ref="E573:E579"/>
    <mergeCell ref="E580:E586"/>
    <mergeCell ref="E622:E628"/>
    <mergeCell ref="E587:E593"/>
    <mergeCell ref="E594:E600"/>
    <mergeCell ref="E601:E607"/>
    <mergeCell ref="E608:E614"/>
    <mergeCell ref="E615:E621"/>
    <mergeCell ref="C697:C701"/>
    <mergeCell ref="C702:C706"/>
    <mergeCell ref="C707:C711"/>
    <mergeCell ref="C712:C716"/>
    <mergeCell ref="C717:C721"/>
    <mergeCell ref="C722:C726"/>
    <mergeCell ref="C727:C731"/>
    <mergeCell ref="C580:C586"/>
    <mergeCell ref="C573:C579"/>
    <mergeCell ref="C601:C607"/>
    <mergeCell ref="C594:C600"/>
    <mergeCell ref="C587:C593"/>
    <mergeCell ref="C608:C614"/>
    <mergeCell ref="C615:C621"/>
    <mergeCell ref="C622:C628"/>
    <mergeCell ref="C686:C691"/>
    <mergeCell ref="C664:C670"/>
    <mergeCell ref="C671:C677"/>
    <mergeCell ref="C678:C685"/>
    <mergeCell ref="C762:C766"/>
    <mergeCell ref="C767:C771"/>
    <mergeCell ref="C772:C776"/>
    <mergeCell ref="C777:C781"/>
    <mergeCell ref="C732:C736"/>
    <mergeCell ref="C737:C741"/>
    <mergeCell ref="C742:C746"/>
    <mergeCell ref="C747:C751"/>
    <mergeCell ref="C752:C756"/>
    <mergeCell ref="C757:C761"/>
    <mergeCell ref="C812:C816"/>
    <mergeCell ref="C817:C821"/>
    <mergeCell ref="C822:C826"/>
    <mergeCell ref="C827:C831"/>
    <mergeCell ref="C832:C836"/>
    <mergeCell ref="C837:C841"/>
    <mergeCell ref="C782:C786"/>
    <mergeCell ref="C787:C791"/>
    <mergeCell ref="C792:C796"/>
    <mergeCell ref="C797:C801"/>
    <mergeCell ref="C802:C806"/>
    <mergeCell ref="C807:C811"/>
    <mergeCell ref="C872:C876"/>
    <mergeCell ref="C877:C881"/>
    <mergeCell ref="C882:C886"/>
    <mergeCell ref="C887:C891"/>
    <mergeCell ref="C892:C896"/>
    <mergeCell ref="C897:C901"/>
    <mergeCell ref="C842:C846"/>
    <mergeCell ref="C847:C851"/>
    <mergeCell ref="C852:C856"/>
    <mergeCell ref="C857:C861"/>
    <mergeCell ref="C862:C866"/>
    <mergeCell ref="C867:C871"/>
    <mergeCell ref="C932:C936"/>
    <mergeCell ref="C937:C941"/>
    <mergeCell ref="C942:C946"/>
    <mergeCell ref="C947:C951"/>
    <mergeCell ref="C952:C956"/>
    <mergeCell ref="C957:C961"/>
    <mergeCell ref="C902:C906"/>
    <mergeCell ref="C907:C911"/>
    <mergeCell ref="C912:C916"/>
    <mergeCell ref="C917:C921"/>
    <mergeCell ref="C922:C926"/>
    <mergeCell ref="C927:C931"/>
    <mergeCell ref="E692:E696"/>
    <mergeCell ref="E697:E701"/>
    <mergeCell ref="E702:E706"/>
    <mergeCell ref="E707:E711"/>
    <mergeCell ref="E712:E716"/>
    <mergeCell ref="E717:E721"/>
    <mergeCell ref="E722:E726"/>
    <mergeCell ref="E727:E731"/>
    <mergeCell ref="C1037:C1041"/>
    <mergeCell ref="C1002:C1006"/>
    <mergeCell ref="C1032:C1036"/>
    <mergeCell ref="C1027:C1031"/>
    <mergeCell ref="C1022:C1026"/>
    <mergeCell ref="C1017:C1021"/>
    <mergeCell ref="C1012:C1016"/>
    <mergeCell ref="C1007:C1011"/>
    <mergeCell ref="C962:C966"/>
    <mergeCell ref="C967:C971"/>
    <mergeCell ref="C972:C976"/>
    <mergeCell ref="C997:C1001"/>
    <mergeCell ref="C992:C996"/>
    <mergeCell ref="C987:C991"/>
    <mergeCell ref="C982:C986"/>
    <mergeCell ref="C977:C981"/>
    <mergeCell ref="E762:E766"/>
    <mergeCell ref="E767:E771"/>
    <mergeCell ref="E772:E776"/>
    <mergeCell ref="E777:E781"/>
    <mergeCell ref="E782:E786"/>
    <mergeCell ref="E732:E736"/>
    <mergeCell ref="E737:E741"/>
    <mergeCell ref="E742:E746"/>
    <mergeCell ref="E747:E751"/>
    <mergeCell ref="E752:E756"/>
    <mergeCell ref="E757:E761"/>
    <mergeCell ref="E817:E821"/>
    <mergeCell ref="E822:E826"/>
    <mergeCell ref="E827:E831"/>
    <mergeCell ref="E832:E836"/>
    <mergeCell ref="E837:E841"/>
    <mergeCell ref="E842:E846"/>
    <mergeCell ref="E787:E791"/>
    <mergeCell ref="E792:E796"/>
    <mergeCell ref="E797:E801"/>
    <mergeCell ref="E802:E806"/>
    <mergeCell ref="E807:E811"/>
    <mergeCell ref="E812:E816"/>
    <mergeCell ref="E877:E881"/>
    <mergeCell ref="E882:E886"/>
    <mergeCell ref="E887:E891"/>
    <mergeCell ref="E892:E896"/>
    <mergeCell ref="E897:E901"/>
    <mergeCell ref="E902:E906"/>
    <mergeCell ref="E847:E851"/>
    <mergeCell ref="E852:E856"/>
    <mergeCell ref="E857:E861"/>
    <mergeCell ref="E862:E866"/>
    <mergeCell ref="E867:E871"/>
    <mergeCell ref="E872:E876"/>
    <mergeCell ref="E937:E941"/>
    <mergeCell ref="E942:E946"/>
    <mergeCell ref="E947:E951"/>
    <mergeCell ref="E952:E956"/>
    <mergeCell ref="E957:E961"/>
    <mergeCell ref="E962:E966"/>
    <mergeCell ref="E907:E911"/>
    <mergeCell ref="E912:E916"/>
    <mergeCell ref="E917:E921"/>
    <mergeCell ref="E922:E926"/>
    <mergeCell ref="E927:E931"/>
    <mergeCell ref="E932:E936"/>
    <mergeCell ref="E997:E1001"/>
    <mergeCell ref="E1002:E1006"/>
    <mergeCell ref="E1007:E1011"/>
    <mergeCell ref="E1012:E1016"/>
    <mergeCell ref="E1017:E1021"/>
    <mergeCell ref="E1022:E1026"/>
    <mergeCell ref="E967:E971"/>
    <mergeCell ref="E972:E976"/>
    <mergeCell ref="E977:E981"/>
    <mergeCell ref="E982:E986"/>
    <mergeCell ref="E987:E991"/>
    <mergeCell ref="E992:E996"/>
    <mergeCell ref="E1057:E1061"/>
    <mergeCell ref="E1062:E1066"/>
    <mergeCell ref="E1067:E1071"/>
    <mergeCell ref="E1072:E1076"/>
    <mergeCell ref="B1077:B1094"/>
    <mergeCell ref="A1077:A1094"/>
    <mergeCell ref="C1077:C1094"/>
    <mergeCell ref="E1077:E1094"/>
    <mergeCell ref="E1027:E1031"/>
    <mergeCell ref="E1032:E1036"/>
    <mergeCell ref="E1037:E1041"/>
    <mergeCell ref="E1042:E1046"/>
    <mergeCell ref="E1047:E1051"/>
    <mergeCell ref="E1052:E1056"/>
    <mergeCell ref="C1067:C1071"/>
    <mergeCell ref="C1072:C1076"/>
    <mergeCell ref="C1062:C1066"/>
    <mergeCell ref="C1057:C1061"/>
    <mergeCell ref="C1052:C1056"/>
    <mergeCell ref="C1047:C1051"/>
    <mergeCell ref="C1042:C1046"/>
    <mergeCell ref="B692:B1076"/>
    <mergeCell ref="A692:A1076"/>
    <mergeCell ref="C692:C696"/>
    <mergeCell ref="C1275:C1294"/>
    <mergeCell ref="C1295:C1314"/>
    <mergeCell ref="C1315:C1334"/>
    <mergeCell ref="C1335:C1354"/>
    <mergeCell ref="C1355:C1374"/>
    <mergeCell ref="A1095:A1874"/>
    <mergeCell ref="B1095:B1874"/>
    <mergeCell ref="C1095:C1114"/>
    <mergeCell ref="C1115:C1134"/>
    <mergeCell ref="C1135:C1154"/>
    <mergeCell ref="C1155:C1174"/>
    <mergeCell ref="C1175:C1194"/>
    <mergeCell ref="C1195:C1214"/>
    <mergeCell ref="C1215:C1234"/>
    <mergeCell ref="C1235:C1254"/>
    <mergeCell ref="C1795:C1814"/>
    <mergeCell ref="C1815:C1834"/>
    <mergeCell ref="C1835:C1854"/>
    <mergeCell ref="C1855:C1874"/>
    <mergeCell ref="C1715:C1734"/>
    <mergeCell ref="C1735:C1754"/>
    <mergeCell ref="C1755:C1774"/>
    <mergeCell ref="C1535:C1554"/>
    <mergeCell ref="C1555:C1574"/>
    <mergeCell ref="E1095:E1114"/>
    <mergeCell ref="E1115:E1134"/>
    <mergeCell ref="E1135:E1154"/>
    <mergeCell ref="E1155:E1174"/>
    <mergeCell ref="E1175:E1194"/>
    <mergeCell ref="E1195:E1214"/>
    <mergeCell ref="C1675:C1694"/>
    <mergeCell ref="C1655:C1674"/>
    <mergeCell ref="C1695:C1714"/>
    <mergeCell ref="E1335:E1354"/>
    <mergeCell ref="E1355:E1374"/>
    <mergeCell ref="E1215:E1234"/>
    <mergeCell ref="E1235:E1254"/>
    <mergeCell ref="E1255:E1274"/>
    <mergeCell ref="E1275:E1294"/>
    <mergeCell ref="E1295:E1314"/>
    <mergeCell ref="E1315:E1334"/>
    <mergeCell ref="C1415:C1434"/>
    <mergeCell ref="C1435:C1454"/>
    <mergeCell ref="C1395:C1414"/>
    <mergeCell ref="C1475:C1494"/>
    <mergeCell ref="C1495:C1514"/>
    <mergeCell ref="C1455:C1474"/>
    <mergeCell ref="C1255:C1274"/>
    <mergeCell ref="C1575:C1594"/>
    <mergeCell ref="C1595:C1614"/>
    <mergeCell ref="C1615:C1634"/>
    <mergeCell ref="C1635:C1654"/>
    <mergeCell ref="C1375:C1394"/>
    <mergeCell ref="E1535:E1554"/>
    <mergeCell ref="E1555:E1574"/>
    <mergeCell ref="E1575:E1594"/>
    <mergeCell ref="E1375:E1394"/>
    <mergeCell ref="E1395:E1414"/>
    <mergeCell ref="E1415:E1434"/>
    <mergeCell ref="E1435:E1454"/>
    <mergeCell ref="C1515:C1534"/>
    <mergeCell ref="E1515:E1534"/>
    <mergeCell ref="E1455:E1474"/>
    <mergeCell ref="E1475:E1494"/>
    <mergeCell ref="E1495:E1514"/>
    <mergeCell ref="D1415:D1434"/>
    <mergeCell ref="D1435:D1454"/>
    <mergeCell ref="D1455:D1474"/>
    <mergeCell ref="D1475:D1494"/>
    <mergeCell ref="D1495:D1514"/>
    <mergeCell ref="D1515:D1534"/>
    <mergeCell ref="D1535:D1554"/>
    <mergeCell ref="E1795:E1814"/>
    <mergeCell ref="E1815:E1834"/>
    <mergeCell ref="E1595:E1614"/>
    <mergeCell ref="E1615:E1634"/>
    <mergeCell ref="E1635:E1654"/>
    <mergeCell ref="E1655:E1674"/>
    <mergeCell ref="E1675:E1694"/>
    <mergeCell ref="E1695:E1714"/>
    <mergeCell ref="C1899:C1903"/>
    <mergeCell ref="C1775:C1794"/>
    <mergeCell ref="E1715:E1734"/>
    <mergeCell ref="E1735:E1754"/>
    <mergeCell ref="E1755:E1774"/>
    <mergeCell ref="E1775:E1794"/>
    <mergeCell ref="E1835:E1854"/>
    <mergeCell ref="E1855:E1874"/>
    <mergeCell ref="D1735:D1754"/>
    <mergeCell ref="D1755:D1774"/>
    <mergeCell ref="D1775:D1794"/>
    <mergeCell ref="D1795:D1814"/>
    <mergeCell ref="D1815:D1834"/>
    <mergeCell ref="D1835:D1854"/>
    <mergeCell ref="D1855:D1874"/>
    <mergeCell ref="D1875:D1878"/>
    <mergeCell ref="B1875:B2073"/>
    <mergeCell ref="C1875:C1878"/>
    <mergeCell ref="C1879:C1883"/>
    <mergeCell ref="C1884:C1888"/>
    <mergeCell ref="C1889:C1893"/>
    <mergeCell ref="C1894:C1898"/>
    <mergeCell ref="E1875:E1878"/>
    <mergeCell ref="E1879:E1883"/>
    <mergeCell ref="E1884:E1888"/>
    <mergeCell ref="E1889:E1893"/>
    <mergeCell ref="E1894:E1898"/>
    <mergeCell ref="E1899:E1903"/>
    <mergeCell ref="C2024:C2028"/>
    <mergeCell ref="C2029:C2033"/>
    <mergeCell ref="C2034:C2038"/>
    <mergeCell ref="C1994:C1998"/>
    <mergeCell ref="C1999:C2003"/>
    <mergeCell ref="C1944:C1948"/>
    <mergeCell ref="C1949:C1953"/>
    <mergeCell ref="C1964:C1968"/>
    <mergeCell ref="C1959:C1963"/>
    <mergeCell ref="C1929:C1933"/>
    <mergeCell ref="C1934:C1938"/>
    <mergeCell ref="C1939:C1943"/>
    <mergeCell ref="E1904:E1908"/>
    <mergeCell ref="E1909:E1913"/>
    <mergeCell ref="E1914:E1918"/>
    <mergeCell ref="E1919:E1923"/>
    <mergeCell ref="E1924:E1928"/>
    <mergeCell ref="E1929:E1933"/>
    <mergeCell ref="C1954:C1958"/>
    <mergeCell ref="C1904:C1908"/>
    <mergeCell ref="C1909:C1913"/>
    <mergeCell ref="C1914:C1918"/>
    <mergeCell ref="C1919:C1923"/>
    <mergeCell ref="C1924:C1928"/>
    <mergeCell ref="E1949:E1953"/>
    <mergeCell ref="E1954:E1958"/>
    <mergeCell ref="D1924:D1928"/>
    <mergeCell ref="D1929:D1933"/>
    <mergeCell ref="D1934:D1938"/>
    <mergeCell ref="D1939:D1943"/>
    <mergeCell ref="D1944:D1948"/>
    <mergeCell ref="D1949:D1953"/>
    <mergeCell ref="D1954:D1958"/>
    <mergeCell ref="C1969:C1973"/>
    <mergeCell ref="C1974:C1978"/>
    <mergeCell ref="C1979:C1983"/>
    <mergeCell ref="C1984:C1988"/>
    <mergeCell ref="C1989:C1993"/>
    <mergeCell ref="D1959:D1963"/>
    <mergeCell ref="D1964:D1968"/>
    <mergeCell ref="D1969:D1973"/>
    <mergeCell ref="D1974:D1978"/>
    <mergeCell ref="D1979:D1983"/>
    <mergeCell ref="D1984:D1988"/>
    <mergeCell ref="D1989:D1993"/>
    <mergeCell ref="C2054:C2058"/>
    <mergeCell ref="C2059:C2063"/>
    <mergeCell ref="C2064:C2068"/>
    <mergeCell ref="C2039:C2043"/>
    <mergeCell ref="C2044:C2048"/>
    <mergeCell ref="C2049:C2053"/>
    <mergeCell ref="C2004:C2008"/>
    <mergeCell ref="C2009:C2013"/>
    <mergeCell ref="C2014:C2018"/>
    <mergeCell ref="C2019:C2023"/>
    <mergeCell ref="E1964:E1968"/>
    <mergeCell ref="E1969:E1973"/>
    <mergeCell ref="E1974:E1978"/>
    <mergeCell ref="E1979:E1983"/>
    <mergeCell ref="E1984:E1988"/>
    <mergeCell ref="E1989:E1993"/>
    <mergeCell ref="E1934:E1938"/>
    <mergeCell ref="E1939:E1943"/>
    <mergeCell ref="E1944:E1948"/>
    <mergeCell ref="E1959:E1963"/>
    <mergeCell ref="E2054:E2058"/>
    <mergeCell ref="E2059:E2063"/>
    <mergeCell ref="E2064:E2068"/>
    <mergeCell ref="E2069:E2073"/>
    <mergeCell ref="B2074:B2088"/>
    <mergeCell ref="A2074:A2088"/>
    <mergeCell ref="C2074:C2081"/>
    <mergeCell ref="C2082:C2088"/>
    <mergeCell ref="E2074:E2081"/>
    <mergeCell ref="E2082:E2088"/>
    <mergeCell ref="C2069:C2073"/>
    <mergeCell ref="A1875:A2073"/>
    <mergeCell ref="E2024:E2028"/>
    <mergeCell ref="E2029:E2033"/>
    <mergeCell ref="E2034:E2038"/>
    <mergeCell ref="E2039:E2043"/>
    <mergeCell ref="E2044:E2048"/>
    <mergeCell ref="E2049:E2053"/>
    <mergeCell ref="E1994:E1998"/>
    <mergeCell ref="E1999:E2003"/>
    <mergeCell ref="E2004:E2008"/>
    <mergeCell ref="E2009:E2013"/>
    <mergeCell ref="E2014:E2018"/>
    <mergeCell ref="E2019:E2023"/>
    <mergeCell ref="C2097:C2102"/>
    <mergeCell ref="E2097:E2102"/>
    <mergeCell ref="B2097:B2105"/>
    <mergeCell ref="E2103:E2105"/>
    <mergeCell ref="C2103:C2105"/>
    <mergeCell ref="A2097:A2105"/>
    <mergeCell ref="B2089:B2092"/>
    <mergeCell ref="A2089:A2092"/>
    <mergeCell ref="C2089:C2092"/>
    <mergeCell ref="E2089:E2092"/>
    <mergeCell ref="B2093:B2096"/>
    <mergeCell ref="C2093:C2096"/>
    <mergeCell ref="E2093:E2096"/>
    <mergeCell ref="A2093:A2096"/>
    <mergeCell ref="D2093:D2096"/>
    <mergeCell ref="D2097:D2102"/>
    <mergeCell ref="D2103:D2105"/>
    <mergeCell ref="D13:D16"/>
    <mergeCell ref="D17:D19"/>
    <mergeCell ref="D24:D26"/>
    <mergeCell ref="D27:D29"/>
    <mergeCell ref="D30:D33"/>
    <mergeCell ref="D34:D38"/>
    <mergeCell ref="D39:D43"/>
    <mergeCell ref="H3:O3"/>
    <mergeCell ref="E5:E8"/>
    <mergeCell ref="E17:E19"/>
    <mergeCell ref="D69:D73"/>
    <mergeCell ref="D74:D78"/>
    <mergeCell ref="D79:D83"/>
    <mergeCell ref="D84:D88"/>
    <mergeCell ref="D89:D105"/>
    <mergeCell ref="D106:D113"/>
    <mergeCell ref="D114:D122"/>
    <mergeCell ref="D123:D135"/>
    <mergeCell ref="D136:D141"/>
    <mergeCell ref="D142:D146"/>
    <mergeCell ref="D147:D151"/>
    <mergeCell ref="D152:D156"/>
    <mergeCell ref="D157:D161"/>
    <mergeCell ref="D162:D166"/>
    <mergeCell ref="D167:D171"/>
    <mergeCell ref="D172:D176"/>
    <mergeCell ref="D177:D180"/>
    <mergeCell ref="D181:D185"/>
    <mergeCell ref="D204:D209"/>
    <mergeCell ref="D294:D299"/>
    <mergeCell ref="D300:D305"/>
    <mergeCell ref="D306:D311"/>
    <mergeCell ref="D312:D317"/>
    <mergeCell ref="D318:D323"/>
    <mergeCell ref="D324:D329"/>
    <mergeCell ref="D330:D335"/>
    <mergeCell ref="D336:D341"/>
    <mergeCell ref="D414:D418"/>
    <mergeCell ref="D419:D425"/>
    <mergeCell ref="D426:D432"/>
    <mergeCell ref="D433:D439"/>
    <mergeCell ref="D440:D446"/>
    <mergeCell ref="D447:D453"/>
    <mergeCell ref="D454:D460"/>
    <mergeCell ref="D461:D467"/>
    <mergeCell ref="D468:D474"/>
    <mergeCell ref="D475:D481"/>
    <mergeCell ref="D482:D488"/>
    <mergeCell ref="D489:D495"/>
    <mergeCell ref="D496:D502"/>
    <mergeCell ref="D503:D509"/>
    <mergeCell ref="D510:D516"/>
    <mergeCell ref="D517:D523"/>
    <mergeCell ref="D524:D530"/>
    <mergeCell ref="D531:D537"/>
    <mergeCell ref="D538:D544"/>
    <mergeCell ref="D545:D551"/>
    <mergeCell ref="D552:D558"/>
    <mergeCell ref="D559:D565"/>
    <mergeCell ref="D566:D572"/>
    <mergeCell ref="D573:D579"/>
    <mergeCell ref="D580:D586"/>
    <mergeCell ref="D587:D593"/>
    <mergeCell ref="D594:D600"/>
    <mergeCell ref="D601:D607"/>
    <mergeCell ref="D608:D614"/>
    <mergeCell ref="D615:D621"/>
    <mergeCell ref="D622:D628"/>
    <mergeCell ref="D629:D635"/>
    <mergeCell ref="D636:D642"/>
    <mergeCell ref="D643:D649"/>
    <mergeCell ref="D650:D656"/>
    <mergeCell ref="D657:D663"/>
    <mergeCell ref="D664:D670"/>
    <mergeCell ref="D671:D677"/>
    <mergeCell ref="D678:D685"/>
    <mergeCell ref="D686:D691"/>
    <mergeCell ref="D692:D696"/>
    <mergeCell ref="D697:D701"/>
    <mergeCell ref="D702:D706"/>
    <mergeCell ref="D707:D711"/>
    <mergeCell ref="D712:D716"/>
    <mergeCell ref="D762:D766"/>
    <mergeCell ref="D767:D771"/>
    <mergeCell ref="D772:D776"/>
    <mergeCell ref="D777:D781"/>
    <mergeCell ref="D782:D786"/>
    <mergeCell ref="D787:D791"/>
    <mergeCell ref="D792:D796"/>
    <mergeCell ref="D797:D801"/>
    <mergeCell ref="D717:D721"/>
    <mergeCell ref="D722:D726"/>
    <mergeCell ref="D727:D731"/>
    <mergeCell ref="D732:D736"/>
    <mergeCell ref="D737:D741"/>
    <mergeCell ref="D742:D746"/>
    <mergeCell ref="D747:D751"/>
    <mergeCell ref="D752:D756"/>
    <mergeCell ref="D757:D761"/>
    <mergeCell ref="D802:D806"/>
    <mergeCell ref="D807:D811"/>
    <mergeCell ref="D812:D816"/>
    <mergeCell ref="D817:D821"/>
    <mergeCell ref="D822:D826"/>
    <mergeCell ref="D827:D831"/>
    <mergeCell ref="D832:D836"/>
    <mergeCell ref="D837:D841"/>
    <mergeCell ref="D842:D846"/>
    <mergeCell ref="D847:D851"/>
    <mergeCell ref="D852:D856"/>
    <mergeCell ref="D857:D861"/>
    <mergeCell ref="D862:D866"/>
    <mergeCell ref="D867:D871"/>
    <mergeCell ref="D872:D876"/>
    <mergeCell ref="D877:D881"/>
    <mergeCell ref="D882:D886"/>
    <mergeCell ref="D887:D891"/>
    <mergeCell ref="D892:D896"/>
    <mergeCell ref="D897:D901"/>
    <mergeCell ref="D902:D906"/>
    <mergeCell ref="D907:D911"/>
    <mergeCell ref="D912:D916"/>
    <mergeCell ref="D917:D921"/>
    <mergeCell ref="D922:D926"/>
    <mergeCell ref="D927:D931"/>
    <mergeCell ref="D932:D936"/>
    <mergeCell ref="D937:D941"/>
    <mergeCell ref="D942:D946"/>
    <mergeCell ref="D947:D951"/>
    <mergeCell ref="D952:D956"/>
    <mergeCell ref="D957:D961"/>
    <mergeCell ref="D962:D966"/>
    <mergeCell ref="D967:D971"/>
    <mergeCell ref="D972:D976"/>
    <mergeCell ref="D977:D981"/>
    <mergeCell ref="D982:D986"/>
    <mergeCell ref="D987:D991"/>
    <mergeCell ref="D992:D996"/>
    <mergeCell ref="D997:D1001"/>
    <mergeCell ref="D1002:D1006"/>
    <mergeCell ref="D1007:D1011"/>
    <mergeCell ref="D1012:D1016"/>
    <mergeCell ref="D1017:D1021"/>
    <mergeCell ref="D1022:D1026"/>
    <mergeCell ref="D1027:D1031"/>
    <mergeCell ref="D1032:D1036"/>
    <mergeCell ref="D1037:D1041"/>
    <mergeCell ref="D1042:D1046"/>
    <mergeCell ref="D1047:D1051"/>
    <mergeCell ref="D1052:D1056"/>
    <mergeCell ref="D1057:D1061"/>
    <mergeCell ref="D1062:D1066"/>
    <mergeCell ref="D1067:D1071"/>
    <mergeCell ref="D1072:D1076"/>
    <mergeCell ref="D1077:D1094"/>
    <mergeCell ref="D1095:D1114"/>
    <mergeCell ref="D1115:D1134"/>
    <mergeCell ref="D1135:D1154"/>
    <mergeCell ref="D1155:D1174"/>
    <mergeCell ref="D1175:D1194"/>
    <mergeCell ref="D1195:D1214"/>
    <mergeCell ref="D1215:D1234"/>
    <mergeCell ref="D1615:D1634"/>
    <mergeCell ref="D1635:D1654"/>
    <mergeCell ref="D1655:D1674"/>
    <mergeCell ref="D1675:D1694"/>
    <mergeCell ref="D1695:D1714"/>
    <mergeCell ref="D1715:D1734"/>
    <mergeCell ref="D1235:D1254"/>
    <mergeCell ref="D1255:D1274"/>
    <mergeCell ref="D1275:D1294"/>
    <mergeCell ref="D1295:D1314"/>
    <mergeCell ref="D1315:D1334"/>
    <mergeCell ref="D1335:D1354"/>
    <mergeCell ref="D1355:D1374"/>
    <mergeCell ref="D1375:D1394"/>
    <mergeCell ref="D1395:D1414"/>
    <mergeCell ref="A20:A23"/>
    <mergeCell ref="B20:B23"/>
    <mergeCell ref="C20:C23"/>
    <mergeCell ref="D20:D23"/>
    <mergeCell ref="E20:E23"/>
    <mergeCell ref="D2044:D2048"/>
    <mergeCell ref="D2049:D2053"/>
    <mergeCell ref="D2054:D2058"/>
    <mergeCell ref="D2059:D2063"/>
    <mergeCell ref="D2034:D2038"/>
    <mergeCell ref="D2039:D2043"/>
    <mergeCell ref="D1879:D1883"/>
    <mergeCell ref="D1884:D1888"/>
    <mergeCell ref="D1889:D1893"/>
    <mergeCell ref="D1894:D1898"/>
    <mergeCell ref="D1899:D1903"/>
    <mergeCell ref="D1904:D1908"/>
    <mergeCell ref="D1909:D1913"/>
    <mergeCell ref="D1914:D1918"/>
    <mergeCell ref="D1919:D1923"/>
    <mergeCell ref="D1994:D1998"/>
    <mergeCell ref="D1555:D1574"/>
    <mergeCell ref="D1575:D1594"/>
    <mergeCell ref="D1595:D1614"/>
    <mergeCell ref="D2064:D2068"/>
    <mergeCell ref="D2069:D2073"/>
    <mergeCell ref="D2074:D2081"/>
    <mergeCell ref="D2082:D2088"/>
    <mergeCell ref="D2089:D2092"/>
    <mergeCell ref="D1999:D2003"/>
    <mergeCell ref="D2004:D2008"/>
    <mergeCell ref="D2009:D2013"/>
    <mergeCell ref="D2014:D2018"/>
    <mergeCell ref="D2019:D2023"/>
    <mergeCell ref="D2024:D2028"/>
    <mergeCell ref="D2029:D2033"/>
  </mergeCells>
  <pageMargins left="0.51181102362204722" right="0.51181102362204722" top="0.78740157480314965" bottom="0.78740157480314965" header="0.31496062992125984" footer="0.31496062992125984"/>
  <pageSetup paperSize="9" scale="43" fitToHeight="100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9"/>
  <sheetViews>
    <sheetView workbookViewId="0">
      <selection activeCell="K29" sqref="K29"/>
    </sheetView>
  </sheetViews>
  <sheetFormatPr defaultRowHeight="15"/>
  <cols>
    <col min="1" max="1" width="9.140625" style="49"/>
    <col min="3" max="3" width="57.140625" style="51" customWidth="1"/>
    <col min="4" max="4" width="27.7109375" style="62" customWidth="1"/>
    <col min="5" max="11" width="9.140625" style="51"/>
  </cols>
  <sheetData>
    <row r="1" spans="2:12" ht="15.75" thickBot="1"/>
    <row r="2" spans="2:12" ht="30.75" thickBot="1">
      <c r="B2" s="52" t="s">
        <v>712</v>
      </c>
      <c r="C2" s="52" t="s">
        <v>585</v>
      </c>
      <c r="D2" s="113" t="s">
        <v>669</v>
      </c>
      <c r="E2" s="54" t="s">
        <v>670</v>
      </c>
      <c r="F2" s="54" t="s">
        <v>671</v>
      </c>
      <c r="G2" s="53" t="s">
        <v>672</v>
      </c>
      <c r="H2" s="54" t="s">
        <v>673</v>
      </c>
      <c r="I2" s="55" t="s">
        <v>674</v>
      </c>
      <c r="J2" s="53" t="s">
        <v>675</v>
      </c>
      <c r="K2" s="56" t="s">
        <v>676</v>
      </c>
    </row>
    <row r="3" spans="2:12">
      <c r="B3" s="112" t="s">
        <v>605</v>
      </c>
      <c r="C3" s="50" t="s">
        <v>606</v>
      </c>
      <c r="D3" s="63" t="str">
        <f t="shared" ref="D3:D9" si="0">E3&amp;"  "&amp;F3&amp;"  "&amp;G3&amp;"  "&amp;H3&amp;"  "&amp;I3&amp;"  "&amp;J3&amp;"  "&amp;K3</f>
        <v>2Q  62  30  02  14  00  00</v>
      </c>
      <c r="E3" s="44" t="s">
        <v>677</v>
      </c>
      <c r="F3" s="44">
        <v>62</v>
      </c>
      <c r="G3" s="44">
        <v>30</v>
      </c>
      <c r="H3" s="44" t="s">
        <v>685</v>
      </c>
      <c r="I3" s="44" t="s">
        <v>691</v>
      </c>
      <c r="J3" s="44" t="s">
        <v>680</v>
      </c>
      <c r="K3" s="44" t="s">
        <v>680</v>
      </c>
    </row>
    <row r="4" spans="2:12">
      <c r="B4" s="111" t="s">
        <v>588</v>
      </c>
      <c r="C4" s="109" t="s">
        <v>589</v>
      </c>
      <c r="D4" s="64" t="str">
        <f t="shared" si="0"/>
        <v>2N  20  14  08  00  00  00</v>
      </c>
      <c r="E4" s="46" t="s">
        <v>681</v>
      </c>
      <c r="F4" s="46">
        <v>20</v>
      </c>
      <c r="G4" s="46">
        <v>14</v>
      </c>
      <c r="H4" s="46" t="s">
        <v>694</v>
      </c>
      <c r="I4" s="46" t="s">
        <v>680</v>
      </c>
      <c r="J4" s="46" t="s">
        <v>680</v>
      </c>
      <c r="K4" s="46" t="s">
        <v>680</v>
      </c>
    </row>
    <row r="5" spans="2:12">
      <c r="B5" s="111" t="s">
        <v>586</v>
      </c>
      <c r="C5" s="109" t="s">
        <v>587</v>
      </c>
      <c r="D5" s="64" t="str">
        <f t="shared" si="0"/>
        <v>2Q  62  30  02  14  00  00</v>
      </c>
      <c r="E5" s="46" t="s">
        <v>677</v>
      </c>
      <c r="F5" s="46">
        <v>62</v>
      </c>
      <c r="G5" s="46">
        <v>30</v>
      </c>
      <c r="H5" s="46" t="s">
        <v>685</v>
      </c>
      <c r="I5" s="46" t="s">
        <v>691</v>
      </c>
      <c r="J5" s="46" t="s">
        <v>680</v>
      </c>
      <c r="K5" s="46" t="s">
        <v>680</v>
      </c>
    </row>
    <row r="6" spans="2:12">
      <c r="B6" s="111" t="s">
        <v>597</v>
      </c>
      <c r="C6" s="109" t="s">
        <v>598</v>
      </c>
      <c r="D6" s="64" t="str">
        <f t="shared" si="0"/>
        <v>2Q  62  30  06  02  00  00</v>
      </c>
      <c r="E6" s="46" t="s">
        <v>677</v>
      </c>
      <c r="F6" s="46">
        <v>62</v>
      </c>
      <c r="G6" s="46">
        <v>30</v>
      </c>
      <c r="H6" s="46" t="s">
        <v>683</v>
      </c>
      <c r="I6" s="46" t="s">
        <v>685</v>
      </c>
      <c r="J6" s="46" t="s">
        <v>680</v>
      </c>
      <c r="K6" s="46" t="s">
        <v>680</v>
      </c>
    </row>
    <row r="7" spans="2:12">
      <c r="B7" s="111" t="s">
        <v>593</v>
      </c>
      <c r="C7" s="109" t="s">
        <v>594</v>
      </c>
      <c r="D7" s="64" t="str">
        <f t="shared" si="0"/>
        <v>2Q  66  06  26  00  00  00</v>
      </c>
      <c r="E7" s="46" t="s">
        <v>677</v>
      </c>
      <c r="F7" s="46">
        <v>66</v>
      </c>
      <c r="G7" s="46" t="s">
        <v>683</v>
      </c>
      <c r="H7" s="46" t="s">
        <v>693</v>
      </c>
      <c r="I7" s="46" t="s">
        <v>680</v>
      </c>
      <c r="J7" s="46" t="s">
        <v>680</v>
      </c>
      <c r="K7" s="46" t="s">
        <v>680</v>
      </c>
    </row>
    <row r="8" spans="2:12" ht="45">
      <c r="B8" s="111" t="s">
        <v>649</v>
      </c>
      <c r="C8" s="109" t="s">
        <v>650</v>
      </c>
      <c r="D8" s="64" t="str">
        <f t="shared" si="0"/>
        <v>2Q  62  06  02  00  00  00</v>
      </c>
      <c r="E8" s="46" t="s">
        <v>677</v>
      </c>
      <c r="F8" s="46">
        <v>62</v>
      </c>
      <c r="G8" s="46" t="s">
        <v>683</v>
      </c>
      <c r="H8" s="46" t="s">
        <v>685</v>
      </c>
      <c r="I8" s="46" t="s">
        <v>680</v>
      </c>
      <c r="J8" s="46" t="s">
        <v>680</v>
      </c>
      <c r="K8" s="46" t="s">
        <v>680</v>
      </c>
    </row>
    <row r="9" spans="2:12" ht="30">
      <c r="B9" s="111" t="s">
        <v>628</v>
      </c>
      <c r="C9" s="109" t="s">
        <v>629</v>
      </c>
      <c r="D9" s="64" t="str">
        <f t="shared" si="0"/>
        <v>2Q  62  02  22  00  00  00</v>
      </c>
      <c r="E9" s="46" t="s">
        <v>677</v>
      </c>
      <c r="F9" s="46">
        <v>62</v>
      </c>
      <c r="G9" s="46" t="s">
        <v>685</v>
      </c>
      <c r="H9" s="46" t="s">
        <v>692</v>
      </c>
      <c r="I9" s="46" t="s">
        <v>680</v>
      </c>
      <c r="J9" s="46" t="s">
        <v>680</v>
      </c>
      <c r="K9" s="46" t="s">
        <v>680</v>
      </c>
    </row>
    <row r="10" spans="2:12">
      <c r="B10" s="111" t="s">
        <v>630</v>
      </c>
      <c r="C10" s="109" t="s">
        <v>631</v>
      </c>
      <c r="D10" s="64" t="str">
        <f t="shared" ref="D10:D18" si="1">E10&amp;"  "&amp;F10&amp;"  "&amp;G10&amp;"  "&amp;H10&amp;"  "&amp;I10&amp;"  "&amp;J10&amp;"  "&amp;K10</f>
        <v>2Q  62  50  10  00  00  00</v>
      </c>
      <c r="E10" s="46" t="s">
        <v>677</v>
      </c>
      <c r="F10" s="46">
        <v>62</v>
      </c>
      <c r="G10" s="46" t="s">
        <v>678</v>
      </c>
      <c r="H10" s="46" t="s">
        <v>679</v>
      </c>
      <c r="I10" s="46" t="s">
        <v>680</v>
      </c>
      <c r="J10" s="46" t="s">
        <v>680</v>
      </c>
      <c r="K10" s="46" t="s">
        <v>680</v>
      </c>
    </row>
    <row r="11" spans="2:12" ht="30">
      <c r="B11" s="111" t="s">
        <v>630</v>
      </c>
      <c r="C11" s="109" t="s">
        <v>632</v>
      </c>
      <c r="D11" s="64" t="str">
        <f t="shared" si="1"/>
        <v>2Q  66  06  02  00  00  00</v>
      </c>
      <c r="E11" s="46" t="s">
        <v>677</v>
      </c>
      <c r="F11" s="46">
        <v>66</v>
      </c>
      <c r="G11" s="46" t="s">
        <v>683</v>
      </c>
      <c r="H11" s="46" t="s">
        <v>685</v>
      </c>
      <c r="I11" s="46" t="s">
        <v>680</v>
      </c>
      <c r="J11" s="46" t="s">
        <v>680</v>
      </c>
      <c r="K11" s="46" t="s">
        <v>680</v>
      </c>
    </row>
    <row r="12" spans="2:12">
      <c r="B12" s="111" t="s">
        <v>607</v>
      </c>
      <c r="C12" s="109" t="s">
        <v>608</v>
      </c>
      <c r="D12" s="64" t="str">
        <f t="shared" si="1"/>
        <v>2Q  42  06  18  02  02  00</v>
      </c>
      <c r="E12" s="46" t="s">
        <v>677</v>
      </c>
      <c r="F12" s="46">
        <v>42</v>
      </c>
      <c r="G12" s="46" t="s">
        <v>683</v>
      </c>
      <c r="H12" s="46">
        <v>18</v>
      </c>
      <c r="I12" s="46" t="s">
        <v>685</v>
      </c>
      <c r="J12" s="46" t="s">
        <v>685</v>
      </c>
      <c r="K12" s="46" t="s">
        <v>680</v>
      </c>
      <c r="L12" s="45"/>
    </row>
    <row r="13" spans="2:12" ht="30">
      <c r="B13" s="111" t="s">
        <v>609</v>
      </c>
      <c r="C13" s="109" t="s">
        <v>610</v>
      </c>
      <c r="D13" s="64" t="str">
        <f t="shared" si="1"/>
        <v>2Q  42  06  02  14  02  00</v>
      </c>
      <c r="E13" s="46" t="s">
        <v>677</v>
      </c>
      <c r="F13" s="46">
        <v>42</v>
      </c>
      <c r="G13" s="46" t="s">
        <v>683</v>
      </c>
      <c r="H13" s="46" t="s">
        <v>685</v>
      </c>
      <c r="I13" s="46" t="s">
        <v>691</v>
      </c>
      <c r="J13" s="46" t="s">
        <v>685</v>
      </c>
      <c r="K13" s="46" t="s">
        <v>680</v>
      </c>
      <c r="L13" s="45"/>
    </row>
    <row r="14" spans="2:12">
      <c r="B14" s="111" t="s">
        <v>633</v>
      </c>
      <c r="C14" s="109" t="s">
        <v>634</v>
      </c>
      <c r="D14" s="64" t="str">
        <f t="shared" si="1"/>
        <v>2Q  58  10  10  02  06  00</v>
      </c>
      <c r="E14" s="46" t="s">
        <v>677</v>
      </c>
      <c r="F14" s="46">
        <v>58</v>
      </c>
      <c r="G14" s="46" t="s">
        <v>679</v>
      </c>
      <c r="H14" s="46" t="s">
        <v>679</v>
      </c>
      <c r="I14" s="46" t="s">
        <v>685</v>
      </c>
      <c r="J14" s="46" t="s">
        <v>683</v>
      </c>
      <c r="K14" s="46" t="s">
        <v>680</v>
      </c>
      <c r="L14" s="45"/>
    </row>
    <row r="15" spans="2:12">
      <c r="B15" s="111" t="s">
        <v>613</v>
      </c>
      <c r="C15" s="109" t="s">
        <v>614</v>
      </c>
      <c r="D15" s="64" t="str">
        <f t="shared" si="1"/>
        <v>2N  20  14  02  00  00  00</v>
      </c>
      <c r="E15" s="46" t="s">
        <v>681</v>
      </c>
      <c r="F15" s="46">
        <v>20</v>
      </c>
      <c r="G15" s="46" t="s">
        <v>691</v>
      </c>
      <c r="H15" s="46" t="s">
        <v>685</v>
      </c>
      <c r="I15" s="46" t="s">
        <v>680</v>
      </c>
      <c r="J15" s="46" t="s">
        <v>680</v>
      </c>
      <c r="K15" s="46" t="s">
        <v>680</v>
      </c>
      <c r="L15" s="45"/>
    </row>
    <row r="16" spans="2:12">
      <c r="B16" s="111" t="s">
        <v>615</v>
      </c>
      <c r="C16" s="109" t="s">
        <v>616</v>
      </c>
      <c r="D16" s="64" t="str">
        <f t="shared" si="1"/>
        <v>2N  20  14  02  00  00  00</v>
      </c>
      <c r="E16" s="46" t="s">
        <v>681</v>
      </c>
      <c r="F16" s="46">
        <v>20</v>
      </c>
      <c r="G16" s="46" t="s">
        <v>691</v>
      </c>
      <c r="H16" s="46" t="s">
        <v>685</v>
      </c>
      <c r="I16" s="46" t="s">
        <v>680</v>
      </c>
      <c r="J16" s="46" t="s">
        <v>680</v>
      </c>
      <c r="K16" s="46" t="s">
        <v>680</v>
      </c>
      <c r="L16" s="45"/>
    </row>
    <row r="17" spans="1:12">
      <c r="B17" s="111" t="s">
        <v>635</v>
      </c>
      <c r="C17" s="109" t="s">
        <v>636</v>
      </c>
      <c r="D17" s="64" t="str">
        <f t="shared" si="1"/>
        <v>2N  58  06  00  00  00  00</v>
      </c>
      <c r="E17" s="46" t="s">
        <v>681</v>
      </c>
      <c r="F17" s="46">
        <v>58</v>
      </c>
      <c r="G17" s="46" t="s">
        <v>683</v>
      </c>
      <c r="H17" s="46" t="s">
        <v>680</v>
      </c>
      <c r="I17" s="46" t="s">
        <v>680</v>
      </c>
      <c r="J17" s="46" t="s">
        <v>680</v>
      </c>
      <c r="K17" s="46" t="s">
        <v>680</v>
      </c>
      <c r="L17" s="45"/>
    </row>
    <row r="18" spans="1:12">
      <c r="B18" s="111" t="s">
        <v>617</v>
      </c>
      <c r="C18" s="109" t="s">
        <v>618</v>
      </c>
      <c r="D18" s="64" t="str">
        <f t="shared" si="1"/>
        <v>2Q  58  06  02  28  00  00</v>
      </c>
      <c r="E18" s="46" t="s">
        <v>677</v>
      </c>
      <c r="F18" s="46">
        <v>58</v>
      </c>
      <c r="G18" s="46" t="s">
        <v>683</v>
      </c>
      <c r="H18" s="46" t="s">
        <v>685</v>
      </c>
      <c r="I18" s="46" t="s">
        <v>695</v>
      </c>
      <c r="J18" s="46" t="s">
        <v>680</v>
      </c>
      <c r="K18" s="46" t="s">
        <v>680</v>
      </c>
      <c r="L18" s="45"/>
    </row>
    <row r="19" spans="1:12" ht="30">
      <c r="B19" s="111" t="s">
        <v>637</v>
      </c>
      <c r="C19" s="109" t="s">
        <v>638</v>
      </c>
      <c r="D19" s="64" t="str">
        <f t="shared" ref="D19:D26" si="2">E19&amp;"  "&amp;F19&amp;"  "&amp;G19&amp;"  "&amp;H19&amp;"  "&amp;I19&amp;"  "&amp;J19&amp;"  "&amp;K19</f>
        <v>2N  58  06  00  00  00  00</v>
      </c>
      <c r="E19" s="46" t="s">
        <v>681</v>
      </c>
      <c r="F19" s="46">
        <v>58</v>
      </c>
      <c r="G19" s="46" t="s">
        <v>683</v>
      </c>
      <c r="H19" s="46" t="s">
        <v>680</v>
      </c>
      <c r="I19" s="46" t="s">
        <v>680</v>
      </c>
      <c r="J19" s="46" t="s">
        <v>680</v>
      </c>
      <c r="K19" s="46" t="s">
        <v>680</v>
      </c>
      <c r="L19" s="45"/>
    </row>
    <row r="20" spans="1:12" ht="30">
      <c r="B20" s="111" t="s">
        <v>639</v>
      </c>
      <c r="C20" s="109" t="s">
        <v>640</v>
      </c>
      <c r="D20" s="64" t="str">
        <f t="shared" si="2"/>
        <v>2N  58  06  00  00  00  00</v>
      </c>
      <c r="E20" s="46" t="s">
        <v>681</v>
      </c>
      <c r="F20" s="46">
        <v>58</v>
      </c>
      <c r="G20" s="46" t="s">
        <v>683</v>
      </c>
      <c r="H20" s="46" t="s">
        <v>680</v>
      </c>
      <c r="I20" s="46" t="s">
        <v>680</v>
      </c>
      <c r="J20" s="46" t="s">
        <v>680</v>
      </c>
      <c r="K20" s="46" t="s">
        <v>680</v>
      </c>
      <c r="L20" s="45"/>
    </row>
    <row r="21" spans="1:12">
      <c r="B21" s="111" t="s">
        <v>641</v>
      </c>
      <c r="C21" s="109" t="s">
        <v>642</v>
      </c>
      <c r="D21" s="64" t="str">
        <f t="shared" si="2"/>
        <v>2N  58  06  00  00  00  00</v>
      </c>
      <c r="E21" s="46" t="s">
        <v>681</v>
      </c>
      <c r="F21" s="46">
        <v>58</v>
      </c>
      <c r="G21" s="46" t="s">
        <v>683</v>
      </c>
      <c r="H21" s="46" t="s">
        <v>680</v>
      </c>
      <c r="I21" s="46" t="s">
        <v>680</v>
      </c>
      <c r="J21" s="46" t="s">
        <v>680</v>
      </c>
      <c r="K21" s="46" t="s">
        <v>680</v>
      </c>
      <c r="L21" s="45"/>
    </row>
    <row r="22" spans="1:12">
      <c r="B22" s="111" t="s">
        <v>641</v>
      </c>
      <c r="C22" s="109" t="s">
        <v>642</v>
      </c>
      <c r="D22" s="64" t="str">
        <f t="shared" si="2"/>
        <v>2N  58  06  00  00  00  00</v>
      </c>
      <c r="E22" s="46" t="s">
        <v>681</v>
      </c>
      <c r="F22" s="46">
        <v>58</v>
      </c>
      <c r="G22" s="46" t="s">
        <v>683</v>
      </c>
      <c r="H22" s="46" t="s">
        <v>680</v>
      </c>
      <c r="I22" s="46" t="s">
        <v>680</v>
      </c>
      <c r="J22" s="46" t="s">
        <v>680</v>
      </c>
      <c r="K22" s="46" t="s">
        <v>680</v>
      </c>
      <c r="L22" s="45"/>
    </row>
    <row r="23" spans="1:12">
      <c r="B23" s="111" t="s">
        <v>643</v>
      </c>
      <c r="C23" s="109" t="s">
        <v>644</v>
      </c>
      <c r="D23" s="64" t="str">
        <f t="shared" si="2"/>
        <v>2N  58  06  00  00  00  00</v>
      </c>
      <c r="E23" s="46" t="s">
        <v>681</v>
      </c>
      <c r="F23" s="46">
        <v>58</v>
      </c>
      <c r="G23" s="46" t="s">
        <v>683</v>
      </c>
      <c r="H23" s="46" t="s">
        <v>680</v>
      </c>
      <c r="I23" s="46" t="s">
        <v>680</v>
      </c>
      <c r="J23" s="46" t="s">
        <v>680</v>
      </c>
      <c r="K23" s="46" t="s">
        <v>680</v>
      </c>
      <c r="L23" s="45"/>
    </row>
    <row r="24" spans="1:12">
      <c r="B24" s="111" t="s">
        <v>645</v>
      </c>
      <c r="C24" s="109" t="s">
        <v>646</v>
      </c>
      <c r="D24" s="64" t="str">
        <f t="shared" si="2"/>
        <v>2N  58  06  00  00  00  00</v>
      </c>
      <c r="E24" s="46" t="s">
        <v>681</v>
      </c>
      <c r="F24" s="46">
        <v>58</v>
      </c>
      <c r="G24" s="46" t="s">
        <v>683</v>
      </c>
      <c r="H24" s="46" t="s">
        <v>680</v>
      </c>
      <c r="I24" s="46" t="s">
        <v>680</v>
      </c>
      <c r="J24" s="46" t="s">
        <v>680</v>
      </c>
      <c r="K24" s="46" t="s">
        <v>680</v>
      </c>
      <c r="L24" s="45"/>
    </row>
    <row r="25" spans="1:12" ht="30">
      <c r="B25" s="111" t="s">
        <v>647</v>
      </c>
      <c r="C25" s="109" t="s">
        <v>648</v>
      </c>
      <c r="D25" s="64" t="str">
        <f t="shared" si="2"/>
        <v>2N  58  06  00  00  00  00</v>
      </c>
      <c r="E25" s="46" t="s">
        <v>681</v>
      </c>
      <c r="F25" s="46">
        <v>58</v>
      </c>
      <c r="G25" s="46" t="s">
        <v>683</v>
      </c>
      <c r="H25" s="46" t="s">
        <v>680</v>
      </c>
      <c r="I25" s="46" t="s">
        <v>680</v>
      </c>
      <c r="J25" s="46" t="s">
        <v>680</v>
      </c>
      <c r="K25" s="46" t="s">
        <v>680</v>
      </c>
      <c r="L25" s="45"/>
    </row>
    <row r="26" spans="1:12">
      <c r="B26" s="111" t="s">
        <v>621</v>
      </c>
      <c r="C26" s="109" t="s">
        <v>622</v>
      </c>
      <c r="D26" s="64" t="str">
        <f t="shared" si="2"/>
        <v>2N  58  06  00  00  00  00</v>
      </c>
      <c r="E26" s="46" t="s">
        <v>681</v>
      </c>
      <c r="F26" s="46">
        <v>58</v>
      </c>
      <c r="G26" s="46" t="s">
        <v>683</v>
      </c>
      <c r="H26" s="46" t="s">
        <v>680</v>
      </c>
      <c r="I26" s="46" t="s">
        <v>680</v>
      </c>
      <c r="J26" s="46" t="s">
        <v>680</v>
      </c>
      <c r="K26" s="46" t="s">
        <v>680</v>
      </c>
      <c r="L26" s="45"/>
    </row>
    <row r="27" spans="1:12">
      <c r="B27" s="111" t="s">
        <v>623</v>
      </c>
      <c r="C27" s="109" t="s">
        <v>624</v>
      </c>
      <c r="D27" s="64" t="str">
        <f t="shared" ref="D27:D32" si="3">E27&amp;"  "&amp;F27&amp;"  "&amp;G27&amp;"  "&amp;H27&amp;"  "&amp;I27&amp;"  "&amp;J27&amp;"  "&amp;K27</f>
        <v>2Q  42  06  18  02  02  00</v>
      </c>
      <c r="E27" s="46" t="s">
        <v>677</v>
      </c>
      <c r="F27" s="46">
        <v>42</v>
      </c>
      <c r="G27" s="46" t="s">
        <v>683</v>
      </c>
      <c r="H27" s="46">
        <v>18</v>
      </c>
      <c r="I27" s="46" t="s">
        <v>685</v>
      </c>
      <c r="J27" s="46" t="s">
        <v>685</v>
      </c>
      <c r="K27" s="46" t="s">
        <v>680</v>
      </c>
      <c r="L27" s="45"/>
    </row>
    <row r="28" spans="1:12" ht="30">
      <c r="B28" s="111" t="s">
        <v>625</v>
      </c>
      <c r="C28" s="109" t="s">
        <v>626</v>
      </c>
      <c r="D28" s="64" t="str">
        <f t="shared" si="3"/>
        <v>2C  4  02  14  00  00  00</v>
      </c>
      <c r="E28" s="46" t="s">
        <v>684</v>
      </c>
      <c r="F28" s="46">
        <v>4</v>
      </c>
      <c r="G28" s="46" t="s">
        <v>685</v>
      </c>
      <c r="H28" s="46">
        <v>14</v>
      </c>
      <c r="I28" s="46" t="s">
        <v>680</v>
      </c>
      <c r="J28" s="46" t="s">
        <v>680</v>
      </c>
      <c r="K28" s="46" t="s">
        <v>680</v>
      </c>
      <c r="L28" s="45"/>
    </row>
    <row r="29" spans="1:12" ht="30">
      <c r="B29" s="111" t="s">
        <v>625</v>
      </c>
      <c r="C29" s="109" t="s">
        <v>627</v>
      </c>
      <c r="D29" s="64" t="str">
        <f t="shared" si="3"/>
        <v>2Q  66  06  02  00  00  00</v>
      </c>
      <c r="E29" s="46" t="s">
        <v>677</v>
      </c>
      <c r="F29" s="46">
        <v>66</v>
      </c>
      <c r="G29" s="46" t="s">
        <v>683</v>
      </c>
      <c r="H29" s="46" t="s">
        <v>685</v>
      </c>
      <c r="I29" s="46" t="s">
        <v>680</v>
      </c>
      <c r="J29" s="46" t="s">
        <v>680</v>
      </c>
      <c r="K29" s="46" t="s">
        <v>680</v>
      </c>
      <c r="L29" s="45"/>
    </row>
    <row r="30" spans="1:12">
      <c r="B30" s="111" t="s">
        <v>611</v>
      </c>
      <c r="C30" s="109" t="s">
        <v>612</v>
      </c>
      <c r="D30" s="64" t="str">
        <f t="shared" si="3"/>
        <v>2Q  62  50  10  00  00  00</v>
      </c>
      <c r="E30" s="46" t="s">
        <v>677</v>
      </c>
      <c r="F30" s="46">
        <v>62</v>
      </c>
      <c r="G30" s="46" t="s">
        <v>678</v>
      </c>
      <c r="H30" s="46" t="s">
        <v>679</v>
      </c>
      <c r="I30" s="46" t="s">
        <v>680</v>
      </c>
      <c r="J30" s="46" t="s">
        <v>680</v>
      </c>
      <c r="K30" s="46" t="s">
        <v>680</v>
      </c>
      <c r="L30" s="45"/>
    </row>
    <row r="31" spans="1:12">
      <c r="B31" s="111" t="s">
        <v>667</v>
      </c>
      <c r="C31" s="109" t="s">
        <v>668</v>
      </c>
      <c r="D31" s="64" t="str">
        <f t="shared" si="3"/>
        <v>2Q  62  26  00  00  00  00</v>
      </c>
      <c r="E31" s="46" t="s">
        <v>677</v>
      </c>
      <c r="F31" s="46">
        <v>62</v>
      </c>
      <c r="G31" s="46" t="s">
        <v>693</v>
      </c>
      <c r="H31" s="46" t="s">
        <v>680</v>
      </c>
      <c r="I31" s="46" t="s">
        <v>680</v>
      </c>
      <c r="J31" s="46" t="s">
        <v>680</v>
      </c>
      <c r="K31" s="46" t="s">
        <v>680</v>
      </c>
      <c r="L31" s="45"/>
    </row>
    <row r="32" spans="1:12" s="48" customFormat="1">
      <c r="A32" s="49"/>
      <c r="B32" s="111" t="s">
        <v>651</v>
      </c>
      <c r="C32" s="109" t="s">
        <v>652</v>
      </c>
      <c r="D32" s="64" t="str">
        <f t="shared" si="3"/>
        <v>2Q  66  10  02  00  00  00</v>
      </c>
      <c r="E32" s="46" t="s">
        <v>677</v>
      </c>
      <c r="F32" s="46">
        <v>66</v>
      </c>
      <c r="G32" s="46" t="s">
        <v>679</v>
      </c>
      <c r="H32" s="46" t="s">
        <v>685</v>
      </c>
      <c r="I32" s="46" t="s">
        <v>680</v>
      </c>
      <c r="J32" s="46" t="s">
        <v>680</v>
      </c>
      <c r="K32" s="46" t="s">
        <v>680</v>
      </c>
      <c r="L32" s="45"/>
    </row>
    <row r="33" spans="2:12">
      <c r="B33" s="111" t="s">
        <v>653</v>
      </c>
      <c r="C33" s="109" t="s">
        <v>654</v>
      </c>
      <c r="D33" s="64" t="str">
        <f t="shared" ref="D33:D38" si="4">E33&amp;"  "&amp;F33&amp;"  "&amp;G33&amp;"  "&amp;H33&amp;"  "&amp;I33&amp;"  "&amp;J33&amp;"  "&amp;K33</f>
        <v>2Q  62  10  06  00  00  00</v>
      </c>
      <c r="E33" s="46" t="s">
        <v>677</v>
      </c>
      <c r="F33" s="46">
        <v>62</v>
      </c>
      <c r="G33" s="46" t="s">
        <v>679</v>
      </c>
      <c r="H33" s="46" t="s">
        <v>683</v>
      </c>
      <c r="I33" s="46" t="s">
        <v>680</v>
      </c>
      <c r="J33" s="46" t="s">
        <v>680</v>
      </c>
      <c r="K33" s="46" t="s">
        <v>680</v>
      </c>
      <c r="L33" s="45"/>
    </row>
    <row r="34" spans="2:12">
      <c r="B34" s="111" t="s">
        <v>651</v>
      </c>
      <c r="C34" s="109" t="s">
        <v>652</v>
      </c>
      <c r="D34" s="64" t="str">
        <f t="shared" si="4"/>
        <v>2Q  62  10  06  00  00  00</v>
      </c>
      <c r="E34" s="46" t="s">
        <v>677</v>
      </c>
      <c r="F34" s="46">
        <v>62</v>
      </c>
      <c r="G34" s="46" t="s">
        <v>679</v>
      </c>
      <c r="H34" s="46" t="s">
        <v>683</v>
      </c>
      <c r="I34" s="46" t="s">
        <v>680</v>
      </c>
      <c r="J34" s="46" t="s">
        <v>680</v>
      </c>
      <c r="K34" s="46" t="s">
        <v>680</v>
      </c>
      <c r="L34" s="45"/>
    </row>
    <row r="35" spans="2:12">
      <c r="B35" s="111" t="s">
        <v>657</v>
      </c>
      <c r="C35" s="109" t="s">
        <v>658</v>
      </c>
      <c r="D35" s="64" t="str">
        <f t="shared" si="4"/>
        <v>2Q  62  30  02  10  00  00</v>
      </c>
      <c r="E35" s="46" t="s">
        <v>677</v>
      </c>
      <c r="F35" s="46">
        <v>62</v>
      </c>
      <c r="G35" s="46" t="s">
        <v>682</v>
      </c>
      <c r="H35" s="46" t="s">
        <v>685</v>
      </c>
      <c r="I35" s="46" t="s">
        <v>679</v>
      </c>
      <c r="J35" s="46" t="s">
        <v>680</v>
      </c>
      <c r="K35" s="46" t="s">
        <v>680</v>
      </c>
      <c r="L35" s="45"/>
    </row>
    <row r="36" spans="2:12" ht="30">
      <c r="B36" s="111" t="s">
        <v>655</v>
      </c>
      <c r="C36" s="110" t="s">
        <v>656</v>
      </c>
      <c r="D36" s="64" t="str">
        <f t="shared" si="4"/>
        <v>2Q  62  02  10  00  00  00</v>
      </c>
      <c r="E36" s="46" t="s">
        <v>677</v>
      </c>
      <c r="F36" s="46">
        <v>62</v>
      </c>
      <c r="G36" s="46" t="s">
        <v>685</v>
      </c>
      <c r="H36" s="46" t="s">
        <v>679</v>
      </c>
      <c r="I36" s="46" t="s">
        <v>680</v>
      </c>
      <c r="J36" s="46" t="s">
        <v>680</v>
      </c>
      <c r="K36" s="46" t="s">
        <v>680</v>
      </c>
      <c r="L36" s="45"/>
    </row>
    <row r="37" spans="2:12" ht="30">
      <c r="B37" s="111" t="s">
        <v>659</v>
      </c>
      <c r="C37" s="110" t="s">
        <v>660</v>
      </c>
      <c r="D37" s="64" t="str">
        <f t="shared" si="4"/>
        <v>2Q  66  10  02  00  00  00</v>
      </c>
      <c r="E37" s="46" t="s">
        <v>677</v>
      </c>
      <c r="F37" s="46">
        <v>66</v>
      </c>
      <c r="G37" s="46" t="s">
        <v>679</v>
      </c>
      <c r="H37" s="46" t="s">
        <v>685</v>
      </c>
      <c r="I37" s="46" t="s">
        <v>680</v>
      </c>
      <c r="J37" s="46" t="s">
        <v>680</v>
      </c>
      <c r="K37" s="46" t="s">
        <v>680</v>
      </c>
      <c r="L37" s="45"/>
    </row>
    <row r="38" spans="2:12" ht="30">
      <c r="B38" s="111" t="s">
        <v>661</v>
      </c>
      <c r="C38" s="110" t="s">
        <v>662</v>
      </c>
      <c r="D38" s="64" t="str">
        <f t="shared" si="4"/>
        <v>2Q  62  10  06  00  00  00</v>
      </c>
      <c r="E38" s="46" t="s">
        <v>677</v>
      </c>
      <c r="F38" s="46">
        <v>62</v>
      </c>
      <c r="G38" s="46" t="s">
        <v>679</v>
      </c>
      <c r="H38" s="46" t="s">
        <v>683</v>
      </c>
      <c r="I38" s="46" t="s">
        <v>680</v>
      </c>
      <c r="J38" s="46" t="s">
        <v>680</v>
      </c>
      <c r="K38" s="46" t="s">
        <v>680</v>
      </c>
      <c r="L38" s="45"/>
    </row>
    <row r="39" spans="2:12">
      <c r="B39" s="111" t="s">
        <v>586</v>
      </c>
      <c r="C39" s="110" t="s">
        <v>587</v>
      </c>
      <c r="D39" s="64" t="str">
        <f t="shared" ref="D39:D47" si="5">E39&amp;"  "&amp;F39&amp;"  "&amp;G39&amp;"  "&amp;H39&amp;"  "&amp;I39&amp;"  "&amp;J39&amp;"  "&amp;K39</f>
        <v>2Q  62  30  02  06  00  00</v>
      </c>
      <c r="E39" s="46" t="s">
        <v>677</v>
      </c>
      <c r="F39" s="46">
        <v>62</v>
      </c>
      <c r="G39" s="46" t="s">
        <v>682</v>
      </c>
      <c r="H39" s="46" t="s">
        <v>685</v>
      </c>
      <c r="I39" s="46" t="s">
        <v>683</v>
      </c>
      <c r="J39" s="46" t="s">
        <v>680</v>
      </c>
      <c r="K39" s="46" t="s">
        <v>680</v>
      </c>
      <c r="L39" s="45"/>
    </row>
    <row r="40" spans="2:12" ht="30">
      <c r="B40" s="111" t="s">
        <v>663</v>
      </c>
      <c r="C40" s="110" t="s">
        <v>664</v>
      </c>
      <c r="D40" s="64" t="str">
        <f t="shared" si="5"/>
        <v>2Q  62  02  18  00  00  00</v>
      </c>
      <c r="E40" s="46" t="s">
        <v>677</v>
      </c>
      <c r="F40" s="46">
        <v>62</v>
      </c>
      <c r="G40" s="46" t="s">
        <v>685</v>
      </c>
      <c r="H40" s="46" t="s">
        <v>699</v>
      </c>
      <c r="I40" s="46" t="s">
        <v>680</v>
      </c>
      <c r="J40" s="46" t="s">
        <v>680</v>
      </c>
      <c r="K40" s="46" t="s">
        <v>680</v>
      </c>
      <c r="L40" s="45"/>
    </row>
    <row r="41" spans="2:12" ht="30">
      <c r="B41" s="111" t="s">
        <v>665</v>
      </c>
      <c r="C41" s="110" t="s">
        <v>666</v>
      </c>
      <c r="D41" s="64" t="str">
        <f t="shared" si="5"/>
        <v>2Q  66  10  02  00  00  00</v>
      </c>
      <c r="E41" s="46" t="s">
        <v>677</v>
      </c>
      <c r="F41" s="46">
        <v>66</v>
      </c>
      <c r="G41" s="46" t="s">
        <v>679</v>
      </c>
      <c r="H41" s="46" t="s">
        <v>685</v>
      </c>
      <c r="I41" s="46" t="s">
        <v>680</v>
      </c>
      <c r="J41" s="46" t="s">
        <v>680</v>
      </c>
      <c r="K41" s="46" t="s">
        <v>680</v>
      </c>
      <c r="L41" s="45"/>
    </row>
    <row r="42" spans="2:12">
      <c r="B42" s="111" t="s">
        <v>595</v>
      </c>
      <c r="C42" s="109" t="s">
        <v>596</v>
      </c>
      <c r="D42" s="64" t="str">
        <f t="shared" si="5"/>
        <v>2Q  62  34  66  02  00  00</v>
      </c>
      <c r="E42" s="46" t="s">
        <v>677</v>
      </c>
      <c r="F42" s="46">
        <v>62</v>
      </c>
      <c r="G42" s="46" t="s">
        <v>696</v>
      </c>
      <c r="H42" s="46" t="s">
        <v>698</v>
      </c>
      <c r="I42" s="46" t="s">
        <v>685</v>
      </c>
      <c r="J42" s="46" t="s">
        <v>680</v>
      </c>
      <c r="K42" s="46" t="s">
        <v>680</v>
      </c>
      <c r="L42" s="45"/>
    </row>
    <row r="43" spans="2:12" ht="30">
      <c r="B43" s="111" t="s">
        <v>599</v>
      </c>
      <c r="C43" s="109" t="s">
        <v>600</v>
      </c>
      <c r="D43" s="64" t="str">
        <f t="shared" si="5"/>
        <v>2Q  62  34  54  02  06  00</v>
      </c>
      <c r="E43" s="46" t="s">
        <v>677</v>
      </c>
      <c r="F43" s="46">
        <v>62</v>
      </c>
      <c r="G43" s="46" t="s">
        <v>696</v>
      </c>
      <c r="H43" s="46" t="s">
        <v>697</v>
      </c>
      <c r="I43" s="46" t="s">
        <v>685</v>
      </c>
      <c r="J43" s="46" t="s">
        <v>683</v>
      </c>
      <c r="K43" s="46" t="s">
        <v>680</v>
      </c>
      <c r="L43" s="45"/>
    </row>
    <row r="44" spans="2:12">
      <c r="B44" s="111" t="s">
        <v>601</v>
      </c>
      <c r="C44" s="109" t="s">
        <v>602</v>
      </c>
      <c r="D44" s="64" t="str">
        <f t="shared" si="5"/>
        <v>2Q  62  30  02  02  00  00</v>
      </c>
      <c r="E44" s="46" t="s">
        <v>677</v>
      </c>
      <c r="F44" s="46">
        <v>62</v>
      </c>
      <c r="G44" s="46" t="s">
        <v>682</v>
      </c>
      <c r="H44" s="46" t="s">
        <v>685</v>
      </c>
      <c r="I44" s="46" t="s">
        <v>685</v>
      </c>
      <c r="J44" s="46" t="s">
        <v>680</v>
      </c>
      <c r="K44" s="46" t="s">
        <v>680</v>
      </c>
      <c r="L44" s="45"/>
    </row>
    <row r="45" spans="2:12" ht="30">
      <c r="B45" s="111" t="s">
        <v>603</v>
      </c>
      <c r="C45" s="109" t="s">
        <v>604</v>
      </c>
      <c r="D45" s="64" t="str">
        <f t="shared" si="5"/>
        <v>2Q  62  34  54  02  02  00</v>
      </c>
      <c r="E45" s="46" t="s">
        <v>677</v>
      </c>
      <c r="F45" s="46">
        <v>62</v>
      </c>
      <c r="G45" s="46" t="s">
        <v>696</v>
      </c>
      <c r="H45" s="46" t="s">
        <v>697</v>
      </c>
      <c r="I45" s="46" t="s">
        <v>685</v>
      </c>
      <c r="J45" s="46" t="s">
        <v>685</v>
      </c>
      <c r="K45" s="46" t="s">
        <v>680</v>
      </c>
      <c r="L45" s="45"/>
    </row>
    <row r="46" spans="2:12">
      <c r="B46" s="111" t="s">
        <v>590</v>
      </c>
      <c r="C46" s="109" t="s">
        <v>591</v>
      </c>
      <c r="D46" s="64" t="str">
        <f t="shared" si="5"/>
        <v>2C  58  02  02  10  00  00</v>
      </c>
      <c r="E46" s="46" t="s">
        <v>684</v>
      </c>
      <c r="F46" s="46">
        <v>58</v>
      </c>
      <c r="G46" s="46" t="s">
        <v>685</v>
      </c>
      <c r="H46" s="46" t="s">
        <v>685</v>
      </c>
      <c r="I46" s="46" t="s">
        <v>679</v>
      </c>
      <c r="J46" s="46" t="s">
        <v>680</v>
      </c>
      <c r="K46" s="46" t="s">
        <v>680</v>
      </c>
      <c r="L46" s="45"/>
    </row>
    <row r="47" spans="2:12">
      <c r="B47" s="111" t="s">
        <v>590</v>
      </c>
      <c r="C47" s="109" t="s">
        <v>592</v>
      </c>
      <c r="D47" s="64" t="str">
        <f t="shared" si="5"/>
        <v>2Q  66  10  02  00  00  00</v>
      </c>
      <c r="E47" s="46" t="s">
        <v>677</v>
      </c>
      <c r="F47" s="46">
        <v>66</v>
      </c>
      <c r="G47" s="46" t="s">
        <v>679</v>
      </c>
      <c r="H47" s="46" t="s">
        <v>685</v>
      </c>
      <c r="I47" s="46" t="s">
        <v>680</v>
      </c>
      <c r="J47" s="46" t="s">
        <v>680</v>
      </c>
      <c r="K47" s="46" t="s">
        <v>680</v>
      </c>
      <c r="L47" s="45"/>
    </row>
    <row r="48" spans="2:12">
      <c r="D48" s="65"/>
      <c r="E48" s="57"/>
      <c r="F48" s="57"/>
      <c r="G48" s="57"/>
      <c r="H48" s="57"/>
      <c r="I48" s="57"/>
      <c r="J48" s="57"/>
      <c r="K48" s="57"/>
      <c r="L48" s="45"/>
    </row>
    <row r="49" spans="4:12">
      <c r="D49" s="65"/>
      <c r="E49" s="57"/>
      <c r="F49" s="57"/>
      <c r="G49" s="57"/>
      <c r="H49" s="57"/>
      <c r="I49" s="57"/>
      <c r="J49" s="57"/>
      <c r="K49" s="57"/>
      <c r="L49" s="45"/>
    </row>
    <row r="50" spans="4:12">
      <c r="D50" s="65"/>
      <c r="E50" s="57"/>
      <c r="F50" s="57"/>
      <c r="G50" s="57"/>
      <c r="H50" s="57"/>
      <c r="I50" s="57"/>
      <c r="J50" s="57"/>
      <c r="K50" s="57"/>
      <c r="L50" s="45"/>
    </row>
    <row r="51" spans="4:12">
      <c r="D51" s="65"/>
      <c r="E51" s="57"/>
      <c r="F51" s="57"/>
      <c r="G51" s="57"/>
      <c r="H51" s="57"/>
      <c r="I51" s="57"/>
      <c r="J51" s="57"/>
      <c r="K51" s="57"/>
      <c r="L51" s="45"/>
    </row>
    <row r="52" spans="4:12">
      <c r="D52" s="65"/>
      <c r="E52" s="57"/>
      <c r="F52" s="57"/>
      <c r="G52" s="57"/>
      <c r="H52" s="57"/>
      <c r="I52" s="57"/>
      <c r="J52" s="57"/>
      <c r="K52" s="57"/>
      <c r="L52" s="45"/>
    </row>
    <row r="53" spans="4:12">
      <c r="D53" s="65"/>
      <c r="E53" s="57"/>
      <c r="F53" s="57"/>
      <c r="G53" s="57"/>
      <c r="H53" s="57"/>
      <c r="I53" s="57"/>
      <c r="J53" s="57"/>
      <c r="K53" s="57"/>
      <c r="L53" s="45"/>
    </row>
    <row r="54" spans="4:12">
      <c r="D54" s="65"/>
      <c r="E54" s="57"/>
      <c r="F54" s="57"/>
      <c r="G54" s="57"/>
      <c r="H54" s="57"/>
      <c r="I54" s="57"/>
      <c r="J54" s="57"/>
      <c r="K54" s="57"/>
      <c r="L54" s="45"/>
    </row>
    <row r="55" spans="4:12">
      <c r="D55" s="65"/>
      <c r="E55" s="57"/>
      <c r="F55" s="57"/>
      <c r="G55" s="57"/>
      <c r="H55" s="57"/>
      <c r="I55" s="57"/>
      <c r="J55" s="57"/>
      <c r="K55" s="57"/>
      <c r="L55" s="45"/>
    </row>
    <row r="56" spans="4:12">
      <c r="D56" s="65"/>
      <c r="E56" s="57"/>
      <c r="F56" s="57"/>
      <c r="G56" s="57"/>
      <c r="H56" s="57"/>
      <c r="I56" s="57"/>
      <c r="J56" s="57"/>
      <c r="K56" s="57"/>
      <c r="L56" s="45"/>
    </row>
    <row r="57" spans="4:12">
      <c r="D57" s="65"/>
      <c r="E57" s="57"/>
      <c r="F57" s="57"/>
      <c r="G57" s="57"/>
      <c r="H57" s="57"/>
      <c r="I57" s="57"/>
      <c r="J57" s="57"/>
      <c r="K57" s="57"/>
      <c r="L57" s="45"/>
    </row>
    <row r="58" spans="4:12">
      <c r="D58" s="65"/>
      <c r="E58" s="57"/>
      <c r="F58" s="57"/>
      <c r="G58" s="57"/>
      <c r="H58" s="57"/>
      <c r="I58" s="57"/>
      <c r="J58" s="57"/>
      <c r="K58" s="57"/>
      <c r="L58" s="45"/>
    </row>
    <row r="59" spans="4:12">
      <c r="D59" s="65"/>
      <c r="E59" s="57"/>
      <c r="F59" s="57"/>
      <c r="G59" s="57"/>
      <c r="H59" s="57"/>
      <c r="I59" s="57"/>
      <c r="J59" s="57"/>
      <c r="K59" s="57"/>
      <c r="L59" s="45"/>
    </row>
  </sheetData>
  <autoFilter ref="E1:K59"/>
  <pageMargins left="0.51181102362204722" right="0.51181102362204722" top="0.78740157480314965" bottom="0.78740157480314965" header="0.31496062992125984" footer="0.31496062992125984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O277"/>
  <sheetViews>
    <sheetView showGridLines="0" topLeftCell="A204" zoomScale="70" zoomScaleNormal="70" workbookViewId="0">
      <selection activeCell="C210" sqref="C210"/>
    </sheetView>
  </sheetViews>
  <sheetFormatPr defaultRowHeight="15"/>
  <cols>
    <col min="1" max="1" width="6.5703125" style="47" customWidth="1"/>
    <col min="2" max="2" width="17.28515625" style="9" customWidth="1"/>
    <col min="3" max="3" width="75" style="37" customWidth="1"/>
    <col min="4" max="4" width="24.140625" hidden="1" customWidth="1"/>
    <col min="5" max="5" width="15.42578125" style="36" customWidth="1"/>
    <col min="6" max="6" width="59.7109375" style="58" customWidth="1"/>
    <col min="7" max="7" width="29.85546875" style="58" customWidth="1"/>
    <col min="8" max="8" width="13" style="59" hidden="1" customWidth="1"/>
    <col min="9" max="9" width="14.28515625" style="59" hidden="1" customWidth="1"/>
    <col min="10" max="14" width="14.28515625" style="60" hidden="1" customWidth="1"/>
    <col min="15" max="15" width="88" style="61" customWidth="1"/>
  </cols>
  <sheetData>
    <row r="2" spans="1:15" ht="15.75" thickBot="1"/>
    <row r="3" spans="1:15" s="37" customFormat="1" ht="42.75" customHeight="1" thickBot="1">
      <c r="A3" s="42"/>
      <c r="B3" s="103" t="s">
        <v>583</v>
      </c>
      <c r="C3" s="104" t="s">
        <v>5</v>
      </c>
      <c r="D3" s="105" t="s">
        <v>688</v>
      </c>
      <c r="E3" s="105" t="s">
        <v>711</v>
      </c>
      <c r="F3" s="106" t="s">
        <v>585</v>
      </c>
      <c r="G3" s="106" t="s">
        <v>669</v>
      </c>
      <c r="H3" s="106" t="s">
        <v>701</v>
      </c>
      <c r="I3" s="106" t="s">
        <v>702</v>
      </c>
      <c r="J3" s="106" t="s">
        <v>703</v>
      </c>
      <c r="K3" s="106" t="s">
        <v>704</v>
      </c>
      <c r="L3" s="106" t="s">
        <v>705</v>
      </c>
      <c r="M3" s="106" t="s">
        <v>706</v>
      </c>
      <c r="N3" s="106" t="s">
        <v>707</v>
      </c>
      <c r="O3" s="107" t="s">
        <v>710</v>
      </c>
    </row>
    <row r="4" spans="1:15" s="8" customFormat="1" ht="56.25">
      <c r="A4" s="47"/>
      <c r="B4" s="89">
        <v>5501700</v>
      </c>
      <c r="C4" s="90" t="s">
        <v>25</v>
      </c>
      <c r="D4" s="91" t="str">
        <f>VLOOKUP(B4,CORRESPONDENCIA!$C$4:$F$2105,2,0)</f>
        <v>2.1.1</v>
      </c>
      <c r="E4" s="91" t="str">
        <f>CORRESPONDENCIA!F6</f>
        <v>E9541</v>
      </c>
      <c r="F4" s="92" t="s">
        <v>606</v>
      </c>
      <c r="G4" s="93" t="str">
        <f>'insumos terrapl'!D3</f>
        <v>2Q  62  30  02  14  00  00</v>
      </c>
      <c r="H4" s="93" t="str">
        <f>'insumos terrapl'!E3</f>
        <v>2Q</v>
      </c>
      <c r="I4" s="93">
        <f>'insumos terrapl'!F3</f>
        <v>62</v>
      </c>
      <c r="J4" s="93">
        <f>'insumos terrapl'!G3</f>
        <v>30</v>
      </c>
      <c r="K4" s="93" t="str">
        <f>'insumos terrapl'!H3</f>
        <v>02</v>
      </c>
      <c r="L4" s="93" t="str">
        <f>'insumos terrapl'!I3</f>
        <v>14</v>
      </c>
      <c r="M4" s="93" t="str">
        <f>'insumos terrapl'!J3</f>
        <v>00</v>
      </c>
      <c r="N4" s="93" t="str">
        <f>'insumos terrapl'!K3</f>
        <v>00</v>
      </c>
      <c r="O4" s="94" t="str">
        <f xml:space="preserve"> C4 &amp; " | Insumo principal: " &amp; F4</f>
        <v>Desmatamento, destocamento e limpeza-área com árvores de diâmetro até 0, 15 m | Insumo principal: Trator sobre esteiras com lâmina - 259 kW</v>
      </c>
    </row>
    <row r="5" spans="1:15" s="8" customFormat="1" ht="56.25">
      <c r="A5" s="43"/>
      <c r="B5" s="79">
        <v>5501701</v>
      </c>
      <c r="C5" s="78" t="s">
        <v>26</v>
      </c>
      <c r="D5" s="66" t="str">
        <f>VLOOKUP(B5,CORRESPONDENCIA!$C$4:$F$2105,2,0)</f>
        <v>2.1.2</v>
      </c>
      <c r="E5" s="66" t="str">
        <f>CORRESPONDENCIA!F10</f>
        <v>E9541</v>
      </c>
      <c r="F5" s="67" t="s">
        <v>606</v>
      </c>
      <c r="G5" s="68" t="str">
        <f>'insumos terrapl'!D3</f>
        <v>2Q  62  30  02  14  00  00</v>
      </c>
      <c r="H5" s="68" t="str">
        <f>'insumos terrapl'!E3</f>
        <v>2Q</v>
      </c>
      <c r="I5" s="68">
        <f>'insumos terrapl'!F3</f>
        <v>62</v>
      </c>
      <c r="J5" s="68">
        <f>'insumos terrapl'!G3</f>
        <v>30</v>
      </c>
      <c r="K5" s="68" t="str">
        <f>'insumos terrapl'!H3</f>
        <v>02</v>
      </c>
      <c r="L5" s="68" t="str">
        <f>'insumos terrapl'!I3</f>
        <v>14</v>
      </c>
      <c r="M5" s="68" t="str">
        <f>'insumos terrapl'!J3</f>
        <v>00</v>
      </c>
      <c r="N5" s="68" t="str">
        <f>'insumos terrapl'!K3</f>
        <v>00</v>
      </c>
      <c r="O5" s="81" t="str">
        <f t="shared" ref="O5:O68" si="0" xml:space="preserve"> C5 &amp; " | Insumo principal: " &amp; F5</f>
        <v>Destocamento de árvores de diâmetro de 0,15 a 0,30 m  | Insumo principal: Trator sobre esteiras com lâmina - 259 kW</v>
      </c>
    </row>
    <row r="6" spans="1:15" s="8" customFormat="1" ht="56.25">
      <c r="A6" s="43"/>
      <c r="B6" s="79">
        <v>5501702</v>
      </c>
      <c r="C6" s="78" t="s">
        <v>27</v>
      </c>
      <c r="D6" s="66" t="str">
        <f>VLOOKUP(B6,CORRESPONDENCIA!$C$4:$F$2105,2,0)</f>
        <v>2.1.2</v>
      </c>
      <c r="E6" s="66" t="str">
        <f>CORRESPONDENCIA!F14</f>
        <v>E9541</v>
      </c>
      <c r="F6" s="67" t="s">
        <v>606</v>
      </c>
      <c r="G6" s="68" t="str">
        <f>'insumos terrapl'!D3</f>
        <v>2Q  62  30  02  14  00  00</v>
      </c>
      <c r="H6" s="68" t="str">
        <f>'insumos terrapl'!E3</f>
        <v>2Q</v>
      </c>
      <c r="I6" s="68">
        <f>'insumos terrapl'!F3</f>
        <v>62</v>
      </c>
      <c r="J6" s="68">
        <f>'insumos terrapl'!G3</f>
        <v>30</v>
      </c>
      <c r="K6" s="68" t="str">
        <f>'insumos terrapl'!H3</f>
        <v>02</v>
      </c>
      <c r="L6" s="68" t="str">
        <f>'insumos terrapl'!I3</f>
        <v>14</v>
      </c>
      <c r="M6" s="68" t="str">
        <f>'insumos terrapl'!J3</f>
        <v>00</v>
      </c>
      <c r="N6" s="68" t="str">
        <f>'insumos terrapl'!K3</f>
        <v>00</v>
      </c>
      <c r="O6" s="81" t="str">
        <f t="shared" si="0"/>
        <v>Destocamento de árvores de diâmetro superior a 0, 30 m | Insumo principal: Trator sobre esteiras com lâmina - 259 kW</v>
      </c>
    </row>
    <row r="7" spans="1:15" s="8" customFormat="1" ht="37.5">
      <c r="A7" s="43"/>
      <c r="B7" s="79">
        <v>5502985</v>
      </c>
      <c r="C7" s="78" t="s">
        <v>0</v>
      </c>
      <c r="D7" s="66" t="str">
        <f>VLOOKUP(B7,CORRESPONDENCIA!$C$4:$F$2105,2,0)</f>
        <v>2.1.3</v>
      </c>
      <c r="E7" s="66" t="str">
        <f>CORRESPONDENCIA!F18</f>
        <v>E9540</v>
      </c>
      <c r="F7" s="67" t="s">
        <v>587</v>
      </c>
      <c r="G7" s="68" t="str">
        <f>'insumos terrapl'!D5</f>
        <v>2Q  62  30  02  14  00  00</v>
      </c>
      <c r="H7" s="68" t="str">
        <f>'insumos terrapl'!E5</f>
        <v>2Q</v>
      </c>
      <c r="I7" s="68">
        <f>'insumos terrapl'!F5</f>
        <v>62</v>
      </c>
      <c r="J7" s="68">
        <f>'insumos terrapl'!G5</f>
        <v>30</v>
      </c>
      <c r="K7" s="68" t="str">
        <f>'insumos terrapl'!H5</f>
        <v>02</v>
      </c>
      <c r="L7" s="68" t="str">
        <f>'insumos terrapl'!I5</f>
        <v>14</v>
      </c>
      <c r="M7" s="68" t="str">
        <f>'insumos terrapl'!J5</f>
        <v>00</v>
      </c>
      <c r="N7" s="68" t="str">
        <f>'insumos terrapl'!K5</f>
        <v>00</v>
      </c>
      <c r="O7" s="81" t="str">
        <f t="shared" si="0"/>
        <v>Limpeza mecanizada da camada vegetal | Insumo principal: Trator sobre esteiras com lâmina - 127 kW</v>
      </c>
    </row>
    <row r="8" spans="1:15" s="8" customFormat="1" ht="37.5">
      <c r="A8" s="47"/>
      <c r="B8" s="79">
        <v>5502986</v>
      </c>
      <c r="C8" s="78" t="s">
        <v>1</v>
      </c>
      <c r="D8" s="66" t="str">
        <f>VLOOKUP(B8,CORRESPONDENCIA!$C$4:$F$2105,2,0)</f>
        <v>2.2.1</v>
      </c>
      <c r="E8" s="66" t="str">
        <f>CORRESPONDENCIA!F21</f>
        <v>E9540</v>
      </c>
      <c r="F8" s="67" t="s">
        <v>587</v>
      </c>
      <c r="G8" s="68" t="str">
        <f>'insumos terrapl'!D5</f>
        <v>2Q  62  30  02  14  00  00</v>
      </c>
      <c r="H8" s="68" t="str">
        <f>'insumos terrapl'!E5</f>
        <v>2Q</v>
      </c>
      <c r="I8" s="68">
        <f>'insumos terrapl'!F5</f>
        <v>62</v>
      </c>
      <c r="J8" s="68">
        <f>'insumos terrapl'!G5</f>
        <v>30</v>
      </c>
      <c r="K8" s="68" t="str">
        <f>'insumos terrapl'!H5</f>
        <v>02</v>
      </c>
      <c r="L8" s="68" t="str">
        <f>'insumos terrapl'!I5</f>
        <v>14</v>
      </c>
      <c r="M8" s="68" t="str">
        <f>'insumos terrapl'!J5</f>
        <v>00</v>
      </c>
      <c r="N8" s="68" t="str">
        <f>'insumos terrapl'!K5</f>
        <v>00</v>
      </c>
      <c r="O8" s="81" t="str">
        <f t="shared" si="0"/>
        <v>Expurgo de jazida | Insumo principal: Trator sobre esteiras com lâmina - 127 kW</v>
      </c>
    </row>
    <row r="9" spans="1:15" s="8" customFormat="1" ht="37.5">
      <c r="A9" s="43"/>
      <c r="B9" s="79">
        <v>5503018</v>
      </c>
      <c r="C9" s="78" t="s">
        <v>2</v>
      </c>
      <c r="D9" s="66" t="str">
        <f>VLOOKUP(B9,CORRESPONDENCIA!$C$4:$F$2105,2,0)</f>
        <v>2.3.1</v>
      </c>
      <c r="E9" s="66" t="str">
        <f>CORRESPONDENCIA!F25</f>
        <v>E9524</v>
      </c>
      <c r="F9" s="67" t="s">
        <v>598</v>
      </c>
      <c r="G9" s="68" t="str">
        <f>'insumos terrapl'!D6</f>
        <v>2Q  62  30  06  02  00  00</v>
      </c>
      <c r="H9" s="68" t="str">
        <f>'insumos terrapl'!E6</f>
        <v>2Q</v>
      </c>
      <c r="I9" s="68">
        <f>'insumos terrapl'!F6</f>
        <v>62</v>
      </c>
      <c r="J9" s="68">
        <f>'insumos terrapl'!G6</f>
        <v>30</v>
      </c>
      <c r="K9" s="68" t="str">
        <f>'insumos terrapl'!H6</f>
        <v>06</v>
      </c>
      <c r="L9" s="68" t="str">
        <f>'insumos terrapl'!I6</f>
        <v>02</v>
      </c>
      <c r="M9" s="68" t="str">
        <f>'insumos terrapl'!J6</f>
        <v>00</v>
      </c>
      <c r="N9" s="68" t="str">
        <f>'insumos terrapl'!K6</f>
        <v>00</v>
      </c>
      <c r="O9" s="81" t="str">
        <f t="shared" si="0"/>
        <v>Manutenção de caminhos de serviço | Insumo principal: Motoniveladora - 93 kW</v>
      </c>
    </row>
    <row r="10" spans="1:15" s="8" customFormat="1" ht="37.5">
      <c r="A10" s="43"/>
      <c r="B10" s="79">
        <v>5503020</v>
      </c>
      <c r="C10" s="78" t="s">
        <v>3</v>
      </c>
      <c r="D10" s="66" t="str">
        <f>VLOOKUP(B10,CORRESPONDENCIA!$C$4:$F$2105,2,0)</f>
        <v>2.3.2</v>
      </c>
      <c r="E10" s="66" t="str">
        <f>CORRESPONDENCIA!F211</f>
        <v>E9667</v>
      </c>
      <c r="F10" s="67" t="s">
        <v>594</v>
      </c>
      <c r="G10" s="68" t="str">
        <f>'insumos terrapl'!D7</f>
        <v>2Q  66  06  26  00  00  00</v>
      </c>
      <c r="H10" s="68" t="str">
        <f>'insumos terrapl'!E7</f>
        <v>2Q</v>
      </c>
      <c r="I10" s="68">
        <f>'insumos terrapl'!F7</f>
        <v>66</v>
      </c>
      <c r="J10" s="68" t="str">
        <f>'insumos terrapl'!G7</f>
        <v>06</v>
      </c>
      <c r="K10" s="68" t="str">
        <f>'insumos terrapl'!H7</f>
        <v>26</v>
      </c>
      <c r="L10" s="68" t="str">
        <f>'insumos terrapl'!I7</f>
        <v>00</v>
      </c>
      <c r="M10" s="68" t="str">
        <f>'insumos terrapl'!J7</f>
        <v>00</v>
      </c>
      <c r="N10" s="68" t="str">
        <f>'insumos terrapl'!K7</f>
        <v>00</v>
      </c>
      <c r="O10" s="81" t="str">
        <f t="shared" si="0"/>
        <v>Umedecimento de caminho de serviço | Insumo principal: Caminhão tanque com capacidade de 10.000 l - 188 kW</v>
      </c>
    </row>
    <row r="11" spans="1:15" s="8" customFormat="1" ht="75">
      <c r="A11" s="43"/>
      <c r="B11" s="79">
        <v>5501706</v>
      </c>
      <c r="C11" s="78" t="s">
        <v>4</v>
      </c>
      <c r="D11" s="66" t="str">
        <f>VLOOKUP(B11,CORRESPONDENCIA!$C$4:$F$2105,2,0)</f>
        <v>2.4.1</v>
      </c>
      <c r="E11" s="66" t="str">
        <f>CORRESPONDENCIA!F31</f>
        <v>E9526</v>
      </c>
      <c r="F11" s="67" t="s">
        <v>650</v>
      </c>
      <c r="G11" s="68" t="str">
        <f>'insumos terrapl'!D8</f>
        <v>2Q  62  06  02  00  00  00</v>
      </c>
      <c r="H11" s="68" t="str">
        <f>'insumos terrapl'!E8</f>
        <v>2Q</v>
      </c>
      <c r="I11" s="68">
        <f>'insumos terrapl'!F8</f>
        <v>62</v>
      </c>
      <c r="J11" s="68" t="str">
        <f>'insumos terrapl'!G8</f>
        <v>06</v>
      </c>
      <c r="K11" s="68" t="str">
        <f>'insumos terrapl'!H8</f>
        <v>02</v>
      </c>
      <c r="L11" s="68" t="str">
        <f>'insumos terrapl'!I8</f>
        <v>00</v>
      </c>
      <c r="M11" s="68" t="str">
        <f>'insumos terrapl'!J8</f>
        <v>00</v>
      </c>
      <c r="N11" s="68" t="str">
        <f>'insumos terrapl'!K8</f>
        <v>00</v>
      </c>
      <c r="O11" s="81" t="str">
        <f t="shared" si="0"/>
        <v xml:space="preserve">Escavação mecânica com retroescavadeira em material de 1ª categoria | Insumo principal: Retroescavadeira de pneus - capacidade da caçamba da pá-carregadeira de 0,76 m³ e da retroescavadeira de 0,29 m³ - 58 kW </v>
      </c>
    </row>
    <row r="12" spans="1:15" ht="75">
      <c r="A12" s="43"/>
      <c r="B12" s="79">
        <v>5502972</v>
      </c>
      <c r="C12" s="78" t="s">
        <v>62</v>
      </c>
      <c r="D12" s="66" t="str">
        <f>VLOOKUP(B12,CORRESPONDENCIA!$C$4:$F$2105,2,0)</f>
        <v>2.5.1</v>
      </c>
      <c r="E12" s="66" t="s">
        <v>630</v>
      </c>
      <c r="F12" s="67" t="s">
        <v>631</v>
      </c>
      <c r="G12" s="68" t="str">
        <f>'insumos terrapl'!D10</f>
        <v>2Q  62  50  10  00  00  00</v>
      </c>
      <c r="H12" s="68" t="str">
        <f>'insumos terrapl'!E10</f>
        <v>2Q</v>
      </c>
      <c r="I12" s="68">
        <f>'insumos terrapl'!F10</f>
        <v>62</v>
      </c>
      <c r="J12" s="68" t="str">
        <f>'insumos terrapl'!G10</f>
        <v>50</v>
      </c>
      <c r="K12" s="68" t="str">
        <f>'insumos terrapl'!H10</f>
        <v>10</v>
      </c>
      <c r="L12" s="68" t="str">
        <f>'insumos terrapl'!I10</f>
        <v>00</v>
      </c>
      <c r="M12" s="68" t="str">
        <f>'insumos terrapl'!J10</f>
        <v>00</v>
      </c>
      <c r="N12" s="68" t="str">
        <f>'insumos terrapl'!K10</f>
        <v>00</v>
      </c>
      <c r="O12" s="81" t="str">
        <f t="shared" si="0"/>
        <v>Escavação de vala em material de 3ª categoria - resistência à compressão acima de 110 MPa - com escavadeira e rompedor hidráulico 1.700 kg | Insumo principal: Ponteiro para rompedor hidráulico de 1.700 kg</v>
      </c>
    </row>
    <row r="13" spans="1:15" ht="75">
      <c r="A13" s="43"/>
      <c r="B13" s="79">
        <v>5502968</v>
      </c>
      <c r="C13" s="78" t="s">
        <v>63</v>
      </c>
      <c r="D13" s="66" t="str">
        <f>VLOOKUP(B13,CORRESPONDENCIA!$C$4:$F$2105,2,0)</f>
        <v>2.5.1</v>
      </c>
      <c r="E13" s="66" t="s">
        <v>630</v>
      </c>
      <c r="F13" s="67" t="s">
        <v>631</v>
      </c>
      <c r="G13" s="68" t="str">
        <f>'insumos terrapl'!D10</f>
        <v>2Q  62  50  10  00  00  00</v>
      </c>
      <c r="H13" s="68" t="str">
        <f>'insumos terrapl'!E10</f>
        <v>2Q</v>
      </c>
      <c r="I13" s="68">
        <f>'insumos terrapl'!F10</f>
        <v>62</v>
      </c>
      <c r="J13" s="68" t="str">
        <f>'insumos terrapl'!G10</f>
        <v>50</v>
      </c>
      <c r="K13" s="68" t="str">
        <f>'insumos terrapl'!H10</f>
        <v>10</v>
      </c>
      <c r="L13" s="68" t="str">
        <f>'insumos terrapl'!I10</f>
        <v>00</v>
      </c>
      <c r="M13" s="68" t="str">
        <f>'insumos terrapl'!J10</f>
        <v>00</v>
      </c>
      <c r="N13" s="68" t="str">
        <f>'insumos terrapl'!K10</f>
        <v>00</v>
      </c>
      <c r="O13" s="81" t="str">
        <f t="shared" si="0"/>
        <v>Escavação de vala em material de 3ª categoria - resistência à compressão até 50 MPa - com escavadeira e rompedor hidráulico 1.700 kg | Insumo principal: Ponteiro para rompedor hidráulico de 1.700 kg</v>
      </c>
    </row>
    <row r="14" spans="1:15" ht="75">
      <c r="B14" s="79">
        <v>5502969</v>
      </c>
      <c r="C14" s="78" t="s">
        <v>64</v>
      </c>
      <c r="D14" s="66" t="str">
        <f>VLOOKUP(B14,CORRESPONDENCIA!$C$4:$F$2105,2,0)</f>
        <v>2.5.1</v>
      </c>
      <c r="E14" s="66" t="s">
        <v>630</v>
      </c>
      <c r="F14" s="67" t="s">
        <v>631</v>
      </c>
      <c r="G14" s="68" t="str">
        <f>'insumos terrapl'!D10</f>
        <v>2Q  62  50  10  00  00  00</v>
      </c>
      <c r="H14" s="68" t="str">
        <f>'insumos terrapl'!E10</f>
        <v>2Q</v>
      </c>
      <c r="I14" s="68">
        <f>'insumos terrapl'!F10</f>
        <v>62</v>
      </c>
      <c r="J14" s="68" t="str">
        <f>'insumos terrapl'!G10</f>
        <v>50</v>
      </c>
      <c r="K14" s="68" t="str">
        <f>'insumos terrapl'!H10</f>
        <v>10</v>
      </c>
      <c r="L14" s="68" t="str">
        <f>'insumos terrapl'!I10</f>
        <v>00</v>
      </c>
      <c r="M14" s="68" t="str">
        <f>'insumos terrapl'!J10</f>
        <v>00</v>
      </c>
      <c r="N14" s="68" t="str">
        <f>'insumos terrapl'!K10</f>
        <v>00</v>
      </c>
      <c r="O14" s="81" t="str">
        <f t="shared" si="0"/>
        <v>Escavação de vala em material de 3ª categoria - resistência à compressão de 50 a 70 MPa - com escavadeira e rompedor hidráulico 1.700 kg | Insumo principal: Ponteiro para rompedor hidráulico de 1.700 kg</v>
      </c>
    </row>
    <row r="15" spans="1:15" ht="75">
      <c r="A15" s="43"/>
      <c r="B15" s="79">
        <v>5502970</v>
      </c>
      <c r="C15" s="78" t="s">
        <v>65</v>
      </c>
      <c r="D15" s="66" t="str">
        <f>VLOOKUP(B15,CORRESPONDENCIA!$C$4:$F$2105,2,0)</f>
        <v>2.5.1</v>
      </c>
      <c r="E15" s="66" t="s">
        <v>630</v>
      </c>
      <c r="F15" s="67" t="s">
        <v>631</v>
      </c>
      <c r="G15" s="68" t="str">
        <f>'insumos terrapl'!D10</f>
        <v>2Q  62  50  10  00  00  00</v>
      </c>
      <c r="H15" s="68" t="str">
        <f>'insumos terrapl'!E10</f>
        <v>2Q</v>
      </c>
      <c r="I15" s="68">
        <f>'insumos terrapl'!F10</f>
        <v>62</v>
      </c>
      <c r="J15" s="68" t="str">
        <f>'insumos terrapl'!G10</f>
        <v>50</v>
      </c>
      <c r="K15" s="68" t="str">
        <f>'insumos terrapl'!H10</f>
        <v>10</v>
      </c>
      <c r="L15" s="68" t="str">
        <f>'insumos terrapl'!I10</f>
        <v>00</v>
      </c>
      <c r="M15" s="68" t="str">
        <f>'insumos terrapl'!J10</f>
        <v>00</v>
      </c>
      <c r="N15" s="68" t="str">
        <f>'insumos terrapl'!K10</f>
        <v>00</v>
      </c>
      <c r="O15" s="81" t="str">
        <f t="shared" si="0"/>
        <v>Escavação de vala em material de 3ª categoria - resistência à compressão de 70 a 90 MPa - com escavadeira e rompedor hidráulico 1.700 kg | Insumo principal: Ponteiro para rompedor hidráulico de 1.700 kg</v>
      </c>
    </row>
    <row r="16" spans="1:15" ht="75">
      <c r="A16" s="43"/>
      <c r="B16" s="79">
        <v>5502971</v>
      </c>
      <c r="C16" s="78" t="s">
        <v>66</v>
      </c>
      <c r="D16" s="66" t="str">
        <f>VLOOKUP(B16,CORRESPONDENCIA!$C$4:$F$2105,2,0)</f>
        <v>2.5.1</v>
      </c>
      <c r="E16" s="66" t="str">
        <f>CORRESPONDENCIA!F56</f>
        <v>M0602</v>
      </c>
      <c r="F16" s="67" t="s">
        <v>631</v>
      </c>
      <c r="G16" s="68" t="str">
        <f>'insumos terrapl'!D10</f>
        <v>2Q  62  50  10  00  00  00</v>
      </c>
      <c r="H16" s="68" t="str">
        <f>'insumos terrapl'!E10</f>
        <v>2Q</v>
      </c>
      <c r="I16" s="68">
        <f>'insumos terrapl'!F10</f>
        <v>62</v>
      </c>
      <c r="J16" s="68" t="str">
        <f>'insumos terrapl'!G10</f>
        <v>50</v>
      </c>
      <c r="K16" s="68" t="str">
        <f>'insumos terrapl'!H10</f>
        <v>10</v>
      </c>
      <c r="L16" s="68" t="str">
        <f>'insumos terrapl'!I10</f>
        <v>00</v>
      </c>
      <c r="M16" s="68" t="str">
        <f>'insumos terrapl'!J10</f>
        <v>00</v>
      </c>
      <c r="N16" s="68" t="str">
        <f>'insumos terrapl'!K10</f>
        <v>00</v>
      </c>
      <c r="O16" s="81" t="str">
        <f t="shared" si="0"/>
        <v>Escavação de vala em material de 3ª categoria - resistência à compressão de 90 a 110 MPa - com escavadeira e rompedor hidráulico 1.700 kg | Insumo principal: Ponteiro para rompedor hidráulico de 1.700 kg</v>
      </c>
    </row>
    <row r="17" spans="1:15" ht="75">
      <c r="B17" s="79">
        <v>5502967</v>
      </c>
      <c r="C17" s="78" t="s">
        <v>330</v>
      </c>
      <c r="D17" s="66" t="str">
        <f>VLOOKUP(B17,CORRESPONDENCIA!$C$4:$F$2105,2,0)</f>
        <v>2.5.2</v>
      </c>
      <c r="E17" s="66" t="s">
        <v>630</v>
      </c>
      <c r="F17" s="67" t="s">
        <v>631</v>
      </c>
      <c r="G17" s="68" t="str">
        <f>'insumos terrapl'!D10</f>
        <v>2Q  62  50  10  00  00  00</v>
      </c>
      <c r="H17" s="68" t="str">
        <f>'insumos terrapl'!E10</f>
        <v>2Q</v>
      </c>
      <c r="I17" s="68">
        <f>'insumos terrapl'!F10</f>
        <v>62</v>
      </c>
      <c r="J17" s="68" t="str">
        <f>'insumos terrapl'!G10</f>
        <v>50</v>
      </c>
      <c r="K17" s="68" t="str">
        <f>'insumos terrapl'!H10</f>
        <v>10</v>
      </c>
      <c r="L17" s="68" t="str">
        <f>'insumos terrapl'!I10</f>
        <v>00</v>
      </c>
      <c r="M17" s="68" t="str">
        <f>'insumos terrapl'!J10</f>
        <v>00</v>
      </c>
      <c r="N17" s="68" t="str">
        <f>'insumos terrapl'!K10</f>
        <v>00</v>
      </c>
      <c r="O17" s="81" t="str">
        <f t="shared" si="0"/>
        <v>Escavação em material de 3ª categoria - resistência à compressão acima de 110 MPa - com escavadeira e rompedor hidráulico 1.700 kg | Insumo principal: Ponteiro para rompedor hidráulico de 1.700 kg</v>
      </c>
    </row>
    <row r="18" spans="1:15" ht="75">
      <c r="A18" s="43"/>
      <c r="B18" s="79">
        <v>5502963</v>
      </c>
      <c r="C18" s="78" t="s">
        <v>331</v>
      </c>
      <c r="D18" s="66" t="str">
        <f>VLOOKUP(B18,CORRESPONDENCIA!$C$4:$F$2105,2,0)</f>
        <v>2.5.2</v>
      </c>
      <c r="E18" s="66" t="s">
        <v>630</v>
      </c>
      <c r="F18" s="67" t="s">
        <v>631</v>
      </c>
      <c r="G18" s="68" t="str">
        <f>'insumos terrapl'!D10</f>
        <v>2Q  62  50  10  00  00  00</v>
      </c>
      <c r="H18" s="68" t="str">
        <f>'insumos terrapl'!E10</f>
        <v>2Q</v>
      </c>
      <c r="I18" s="68">
        <f>'insumos terrapl'!F10</f>
        <v>62</v>
      </c>
      <c r="J18" s="68" t="str">
        <f>'insumos terrapl'!G10</f>
        <v>50</v>
      </c>
      <c r="K18" s="68" t="str">
        <f>'insumos terrapl'!H10</f>
        <v>10</v>
      </c>
      <c r="L18" s="68" t="str">
        <f>'insumos terrapl'!I10</f>
        <v>00</v>
      </c>
      <c r="M18" s="68" t="str">
        <f>'insumos terrapl'!J10</f>
        <v>00</v>
      </c>
      <c r="N18" s="68" t="str">
        <f>'insumos terrapl'!K10</f>
        <v>00</v>
      </c>
      <c r="O18" s="81" t="str">
        <f t="shared" si="0"/>
        <v>Escavação em material de 3ª categoria - resistência à compressão até 50 MPa - com escavadeira e rompedor hidráulico 1.700 kg | Insumo principal: Ponteiro para rompedor hidráulico de 1.700 kg</v>
      </c>
    </row>
    <row r="19" spans="1:15" ht="75">
      <c r="A19" s="43"/>
      <c r="B19" s="79">
        <v>5502964</v>
      </c>
      <c r="C19" s="78" t="s">
        <v>332</v>
      </c>
      <c r="D19" s="66" t="str">
        <f>VLOOKUP(B19,CORRESPONDENCIA!$C$4:$F$2105,2,0)</f>
        <v>2.5.2</v>
      </c>
      <c r="E19" s="66" t="s">
        <v>630</v>
      </c>
      <c r="F19" s="67" t="s">
        <v>631</v>
      </c>
      <c r="G19" s="68" t="str">
        <f>'insumos terrapl'!D10</f>
        <v>2Q  62  50  10  00  00  00</v>
      </c>
      <c r="H19" s="68" t="str">
        <f>'insumos terrapl'!E10</f>
        <v>2Q</v>
      </c>
      <c r="I19" s="68">
        <f>'insumos terrapl'!F10</f>
        <v>62</v>
      </c>
      <c r="J19" s="68" t="str">
        <f>'insumos terrapl'!G10</f>
        <v>50</v>
      </c>
      <c r="K19" s="68" t="str">
        <f>'insumos terrapl'!H10</f>
        <v>10</v>
      </c>
      <c r="L19" s="68" t="str">
        <f>'insumos terrapl'!I10</f>
        <v>00</v>
      </c>
      <c r="M19" s="68" t="str">
        <f>'insumos terrapl'!J10</f>
        <v>00</v>
      </c>
      <c r="N19" s="68" t="str">
        <f>'insumos terrapl'!K10</f>
        <v>00</v>
      </c>
      <c r="O19" s="81" t="str">
        <f t="shared" si="0"/>
        <v>Escavação em material de 3ª categoria - resistência à compressão de 50 a 70 MPa - com escavadeira e rompedor hidráulico 1.700 kg | Insumo principal: Ponteiro para rompedor hidráulico de 1.700 kg</v>
      </c>
    </row>
    <row r="20" spans="1:15" ht="75">
      <c r="B20" s="79">
        <v>5502965</v>
      </c>
      <c r="C20" s="78" t="s">
        <v>333</v>
      </c>
      <c r="D20" s="66" t="str">
        <f>VLOOKUP(B20,CORRESPONDENCIA!$C$4:$F$2105,2,0)</f>
        <v>2.5.2</v>
      </c>
      <c r="E20" s="66" t="s">
        <v>630</v>
      </c>
      <c r="F20" s="67" t="s">
        <v>631</v>
      </c>
      <c r="G20" s="68" t="str">
        <f>'insumos terrapl'!D10</f>
        <v>2Q  62  50  10  00  00  00</v>
      </c>
      <c r="H20" s="68" t="str">
        <f>'insumos terrapl'!E10</f>
        <v>2Q</v>
      </c>
      <c r="I20" s="68">
        <f>'insumos terrapl'!F10</f>
        <v>62</v>
      </c>
      <c r="J20" s="68" t="str">
        <f>'insumos terrapl'!G10</f>
        <v>50</v>
      </c>
      <c r="K20" s="68" t="str">
        <f>'insumos terrapl'!H10</f>
        <v>10</v>
      </c>
      <c r="L20" s="68" t="str">
        <f>'insumos terrapl'!I10</f>
        <v>00</v>
      </c>
      <c r="M20" s="68" t="str">
        <f>'insumos terrapl'!J10</f>
        <v>00</v>
      </c>
      <c r="N20" s="68" t="str">
        <f>'insumos terrapl'!K10</f>
        <v>00</v>
      </c>
      <c r="O20" s="81" t="str">
        <f t="shared" si="0"/>
        <v>Escavação em material de 3ª categoria - resistência à compressão de 70 a 90 MPa - com escavadeira e rompedor hidráulico 1.700 kg | Insumo principal: Ponteiro para rompedor hidráulico de 1.700 kg</v>
      </c>
    </row>
    <row r="21" spans="1:15" ht="93.75">
      <c r="A21" s="43"/>
      <c r="B21" s="79">
        <v>5502966</v>
      </c>
      <c r="C21" s="78" t="s">
        <v>334</v>
      </c>
      <c r="D21" s="66" t="str">
        <f>VLOOKUP(B21,CORRESPONDENCIA!$C$4:$F$2105,2,0)</f>
        <v>2.5.2</v>
      </c>
      <c r="E21" s="66" t="str">
        <f>CORRESPONDENCIA!F108</f>
        <v>E9527</v>
      </c>
      <c r="F21" s="67" t="s">
        <v>610</v>
      </c>
      <c r="G21" s="68" t="str">
        <f>'insumos terrapl'!D13</f>
        <v>2Q  42  06  02  14  02  00</v>
      </c>
      <c r="H21" s="68" t="str">
        <f>'insumos terrapl'!E13</f>
        <v>2Q</v>
      </c>
      <c r="I21" s="68">
        <f>'insumos terrapl'!F13</f>
        <v>42</v>
      </c>
      <c r="J21" s="68" t="str">
        <f>'insumos terrapl'!G13</f>
        <v>06</v>
      </c>
      <c r="K21" s="68" t="str">
        <f>'insumos terrapl'!H13</f>
        <v>02</v>
      </c>
      <c r="L21" s="68" t="str">
        <f>'insumos terrapl'!I13</f>
        <v>14</v>
      </c>
      <c r="M21" s="68" t="str">
        <f>'insumos terrapl'!J13</f>
        <v>02</v>
      </c>
      <c r="N21" s="68" t="str">
        <f>'insumos terrapl'!K13</f>
        <v>00</v>
      </c>
      <c r="O21" s="81" t="str">
        <f t="shared" si="0"/>
        <v>Escavação em material de 3ª categoria - resistência à compressão de 90 a 110 MPa - com escavadeira e rompedor hidráulico 1.700 kg | Insumo principal: Martelete perfurador/rompedor a ar comprimido de 25 kg para rocha com capacidade de 2.040 gpm</v>
      </c>
    </row>
    <row r="22" spans="1:15" ht="56.25">
      <c r="A22" s="11"/>
      <c r="B22" s="79">
        <v>5502977</v>
      </c>
      <c r="C22" s="78" t="s">
        <v>8</v>
      </c>
      <c r="D22" s="66" t="str">
        <f>VLOOKUP(B22,CORRESPONDENCIA!$C$4:$F$2105,2,0)</f>
        <v>2.5.3</v>
      </c>
      <c r="E22" s="69" t="s">
        <v>628</v>
      </c>
      <c r="F22" s="70" t="s">
        <v>629</v>
      </c>
      <c r="G22" s="68" t="str">
        <f>'insumos terrapl'!D14</f>
        <v>2Q  58  10  10  02  06  00</v>
      </c>
      <c r="H22" s="68" t="e">
        <f>'insumos terrapl'!#REF!</f>
        <v>#REF!</v>
      </c>
      <c r="I22" s="68" t="e">
        <f>'insumos terrapl'!#REF!</f>
        <v>#REF!</v>
      </c>
      <c r="J22" s="68" t="e">
        <f>'insumos terrapl'!#REF!</f>
        <v>#REF!</v>
      </c>
      <c r="K22" s="68" t="e">
        <f>'insumos terrapl'!#REF!</f>
        <v>#REF!</v>
      </c>
      <c r="L22" s="68" t="e">
        <f>'insumos terrapl'!#REF!</f>
        <v>#REF!</v>
      </c>
      <c r="M22" s="68" t="e">
        <f>'insumos terrapl'!#REF!</f>
        <v>#REF!</v>
      </c>
      <c r="N22" s="68" t="e">
        <f>'insumos terrapl'!#REF!</f>
        <v>#REF!</v>
      </c>
      <c r="O22" s="81" t="str">
        <f t="shared" si="0"/>
        <v>Fragmentação de blocos de rocha com escavadeira e rompedor hidráulico | Insumo principal: Escavadeira hidráulica com martelo hidráulico de 1.700 kg - 103 kW</v>
      </c>
    </row>
    <row r="23" spans="1:15" ht="56.25">
      <c r="A23" s="11"/>
      <c r="B23" s="79">
        <v>5502993</v>
      </c>
      <c r="C23" s="78" t="s">
        <v>9</v>
      </c>
      <c r="D23" s="66" t="str">
        <f>VLOOKUP(B23,CORRESPONDENCIA!$C$4:$F$2105,2,0)</f>
        <v>2.5.4</v>
      </c>
      <c r="E23" s="69" t="s">
        <v>633</v>
      </c>
      <c r="F23" s="70" t="s">
        <v>634</v>
      </c>
      <c r="G23" s="68" t="str">
        <f>'insumos terrapl'!D14</f>
        <v>2Q  58  10  10  02  06  00</v>
      </c>
      <c r="H23" s="68" t="str">
        <f>'insumos terrapl'!E14</f>
        <v>2Q</v>
      </c>
      <c r="I23" s="68">
        <f>'insumos terrapl'!F14</f>
        <v>58</v>
      </c>
      <c r="J23" s="68" t="str">
        <f>'insumos terrapl'!G14</f>
        <v>10</v>
      </c>
      <c r="K23" s="68" t="str">
        <f>'insumos terrapl'!H14</f>
        <v>10</v>
      </c>
      <c r="L23" s="68" t="str">
        <f>'insumos terrapl'!I14</f>
        <v>02</v>
      </c>
      <c r="M23" s="68" t="str">
        <f>'insumos terrapl'!J14</f>
        <v>06</v>
      </c>
      <c r="N23" s="68" t="str">
        <f>'insumos terrapl'!K14</f>
        <v>00</v>
      </c>
      <c r="O23" s="81" t="str">
        <f t="shared" si="0"/>
        <v>Escavação em material de 3ª categoria - com perfuratriz sobre esteiras | Insumo principal: Perfuratriz sobre esteiras - 145 kW</v>
      </c>
    </row>
    <row r="24" spans="1:15" ht="56.25">
      <c r="A24" s="11"/>
      <c r="B24" s="79">
        <v>5505766</v>
      </c>
      <c r="C24" s="78" t="s">
        <v>10</v>
      </c>
      <c r="D24" s="66" t="e">
        <f>VLOOKUP(B24,CORRESPONDENCIA!$C$4:$F$2105,2,0)</f>
        <v>#N/A</v>
      </c>
      <c r="E24" s="69" t="s">
        <v>623</v>
      </c>
      <c r="F24" s="70" t="s">
        <v>624</v>
      </c>
      <c r="G24" s="68" t="str">
        <f>'insumos terrapl'!D27</f>
        <v>2Q  42  06  18  02  02  00</v>
      </c>
      <c r="H24" s="68" t="str">
        <f>'insumos terrapl'!E27</f>
        <v>2Q</v>
      </c>
      <c r="I24" s="68">
        <f>'insumos terrapl'!F27</f>
        <v>42</v>
      </c>
      <c r="J24" s="68" t="str">
        <f>'insumos terrapl'!G27</f>
        <v>06</v>
      </c>
      <c r="K24" s="68">
        <f>'insumos terrapl'!H27</f>
        <v>18</v>
      </c>
      <c r="L24" s="68" t="str">
        <f>'insumos terrapl'!I27</f>
        <v>02</v>
      </c>
      <c r="M24" s="68" t="str">
        <f>'insumos terrapl'!J27</f>
        <v>02</v>
      </c>
      <c r="N24" s="68" t="str">
        <f>'insumos terrapl'!K27</f>
        <v>00</v>
      </c>
      <c r="O24" s="81" t="str">
        <f t="shared" si="0"/>
        <v>Desmonte de material de 3ªcategoria a frio - com argamassa expansiva a céu aberto | Insumo principal: Compressor de ar portátil de 363,87 l/s (771 PCM) - 158,13 kW</v>
      </c>
    </row>
    <row r="25" spans="1:15" ht="56.25">
      <c r="A25" s="11"/>
      <c r="B25" s="79" t="s">
        <v>319</v>
      </c>
      <c r="C25" s="78" t="s">
        <v>11</v>
      </c>
      <c r="D25" s="66" t="str">
        <f>VLOOKUP(B25,CORRESPONDENCIA!$C$4:$F$2105,2,0)</f>
        <v>2.5.6</v>
      </c>
      <c r="E25" s="69" t="s">
        <v>607</v>
      </c>
      <c r="F25" s="70" t="s">
        <v>608</v>
      </c>
      <c r="G25" s="68" t="str">
        <f>'insumos terrapl'!D12</f>
        <v>2Q  42  06  18  02  02  00</v>
      </c>
      <c r="H25" s="68" t="str">
        <f>'insumos terrapl'!E12</f>
        <v>2Q</v>
      </c>
      <c r="I25" s="68">
        <f>'insumos terrapl'!F12</f>
        <v>42</v>
      </c>
      <c r="J25" s="68" t="str">
        <f>'insumos terrapl'!G12</f>
        <v>06</v>
      </c>
      <c r="K25" s="68">
        <f>'insumos terrapl'!H12</f>
        <v>18</v>
      </c>
      <c r="L25" s="68" t="str">
        <f>'insumos terrapl'!I12</f>
        <v>02</v>
      </c>
      <c r="M25" s="68" t="str">
        <f>'insumos terrapl'!J12</f>
        <v>02</v>
      </c>
      <c r="N25" s="68" t="str">
        <f>'insumos terrapl'!K12</f>
        <v>00</v>
      </c>
      <c r="O25" s="81" t="str">
        <f t="shared" si="0"/>
        <v>Desmonte de matacões ou bloco de rocha por meio de explosivos | Insumo principal: Compressor de ar portátil de 58,52 l/s (124 PCM) - 27 kW</v>
      </c>
    </row>
    <row r="26" spans="1:15" ht="37.5">
      <c r="A26" s="11"/>
      <c r="B26" s="79" t="s">
        <v>581</v>
      </c>
      <c r="C26" s="78" t="s">
        <v>12</v>
      </c>
      <c r="D26" s="66" t="str">
        <f>VLOOKUP(B26,CORRESPONDENCIA!$C$4:$F$2105,2,0)</f>
        <v>2.5.7</v>
      </c>
      <c r="E26" s="69" t="s">
        <v>633</v>
      </c>
      <c r="F26" s="70" t="s">
        <v>634</v>
      </c>
      <c r="G26" s="68" t="str">
        <f>G23</f>
        <v>2Q  58  10  10  02  06  00</v>
      </c>
      <c r="H26" s="68" t="str">
        <f t="shared" ref="H26:N26" si="1">H23</f>
        <v>2Q</v>
      </c>
      <c r="I26" s="68">
        <f t="shared" si="1"/>
        <v>58</v>
      </c>
      <c r="J26" s="68" t="str">
        <f t="shared" si="1"/>
        <v>10</v>
      </c>
      <c r="K26" s="68" t="str">
        <f t="shared" si="1"/>
        <v>10</v>
      </c>
      <c r="L26" s="68" t="str">
        <f t="shared" si="1"/>
        <v>02</v>
      </c>
      <c r="M26" s="68" t="str">
        <f t="shared" si="1"/>
        <v>06</v>
      </c>
      <c r="N26" s="68" t="str">
        <f t="shared" si="1"/>
        <v>00</v>
      </c>
      <c r="O26" s="81" t="str">
        <f t="shared" si="0"/>
        <v>Pré-fissuramento de material de 3ª categoria | Insumo principal: Perfuratriz sobre esteiras - 145 kW</v>
      </c>
    </row>
    <row r="27" spans="1:15" ht="56.25">
      <c r="A27" s="11"/>
      <c r="B27" s="79" t="s">
        <v>318</v>
      </c>
      <c r="C27" s="78" t="s">
        <v>689</v>
      </c>
      <c r="D27" s="66" t="str">
        <f>VLOOKUP(B27,CORRESPONDENCIA!$C$4:$F$2105,2,0)</f>
        <v>2.5.8</v>
      </c>
      <c r="E27" s="69" t="s">
        <v>607</v>
      </c>
      <c r="F27" s="70" t="s">
        <v>608</v>
      </c>
      <c r="G27" s="68" t="str">
        <f>G25</f>
        <v>2Q  42  06  18  02  02  00</v>
      </c>
      <c r="H27" s="68" t="str">
        <f t="shared" ref="H27:N27" si="2">H25</f>
        <v>2Q</v>
      </c>
      <c r="I27" s="68">
        <f t="shared" si="2"/>
        <v>42</v>
      </c>
      <c r="J27" s="68" t="str">
        <f t="shared" si="2"/>
        <v>06</v>
      </c>
      <c r="K27" s="68">
        <f t="shared" si="2"/>
        <v>18</v>
      </c>
      <c r="L27" s="68" t="str">
        <f t="shared" si="2"/>
        <v>02</v>
      </c>
      <c r="M27" s="68" t="str">
        <f t="shared" si="2"/>
        <v>02</v>
      </c>
      <c r="N27" s="68" t="str">
        <f t="shared" si="2"/>
        <v>00</v>
      </c>
      <c r="O27" s="81" t="str">
        <f t="shared" si="0"/>
        <v>Desmonte de blocos de rocha com martelete pneumático | Insumo principal: Compressor de ar portátil de 58,52 l/s (124 PCM) - 27 kW</v>
      </c>
    </row>
    <row r="28" spans="1:15" ht="56.25">
      <c r="A28" s="11"/>
      <c r="B28" s="79" t="s">
        <v>78</v>
      </c>
      <c r="C28" s="78" t="s">
        <v>571</v>
      </c>
      <c r="D28" s="66" t="str">
        <f>VLOOKUP(B28,CORRESPONDENCIA!$C$4:$F$2105,2,0)</f>
        <v>2.6.1</v>
      </c>
      <c r="E28" s="69" t="s">
        <v>667</v>
      </c>
      <c r="F28" s="70" t="s">
        <v>668</v>
      </c>
      <c r="G28" s="68" t="str">
        <f>'insumos terrapl'!D31</f>
        <v>2Q  62  26  00  00  00  00</v>
      </c>
      <c r="H28" s="68" t="str">
        <f>'insumos terrapl'!E31</f>
        <v>2Q</v>
      </c>
      <c r="I28" s="68">
        <f>'insumos terrapl'!F31</f>
        <v>62</v>
      </c>
      <c r="J28" s="68" t="str">
        <f>'insumos terrapl'!G31</f>
        <v>26</v>
      </c>
      <c r="K28" s="68" t="str">
        <f>'insumos terrapl'!H31</f>
        <v>00</v>
      </c>
      <c r="L28" s="68" t="str">
        <f>'insumos terrapl'!I31</f>
        <v>00</v>
      </c>
      <c r="M28" s="68" t="str">
        <f>'insumos terrapl'!J31</f>
        <v>00</v>
      </c>
      <c r="N28" s="68" t="str">
        <f>'insumos terrapl'!K31</f>
        <v>00</v>
      </c>
      <c r="O28" s="81" t="str">
        <f t="shared" si="0"/>
        <v>Escavação, carga e transporte em material de 1ª categoria - DMT de 1.000 a 1.200 m com motoscraper | Insumo principal: Motoscraper - 304 kW</v>
      </c>
    </row>
    <row r="29" spans="1:15" ht="56.25">
      <c r="A29" s="11"/>
      <c r="B29" s="79" t="s">
        <v>72</v>
      </c>
      <c r="C29" s="78" t="s">
        <v>572</v>
      </c>
      <c r="D29" s="66" t="str">
        <f>VLOOKUP(B29,CORRESPONDENCIA!$C$4:$F$2105,2,0)</f>
        <v>2.6.1</v>
      </c>
      <c r="E29" s="69" t="s">
        <v>667</v>
      </c>
      <c r="F29" s="70" t="s">
        <v>668</v>
      </c>
      <c r="G29" s="68" t="str">
        <f t="shared" ref="G29:G34" si="3">G28</f>
        <v>2Q  62  26  00  00  00  00</v>
      </c>
      <c r="H29" s="68" t="str">
        <f t="shared" ref="H29:N34" si="4">H28</f>
        <v>2Q</v>
      </c>
      <c r="I29" s="68">
        <f t="shared" si="4"/>
        <v>62</v>
      </c>
      <c r="J29" s="68" t="str">
        <f t="shared" si="4"/>
        <v>26</v>
      </c>
      <c r="K29" s="68" t="str">
        <f t="shared" si="4"/>
        <v>00</v>
      </c>
      <c r="L29" s="68" t="str">
        <f t="shared" si="4"/>
        <v>00</v>
      </c>
      <c r="M29" s="68" t="str">
        <f t="shared" si="4"/>
        <v>00</v>
      </c>
      <c r="N29" s="68" t="str">
        <f t="shared" si="4"/>
        <v>00</v>
      </c>
      <c r="O29" s="81" t="str">
        <f t="shared" si="0"/>
        <v>Escavação, carga e transporte em material de 1ª categoria - DMT de 1.200 a 1.400 m com motoscraper | Insumo principal: Motoscraper - 304 kW</v>
      </c>
    </row>
    <row r="30" spans="1:15" ht="56.25">
      <c r="A30" s="11"/>
      <c r="B30" s="79" t="s">
        <v>73</v>
      </c>
      <c r="C30" s="78" t="s">
        <v>573</v>
      </c>
      <c r="D30" s="66" t="str">
        <f>VLOOKUP(B30,CORRESPONDENCIA!$C$4:$F$2105,2,0)</f>
        <v>2.6.1</v>
      </c>
      <c r="E30" s="69" t="s">
        <v>667</v>
      </c>
      <c r="F30" s="70" t="s">
        <v>668</v>
      </c>
      <c r="G30" s="68" t="str">
        <f t="shared" si="3"/>
        <v>2Q  62  26  00  00  00  00</v>
      </c>
      <c r="H30" s="68" t="str">
        <f t="shared" si="4"/>
        <v>2Q</v>
      </c>
      <c r="I30" s="68">
        <f t="shared" si="4"/>
        <v>62</v>
      </c>
      <c r="J30" s="68" t="str">
        <f t="shared" si="4"/>
        <v>26</v>
      </c>
      <c r="K30" s="68" t="str">
        <f t="shared" si="4"/>
        <v>00</v>
      </c>
      <c r="L30" s="68" t="str">
        <f t="shared" si="4"/>
        <v>00</v>
      </c>
      <c r="M30" s="68" t="str">
        <f t="shared" si="4"/>
        <v>00</v>
      </c>
      <c r="N30" s="68" t="str">
        <f t="shared" si="4"/>
        <v>00</v>
      </c>
      <c r="O30" s="81" t="str">
        <f t="shared" si="0"/>
        <v>Escavação, carga e transporte em material de 1ª categoria - DMT de 200 a 400 m com motoscraper | Insumo principal: Motoscraper - 304 kW</v>
      </c>
    </row>
    <row r="31" spans="1:15" ht="56.25">
      <c r="A31" s="11"/>
      <c r="B31" s="79" t="s">
        <v>74</v>
      </c>
      <c r="C31" s="78" t="s">
        <v>574</v>
      </c>
      <c r="D31" s="66" t="str">
        <f>VLOOKUP(B31,CORRESPONDENCIA!$C$4:$F$2105,2,0)</f>
        <v>2.6.1</v>
      </c>
      <c r="E31" s="69" t="s">
        <v>667</v>
      </c>
      <c r="F31" s="70" t="s">
        <v>668</v>
      </c>
      <c r="G31" s="68" t="str">
        <f t="shared" si="3"/>
        <v>2Q  62  26  00  00  00  00</v>
      </c>
      <c r="H31" s="68" t="str">
        <f t="shared" si="4"/>
        <v>2Q</v>
      </c>
      <c r="I31" s="68">
        <f t="shared" si="4"/>
        <v>62</v>
      </c>
      <c r="J31" s="68" t="str">
        <f t="shared" si="4"/>
        <v>26</v>
      </c>
      <c r="K31" s="68" t="str">
        <f t="shared" si="4"/>
        <v>00</v>
      </c>
      <c r="L31" s="68" t="str">
        <f t="shared" si="4"/>
        <v>00</v>
      </c>
      <c r="M31" s="68" t="str">
        <f t="shared" si="4"/>
        <v>00</v>
      </c>
      <c r="N31" s="68" t="str">
        <f t="shared" si="4"/>
        <v>00</v>
      </c>
      <c r="O31" s="81" t="str">
        <f t="shared" si="0"/>
        <v>Escavação, carga e transporte em material de 1ª categoria - DMT de 400 a 600 m com motoscraper | Insumo principal: Motoscraper - 304 kW</v>
      </c>
    </row>
    <row r="32" spans="1:15" ht="56.25">
      <c r="A32" s="11"/>
      <c r="B32" s="79" t="s">
        <v>75</v>
      </c>
      <c r="C32" s="78" t="s">
        <v>575</v>
      </c>
      <c r="D32" s="66" t="str">
        <f>VLOOKUP(B32,CORRESPONDENCIA!$C$4:$F$2105,2,0)</f>
        <v>2.6.1</v>
      </c>
      <c r="E32" s="69" t="s">
        <v>667</v>
      </c>
      <c r="F32" s="70" t="s">
        <v>668</v>
      </c>
      <c r="G32" s="68" t="str">
        <f t="shared" si="3"/>
        <v>2Q  62  26  00  00  00  00</v>
      </c>
      <c r="H32" s="68" t="str">
        <f t="shared" si="4"/>
        <v>2Q</v>
      </c>
      <c r="I32" s="68">
        <f t="shared" si="4"/>
        <v>62</v>
      </c>
      <c r="J32" s="68" t="str">
        <f t="shared" si="4"/>
        <v>26</v>
      </c>
      <c r="K32" s="68" t="str">
        <f t="shared" si="4"/>
        <v>00</v>
      </c>
      <c r="L32" s="68" t="str">
        <f t="shared" si="4"/>
        <v>00</v>
      </c>
      <c r="M32" s="68" t="str">
        <f t="shared" si="4"/>
        <v>00</v>
      </c>
      <c r="N32" s="68" t="str">
        <f t="shared" si="4"/>
        <v>00</v>
      </c>
      <c r="O32" s="81" t="str">
        <f t="shared" si="0"/>
        <v>Escavação, carga e transporte em material de 1ª categoria - DMT de 50 a 200 m com motoscraper | Insumo principal: Motoscraper - 304 kW</v>
      </c>
    </row>
    <row r="33" spans="1:15" ht="56.25">
      <c r="A33" s="11"/>
      <c r="B33" s="79" t="s">
        <v>76</v>
      </c>
      <c r="C33" s="78" t="s">
        <v>577</v>
      </c>
      <c r="D33" s="66" t="str">
        <f>VLOOKUP(B33,CORRESPONDENCIA!$C$4:$F$2105,2,0)</f>
        <v>2.6.1</v>
      </c>
      <c r="E33" s="69" t="s">
        <v>667</v>
      </c>
      <c r="F33" s="70" t="s">
        <v>668</v>
      </c>
      <c r="G33" s="68" t="str">
        <f t="shared" si="3"/>
        <v>2Q  62  26  00  00  00  00</v>
      </c>
      <c r="H33" s="68" t="str">
        <f t="shared" si="4"/>
        <v>2Q</v>
      </c>
      <c r="I33" s="68">
        <f t="shared" si="4"/>
        <v>62</v>
      </c>
      <c r="J33" s="68" t="str">
        <f t="shared" si="4"/>
        <v>26</v>
      </c>
      <c r="K33" s="68" t="str">
        <f t="shared" si="4"/>
        <v>00</v>
      </c>
      <c r="L33" s="68" t="str">
        <f t="shared" si="4"/>
        <v>00</v>
      </c>
      <c r="M33" s="68" t="str">
        <f t="shared" si="4"/>
        <v>00</v>
      </c>
      <c r="N33" s="68" t="str">
        <f t="shared" si="4"/>
        <v>00</v>
      </c>
      <c r="O33" s="81" t="str">
        <f t="shared" si="0"/>
        <v>Escavação, carga e transporte em material de 1ª categoria - DMT de 600 a 800 m com motoscraper | Insumo principal: Motoscraper - 304 kW</v>
      </c>
    </row>
    <row r="34" spans="1:15" ht="56.25">
      <c r="A34" s="11"/>
      <c r="B34" s="79" t="s">
        <v>77</v>
      </c>
      <c r="C34" s="78" t="s">
        <v>578</v>
      </c>
      <c r="D34" s="66" t="str">
        <f>VLOOKUP(B34,CORRESPONDENCIA!$C$4:$F$2105,2,0)</f>
        <v>2.6.1</v>
      </c>
      <c r="E34" s="69" t="s">
        <v>667</v>
      </c>
      <c r="F34" s="70" t="s">
        <v>668</v>
      </c>
      <c r="G34" s="68" t="str">
        <f t="shared" si="3"/>
        <v>2Q  62  26  00  00  00  00</v>
      </c>
      <c r="H34" s="68" t="str">
        <f t="shared" si="4"/>
        <v>2Q</v>
      </c>
      <c r="I34" s="68">
        <f t="shared" si="4"/>
        <v>62</v>
      </c>
      <c r="J34" s="68" t="str">
        <f t="shared" si="4"/>
        <v>26</v>
      </c>
      <c r="K34" s="68" t="str">
        <f t="shared" si="4"/>
        <v>00</v>
      </c>
      <c r="L34" s="68" t="str">
        <f t="shared" si="4"/>
        <v>00</v>
      </c>
      <c r="M34" s="68" t="str">
        <f t="shared" si="4"/>
        <v>00</v>
      </c>
      <c r="N34" s="68" t="str">
        <f t="shared" si="4"/>
        <v>00</v>
      </c>
      <c r="O34" s="81" t="str">
        <f t="shared" si="0"/>
        <v>Escavação, carga e transporte em material de 1ª categoria - DMT de 800 a 1.000 m com motoscraper | Insumo principal: Motoscraper - 304 kW</v>
      </c>
    </row>
    <row r="35" spans="1:15" ht="56.25">
      <c r="A35" s="11"/>
      <c r="B35" s="79" t="s">
        <v>576</v>
      </c>
      <c r="C35" s="78" t="s">
        <v>24</v>
      </c>
      <c r="D35" s="66" t="str">
        <f>VLOOKUP(B35,CORRESPONDENCIA!$C$4:$F$2105,2,0)</f>
        <v>2.6.2</v>
      </c>
      <c r="E35" s="69" t="s">
        <v>605</v>
      </c>
      <c r="F35" s="70" t="s">
        <v>606</v>
      </c>
      <c r="G35" s="68" t="str">
        <f>'insumos terrapl'!D3</f>
        <v>2Q  62  30  02  14  00  00</v>
      </c>
      <c r="H35" s="68" t="str">
        <f>'insumos terrapl'!E3</f>
        <v>2Q</v>
      </c>
      <c r="I35" s="68">
        <f>'insumos terrapl'!F3</f>
        <v>62</v>
      </c>
      <c r="J35" s="68">
        <f>'insumos terrapl'!G3</f>
        <v>30</v>
      </c>
      <c r="K35" s="68" t="str">
        <f>'insumos terrapl'!H3</f>
        <v>02</v>
      </c>
      <c r="L35" s="68" t="str">
        <f>'insumos terrapl'!I3</f>
        <v>14</v>
      </c>
      <c r="M35" s="68" t="str">
        <f>'insumos terrapl'!J3</f>
        <v>00</v>
      </c>
      <c r="N35" s="68" t="str">
        <f>'insumos terrapl'!K3</f>
        <v>00</v>
      </c>
      <c r="O35" s="81" t="str">
        <f t="shared" si="0"/>
        <v>Escavação e transporte de material de 1ªcategoriacomtratordeesteiras-DMTdeaté50m | Insumo principal: Trator sobre esteiras com lâmina - 259 kW</v>
      </c>
    </row>
    <row r="36" spans="1:15" ht="93.75">
      <c r="A36" s="11"/>
      <c r="B36" s="79" t="s">
        <v>117</v>
      </c>
      <c r="C36" s="78" t="s">
        <v>336</v>
      </c>
      <c r="D36" s="66" t="str">
        <f>VLOOKUP(B36,CORRESPONDENCIA!$C$4:$F$2105,2,0)</f>
        <v>2.6.3</v>
      </c>
      <c r="E36" s="69" t="s">
        <v>651</v>
      </c>
      <c r="F36" s="71" t="s">
        <v>708</v>
      </c>
      <c r="G36" s="68" t="str">
        <f>'insumos terrapl'!D32</f>
        <v>2Q  66  10  02  00  00  00</v>
      </c>
      <c r="H36" s="68" t="str">
        <f>'insumos terrapl'!E32</f>
        <v>2Q</v>
      </c>
      <c r="I36" s="68">
        <f>'insumos terrapl'!F32</f>
        <v>66</v>
      </c>
      <c r="J36" s="68" t="str">
        <f>'insumos terrapl'!G32</f>
        <v>10</v>
      </c>
      <c r="K36" s="68" t="str">
        <f>'insumos terrapl'!H32</f>
        <v>02</v>
      </c>
      <c r="L36" s="68" t="str">
        <f>'insumos terrapl'!I32</f>
        <v>00</v>
      </c>
      <c r="M36" s="68" t="str">
        <f>'insumos terrapl'!J32</f>
        <v>00</v>
      </c>
      <c r="N36" s="68" t="str">
        <f>'insumos terrapl'!K32</f>
        <v>00</v>
      </c>
      <c r="O36" s="81" t="str">
        <f t="shared" si="0"/>
        <v>Escavação, carga e transporte de material de 1ª categoria - DMT de 1.000 a 1.200 m - caminho de serviço em leito natural - com carregadeira e caminhão basculante de 14 m³ | Insumo principal: Caminhão basculante com capacidade de 14 m³ - 210  kW</v>
      </c>
    </row>
    <row r="37" spans="1:15" ht="93.75">
      <c r="A37" s="11"/>
      <c r="B37" s="79">
        <v>5501906</v>
      </c>
      <c r="C37" s="78" t="s">
        <v>338</v>
      </c>
      <c r="D37" s="66" t="str">
        <f>VLOOKUP(B37,CORRESPONDENCIA!$C$4:$F$2105,2,0)</f>
        <v>2.6.3</v>
      </c>
      <c r="E37" s="69" t="s">
        <v>651</v>
      </c>
      <c r="F37" s="71" t="s">
        <v>652</v>
      </c>
      <c r="G37" s="68" t="str">
        <f>G36</f>
        <v>2Q  66  10  02  00  00  00</v>
      </c>
      <c r="H37" s="68" t="str">
        <f t="shared" ref="H37:N52" si="5">H36</f>
        <v>2Q</v>
      </c>
      <c r="I37" s="68">
        <f t="shared" si="5"/>
        <v>66</v>
      </c>
      <c r="J37" s="68" t="str">
        <f t="shared" si="5"/>
        <v>10</v>
      </c>
      <c r="K37" s="68" t="str">
        <f t="shared" si="5"/>
        <v>02</v>
      </c>
      <c r="L37" s="68" t="str">
        <f t="shared" si="5"/>
        <v>00</v>
      </c>
      <c r="M37" s="68" t="str">
        <f t="shared" si="5"/>
        <v>00</v>
      </c>
      <c r="N37" s="68" t="str">
        <f t="shared" si="5"/>
        <v>00</v>
      </c>
      <c r="O37" s="81" t="str">
        <f t="shared" si="0"/>
        <v>Escavação, carga e transporte de material de 1ª categoria - DMT de 1.000 a 1.200 m - caminho de serviço em revestimento primário - com carregadeira e caminhão basculante de 14 m³ | Insumo principal: Caminhão basculante com capacidade de 14 m³ - 210 kW</v>
      </c>
    </row>
    <row r="38" spans="1:15" ht="93.75">
      <c r="A38" s="11"/>
      <c r="B38" s="79">
        <v>5501932</v>
      </c>
      <c r="C38" s="78" t="s">
        <v>340</v>
      </c>
      <c r="D38" s="66" t="str">
        <f>VLOOKUP(B38,CORRESPONDENCIA!$C$4:$F$2105,2,0)</f>
        <v>2.6.3</v>
      </c>
      <c r="E38" s="69" t="s">
        <v>651</v>
      </c>
      <c r="F38" s="71" t="s">
        <v>652</v>
      </c>
      <c r="G38" s="68" t="str">
        <f t="shared" ref="G38:G63" si="6">G37</f>
        <v>2Q  66  10  02  00  00  00</v>
      </c>
      <c r="H38" s="68" t="str">
        <f t="shared" si="5"/>
        <v>2Q</v>
      </c>
      <c r="I38" s="68">
        <f t="shared" si="5"/>
        <v>66</v>
      </c>
      <c r="J38" s="68" t="str">
        <f t="shared" si="5"/>
        <v>10</v>
      </c>
      <c r="K38" s="68" t="str">
        <f t="shared" si="5"/>
        <v>02</v>
      </c>
      <c r="L38" s="68" t="str">
        <f t="shared" si="5"/>
        <v>00</v>
      </c>
      <c r="M38" s="68" t="str">
        <f t="shared" si="5"/>
        <v>00</v>
      </c>
      <c r="N38" s="68" t="str">
        <f t="shared" si="5"/>
        <v>00</v>
      </c>
      <c r="O38" s="81" t="str">
        <f t="shared" si="0"/>
        <v>Escavação, carga e transporte de material de 1ª categoria - DMT de 1.000 a 1.200 m - caminho de serviço pavimentado - com carregadeira e caminhão basculante de 14 m³ | Insumo principal: Caminhão basculante com capacidade de 14 m³ - 210 kW</v>
      </c>
    </row>
    <row r="39" spans="1:15" ht="93.75">
      <c r="A39" s="11"/>
      <c r="B39" s="79">
        <v>5501881</v>
      </c>
      <c r="C39" s="78" t="s">
        <v>342</v>
      </c>
      <c r="D39" s="66" t="str">
        <f>VLOOKUP(B39,CORRESPONDENCIA!$C$4:$F$2105,2,0)</f>
        <v>2.6.3</v>
      </c>
      <c r="E39" s="69" t="s">
        <v>651</v>
      </c>
      <c r="F39" s="71" t="s">
        <v>652</v>
      </c>
      <c r="G39" s="68" t="str">
        <f t="shared" si="6"/>
        <v>2Q  66  10  02  00  00  00</v>
      </c>
      <c r="H39" s="68" t="str">
        <f t="shared" si="5"/>
        <v>2Q</v>
      </c>
      <c r="I39" s="68">
        <f t="shared" si="5"/>
        <v>66</v>
      </c>
      <c r="J39" s="68" t="str">
        <f t="shared" si="5"/>
        <v>10</v>
      </c>
      <c r="K39" s="68" t="str">
        <f t="shared" si="5"/>
        <v>02</v>
      </c>
      <c r="L39" s="68" t="str">
        <f t="shared" si="5"/>
        <v>00</v>
      </c>
      <c r="M39" s="68" t="str">
        <f t="shared" si="5"/>
        <v>00</v>
      </c>
      <c r="N39" s="68" t="str">
        <f t="shared" si="5"/>
        <v>00</v>
      </c>
      <c r="O39" s="81" t="str">
        <f t="shared" si="0"/>
        <v>Escavação, carga e transporte de material de 1ª categoria - DMT de 1.200 a 1.400 m - caminho de serviço em leito natural - com carregadeira e caminhão basculante de 14 m³ | Insumo principal: Caminhão basculante com capacidade de 14 m³ - 210 kW</v>
      </c>
    </row>
    <row r="40" spans="1:15" ht="93.75">
      <c r="A40" s="11"/>
      <c r="B40" s="79" t="s">
        <v>82</v>
      </c>
      <c r="C40" s="78" t="s">
        <v>344</v>
      </c>
      <c r="D40" s="66" t="str">
        <f>VLOOKUP(B40,CORRESPONDENCIA!$C$4:$F$2105,2,0)</f>
        <v>2.6.3</v>
      </c>
      <c r="E40" s="69" t="s">
        <v>651</v>
      </c>
      <c r="F40" s="71" t="s">
        <v>652</v>
      </c>
      <c r="G40" s="68" t="str">
        <f t="shared" si="6"/>
        <v>2Q  66  10  02  00  00  00</v>
      </c>
      <c r="H40" s="68" t="str">
        <f t="shared" si="5"/>
        <v>2Q</v>
      </c>
      <c r="I40" s="68">
        <f t="shared" si="5"/>
        <v>66</v>
      </c>
      <c r="J40" s="68" t="str">
        <f t="shared" si="5"/>
        <v>10</v>
      </c>
      <c r="K40" s="68" t="str">
        <f t="shared" si="5"/>
        <v>02</v>
      </c>
      <c r="L40" s="68" t="str">
        <f t="shared" si="5"/>
        <v>00</v>
      </c>
      <c r="M40" s="68" t="str">
        <f t="shared" si="5"/>
        <v>00</v>
      </c>
      <c r="N40" s="68" t="str">
        <f t="shared" si="5"/>
        <v>00</v>
      </c>
      <c r="O40" s="81" t="str">
        <f t="shared" si="0"/>
        <v>Escavação, carga e transporte de material de 1ª categoria - DMT de 1.200 a 1.400 m - caminho de serviço em revestimento primário - com carregadeira e caminhão basculante de 14 m³ | Insumo principal: Caminhão basculante com capacidade de 14 m³ - 210 kW</v>
      </c>
    </row>
    <row r="41" spans="1:15" ht="93.75">
      <c r="A41" s="11"/>
      <c r="B41" s="79" t="s">
        <v>83</v>
      </c>
      <c r="C41" s="78" t="s">
        <v>346</v>
      </c>
      <c r="D41" s="66" t="str">
        <f>VLOOKUP(B41,CORRESPONDENCIA!$C$4:$F$2105,2,0)</f>
        <v>2.6.3</v>
      </c>
      <c r="E41" s="69" t="s">
        <v>651</v>
      </c>
      <c r="F41" s="71" t="s">
        <v>652</v>
      </c>
      <c r="G41" s="68" t="str">
        <f t="shared" si="6"/>
        <v>2Q  66  10  02  00  00  00</v>
      </c>
      <c r="H41" s="68" t="str">
        <f t="shared" si="5"/>
        <v>2Q</v>
      </c>
      <c r="I41" s="68">
        <f t="shared" si="5"/>
        <v>66</v>
      </c>
      <c r="J41" s="68" t="str">
        <f t="shared" si="5"/>
        <v>10</v>
      </c>
      <c r="K41" s="68" t="str">
        <f t="shared" si="5"/>
        <v>02</v>
      </c>
      <c r="L41" s="68" t="str">
        <f t="shared" si="5"/>
        <v>00</v>
      </c>
      <c r="M41" s="68" t="str">
        <f t="shared" si="5"/>
        <v>00</v>
      </c>
      <c r="N41" s="68" t="str">
        <f t="shared" si="5"/>
        <v>00</v>
      </c>
      <c r="O41" s="81" t="str">
        <f t="shared" si="0"/>
        <v>Escavação, carga e transporte de material de 1ª categoria - DMT de 1.200 a 1.400 m - caminho de serviço pavimentado - com carregadeira e caminhão basculante de 14 m³ | Insumo principal: Caminhão basculante com capacidade de 14 m³ - 210 kW</v>
      </c>
    </row>
    <row r="42" spans="1:15" ht="93.75">
      <c r="A42" s="11"/>
      <c r="B42" s="79" t="s">
        <v>84</v>
      </c>
      <c r="C42" s="78" t="s">
        <v>348</v>
      </c>
      <c r="D42" s="66" t="str">
        <f>VLOOKUP(B42,CORRESPONDENCIA!$C$4:$F$2105,2,0)</f>
        <v>2.6.3</v>
      </c>
      <c r="E42" s="69" t="s">
        <v>651</v>
      </c>
      <c r="F42" s="71" t="s">
        <v>652</v>
      </c>
      <c r="G42" s="68" t="str">
        <f t="shared" si="6"/>
        <v>2Q  66  10  02  00  00  00</v>
      </c>
      <c r="H42" s="68" t="str">
        <f t="shared" si="5"/>
        <v>2Q</v>
      </c>
      <c r="I42" s="68">
        <f t="shared" si="5"/>
        <v>66</v>
      </c>
      <c r="J42" s="68" t="str">
        <f t="shared" si="5"/>
        <v>10</v>
      </c>
      <c r="K42" s="68" t="str">
        <f t="shared" si="5"/>
        <v>02</v>
      </c>
      <c r="L42" s="68" t="str">
        <f t="shared" si="5"/>
        <v>00</v>
      </c>
      <c r="M42" s="68" t="str">
        <f t="shared" si="5"/>
        <v>00</v>
      </c>
      <c r="N42" s="68" t="str">
        <f t="shared" si="5"/>
        <v>00</v>
      </c>
      <c r="O42" s="81" t="str">
        <f t="shared" si="0"/>
        <v>Escavação, carga e transporte de material de 1ª categoria - DMT de 1.400 a 1.600 m - caminho de serviço em leito natural - com carregadeira e caminhão basculante de 14 m³ | Insumo principal: Caminhão basculante com capacidade de 14 m³ - 210 kW</v>
      </c>
    </row>
    <row r="43" spans="1:15" ht="93.75">
      <c r="A43" s="11"/>
      <c r="B43" s="79" t="s">
        <v>85</v>
      </c>
      <c r="C43" s="78" t="s">
        <v>350</v>
      </c>
      <c r="D43" s="66" t="str">
        <f>VLOOKUP(B43,CORRESPONDENCIA!$C$4:$F$2105,2,0)</f>
        <v>2.6.3</v>
      </c>
      <c r="E43" s="69" t="s">
        <v>651</v>
      </c>
      <c r="F43" s="70" t="s">
        <v>652</v>
      </c>
      <c r="G43" s="68" t="str">
        <f t="shared" si="6"/>
        <v>2Q  66  10  02  00  00  00</v>
      </c>
      <c r="H43" s="68" t="str">
        <f t="shared" si="5"/>
        <v>2Q</v>
      </c>
      <c r="I43" s="68">
        <f t="shared" si="5"/>
        <v>66</v>
      </c>
      <c r="J43" s="68" t="str">
        <f t="shared" si="5"/>
        <v>10</v>
      </c>
      <c r="K43" s="68" t="str">
        <f t="shared" si="5"/>
        <v>02</v>
      </c>
      <c r="L43" s="68" t="str">
        <f t="shared" si="5"/>
        <v>00</v>
      </c>
      <c r="M43" s="68" t="str">
        <f t="shared" si="5"/>
        <v>00</v>
      </c>
      <c r="N43" s="68" t="str">
        <f t="shared" si="5"/>
        <v>00</v>
      </c>
      <c r="O43" s="81" t="str">
        <f t="shared" si="0"/>
        <v>Escavação, carga e transporte de material de 1ª categoria - DMT de 1.400 a 1.600 m - caminho de serviço em revestimento primário - com carregadeira e caminhão basculante de 14 m³ | Insumo principal: Caminhão basculante com capacidade de 14 m³ - 210 kW</v>
      </c>
    </row>
    <row r="44" spans="1:15" ht="93.75">
      <c r="A44" s="11"/>
      <c r="B44" s="79" t="s">
        <v>86</v>
      </c>
      <c r="C44" s="78" t="s">
        <v>352</v>
      </c>
      <c r="D44" s="66" t="str">
        <f>VLOOKUP(B44,CORRESPONDENCIA!$C$4:$F$2105,2,0)</f>
        <v>2.6.3</v>
      </c>
      <c r="E44" s="69" t="s">
        <v>651</v>
      </c>
      <c r="F44" s="70" t="s">
        <v>652</v>
      </c>
      <c r="G44" s="68" t="str">
        <f t="shared" si="6"/>
        <v>2Q  66  10  02  00  00  00</v>
      </c>
      <c r="H44" s="68" t="str">
        <f t="shared" si="5"/>
        <v>2Q</v>
      </c>
      <c r="I44" s="68">
        <f t="shared" si="5"/>
        <v>66</v>
      </c>
      <c r="J44" s="68" t="str">
        <f t="shared" si="5"/>
        <v>10</v>
      </c>
      <c r="K44" s="68" t="str">
        <f t="shared" si="5"/>
        <v>02</v>
      </c>
      <c r="L44" s="68" t="str">
        <f t="shared" si="5"/>
        <v>00</v>
      </c>
      <c r="M44" s="68" t="str">
        <f t="shared" si="5"/>
        <v>00</v>
      </c>
      <c r="N44" s="68" t="str">
        <f t="shared" si="5"/>
        <v>00</v>
      </c>
      <c r="O44" s="81" t="str">
        <f t="shared" si="0"/>
        <v>Escavação, carga e transporte de material de 1ª categoria - DMT de 1.400 a 1.600 m - caminho de serviço pavimentado - com carregadeira e caminhão basculante de 14 m³ | Insumo principal: Caminhão basculante com capacidade de 14 m³ - 210 kW</v>
      </c>
    </row>
    <row r="45" spans="1:15" ht="93.75">
      <c r="A45" s="11"/>
      <c r="B45" s="79" t="s">
        <v>87</v>
      </c>
      <c r="C45" s="78" t="s">
        <v>354</v>
      </c>
      <c r="D45" s="66" t="str">
        <f>VLOOKUP(B45,CORRESPONDENCIA!$C$4:$F$2105,2,0)</f>
        <v>2.6.3</v>
      </c>
      <c r="E45" s="69" t="s">
        <v>651</v>
      </c>
      <c r="F45" s="70" t="s">
        <v>652</v>
      </c>
      <c r="G45" s="68" t="str">
        <f t="shared" si="6"/>
        <v>2Q  66  10  02  00  00  00</v>
      </c>
      <c r="H45" s="68" t="str">
        <f t="shared" si="5"/>
        <v>2Q</v>
      </c>
      <c r="I45" s="68">
        <f t="shared" si="5"/>
        <v>66</v>
      </c>
      <c r="J45" s="68" t="str">
        <f t="shared" si="5"/>
        <v>10</v>
      </c>
      <c r="K45" s="68" t="str">
        <f t="shared" si="5"/>
        <v>02</v>
      </c>
      <c r="L45" s="68" t="str">
        <f t="shared" si="5"/>
        <v>00</v>
      </c>
      <c r="M45" s="68" t="str">
        <f t="shared" si="5"/>
        <v>00</v>
      </c>
      <c r="N45" s="68" t="str">
        <f t="shared" si="5"/>
        <v>00</v>
      </c>
      <c r="O45" s="81" t="str">
        <f t="shared" si="0"/>
        <v>Escavação, carga e transporte de material de 1ª categoria - DMT de 1.600 a 1.800 m - caminho de serviço em leito natural - com carregadeira e caminhão basculante de 14 m³ | Insumo principal: Caminhão basculante com capacidade de 14 m³ - 210 kW</v>
      </c>
    </row>
    <row r="46" spans="1:15" ht="93.75">
      <c r="A46" s="11"/>
      <c r="B46" s="79" t="s">
        <v>88</v>
      </c>
      <c r="C46" s="78" t="s">
        <v>356</v>
      </c>
      <c r="D46" s="66" t="str">
        <f>VLOOKUP(B46,CORRESPONDENCIA!$C$4:$F$2105,2,0)</f>
        <v>2.6.3</v>
      </c>
      <c r="E46" s="69" t="s">
        <v>651</v>
      </c>
      <c r="F46" s="70" t="s">
        <v>652</v>
      </c>
      <c r="G46" s="68" t="str">
        <f t="shared" si="6"/>
        <v>2Q  66  10  02  00  00  00</v>
      </c>
      <c r="H46" s="68" t="str">
        <f t="shared" si="5"/>
        <v>2Q</v>
      </c>
      <c r="I46" s="68">
        <f t="shared" si="5"/>
        <v>66</v>
      </c>
      <c r="J46" s="68" t="str">
        <f t="shared" si="5"/>
        <v>10</v>
      </c>
      <c r="K46" s="68" t="str">
        <f t="shared" si="5"/>
        <v>02</v>
      </c>
      <c r="L46" s="68" t="str">
        <f t="shared" si="5"/>
        <v>00</v>
      </c>
      <c r="M46" s="68" t="str">
        <f t="shared" si="5"/>
        <v>00</v>
      </c>
      <c r="N46" s="68" t="str">
        <f t="shared" si="5"/>
        <v>00</v>
      </c>
      <c r="O46" s="81" t="str">
        <f t="shared" si="0"/>
        <v>Escavação, carga e transporte de material de 1ª categoria - DMT de 1.600 a 1.800 m - caminho de serviço em revestimento primário - com carregadeira e caminhão basculante de 14 m³ | Insumo principal: Caminhão basculante com capacidade de 14 m³ - 210 kW</v>
      </c>
    </row>
    <row r="47" spans="1:15" ht="93.75">
      <c r="A47" s="11"/>
      <c r="B47" s="79" t="s">
        <v>89</v>
      </c>
      <c r="C47" s="78" t="s">
        <v>358</v>
      </c>
      <c r="D47" s="66" t="str">
        <f>VLOOKUP(B47,CORRESPONDENCIA!$C$4:$F$2105,2,0)</f>
        <v>2.6.3</v>
      </c>
      <c r="E47" s="69" t="s">
        <v>651</v>
      </c>
      <c r="F47" s="70" t="s">
        <v>652</v>
      </c>
      <c r="G47" s="68" t="str">
        <f t="shared" si="6"/>
        <v>2Q  66  10  02  00  00  00</v>
      </c>
      <c r="H47" s="68" t="str">
        <f t="shared" si="5"/>
        <v>2Q</v>
      </c>
      <c r="I47" s="68">
        <f t="shared" si="5"/>
        <v>66</v>
      </c>
      <c r="J47" s="68" t="str">
        <f t="shared" si="5"/>
        <v>10</v>
      </c>
      <c r="K47" s="68" t="str">
        <f t="shared" si="5"/>
        <v>02</v>
      </c>
      <c r="L47" s="68" t="str">
        <f t="shared" si="5"/>
        <v>00</v>
      </c>
      <c r="M47" s="68" t="str">
        <f t="shared" si="5"/>
        <v>00</v>
      </c>
      <c r="N47" s="68" t="str">
        <f t="shared" si="5"/>
        <v>00</v>
      </c>
      <c r="O47" s="81" t="str">
        <f t="shared" si="0"/>
        <v>Escavação, carga e transporte de material de 1ª categoria - DMT de 1.600 a 1.800 m - caminho de serviço pavimentado - com carregadeira e caminhão basculante de 14 m³ | Insumo principal: Caminhão basculante com capacidade de 14 m³ - 210 kW</v>
      </c>
    </row>
    <row r="48" spans="1:15" ht="93.75">
      <c r="A48" s="11"/>
      <c r="B48" s="79" t="s">
        <v>90</v>
      </c>
      <c r="C48" s="78" t="s">
        <v>360</v>
      </c>
      <c r="D48" s="66" t="str">
        <f>VLOOKUP(B48,CORRESPONDENCIA!$C$4:$F$2105,2,0)</f>
        <v>2.6.3</v>
      </c>
      <c r="E48" s="69" t="s">
        <v>651</v>
      </c>
      <c r="F48" s="70" t="s">
        <v>652</v>
      </c>
      <c r="G48" s="68" t="str">
        <f t="shared" si="6"/>
        <v>2Q  66  10  02  00  00  00</v>
      </c>
      <c r="H48" s="68" t="str">
        <f t="shared" si="5"/>
        <v>2Q</v>
      </c>
      <c r="I48" s="68">
        <f t="shared" si="5"/>
        <v>66</v>
      </c>
      <c r="J48" s="68" t="str">
        <f t="shared" si="5"/>
        <v>10</v>
      </c>
      <c r="K48" s="68" t="str">
        <f t="shared" si="5"/>
        <v>02</v>
      </c>
      <c r="L48" s="68" t="str">
        <f t="shared" si="5"/>
        <v>00</v>
      </c>
      <c r="M48" s="68" t="str">
        <f t="shared" si="5"/>
        <v>00</v>
      </c>
      <c r="N48" s="68" t="str">
        <f t="shared" si="5"/>
        <v>00</v>
      </c>
      <c r="O48" s="81" t="str">
        <f t="shared" si="0"/>
        <v>Escavação, carga e transporte de material de 1ª categoria - DMT de 1.800 a 2.000 m - caminho de serviço em leito natural - com carregadeira e caminhão basculante de 14 m³ | Insumo principal: Caminhão basculante com capacidade de 14 m³ - 210 kW</v>
      </c>
    </row>
    <row r="49" spans="1:15" ht="93.75">
      <c r="A49" s="11"/>
      <c r="B49" s="79" t="s">
        <v>91</v>
      </c>
      <c r="C49" s="78" t="s">
        <v>362</v>
      </c>
      <c r="D49" s="66" t="str">
        <f>VLOOKUP(B49,CORRESPONDENCIA!$C$4:$F$2105,2,0)</f>
        <v>2.6.3</v>
      </c>
      <c r="E49" s="69" t="s">
        <v>651</v>
      </c>
      <c r="F49" s="70" t="s">
        <v>652</v>
      </c>
      <c r="G49" s="68" t="str">
        <f t="shared" si="6"/>
        <v>2Q  66  10  02  00  00  00</v>
      </c>
      <c r="H49" s="68" t="str">
        <f t="shared" si="5"/>
        <v>2Q</v>
      </c>
      <c r="I49" s="68">
        <f t="shared" si="5"/>
        <v>66</v>
      </c>
      <c r="J49" s="68" t="str">
        <f t="shared" si="5"/>
        <v>10</v>
      </c>
      <c r="K49" s="68" t="str">
        <f t="shared" si="5"/>
        <v>02</v>
      </c>
      <c r="L49" s="68" t="str">
        <f t="shared" si="5"/>
        <v>00</v>
      </c>
      <c r="M49" s="68" t="str">
        <f t="shared" si="5"/>
        <v>00</v>
      </c>
      <c r="N49" s="68" t="str">
        <f t="shared" si="5"/>
        <v>00</v>
      </c>
      <c r="O49" s="81" t="str">
        <f t="shared" si="0"/>
        <v>Escavação, carga e transporte de material de 1ª categoria - DMT de 1.800 a 2.000 m - caminho de serviço em revestimento primário - com carregadeira e caminhão basculante de 14 m³ | Insumo principal: Caminhão basculante com capacidade de 14 m³ - 210 kW</v>
      </c>
    </row>
    <row r="50" spans="1:15" ht="93.75">
      <c r="A50" s="11"/>
      <c r="B50" s="79" t="s">
        <v>92</v>
      </c>
      <c r="C50" s="78" t="s">
        <v>364</v>
      </c>
      <c r="D50" s="66" t="str">
        <f>VLOOKUP(B50,CORRESPONDENCIA!$C$4:$F$2105,2,0)</f>
        <v>2.6.3</v>
      </c>
      <c r="E50" s="69" t="s">
        <v>651</v>
      </c>
      <c r="F50" s="70" t="s">
        <v>652</v>
      </c>
      <c r="G50" s="68" t="str">
        <f t="shared" si="6"/>
        <v>2Q  66  10  02  00  00  00</v>
      </c>
      <c r="H50" s="68" t="str">
        <f t="shared" si="5"/>
        <v>2Q</v>
      </c>
      <c r="I50" s="68">
        <f t="shared" si="5"/>
        <v>66</v>
      </c>
      <c r="J50" s="68" t="str">
        <f t="shared" si="5"/>
        <v>10</v>
      </c>
      <c r="K50" s="68" t="str">
        <f t="shared" si="5"/>
        <v>02</v>
      </c>
      <c r="L50" s="68" t="str">
        <f t="shared" si="5"/>
        <v>00</v>
      </c>
      <c r="M50" s="68" t="str">
        <f t="shared" si="5"/>
        <v>00</v>
      </c>
      <c r="N50" s="68" t="str">
        <f t="shared" si="5"/>
        <v>00</v>
      </c>
      <c r="O50" s="81" t="str">
        <f t="shared" si="0"/>
        <v>Escavação, carga e transporte de material de 1ª categoria - DMT de 1.800 a 2.000 m - caminho de serviço pavimentado - com carregadeira e caminhão basculante de 14 m³ | Insumo principal: Caminhão basculante com capacidade de 14 m³ - 210 kW</v>
      </c>
    </row>
    <row r="51" spans="1:15" ht="93.75">
      <c r="A51" s="11"/>
      <c r="B51" s="79" t="s">
        <v>93</v>
      </c>
      <c r="C51" s="78" t="s">
        <v>366</v>
      </c>
      <c r="D51" s="66" t="str">
        <f>VLOOKUP(B51,CORRESPONDENCIA!$C$4:$F$2105,2,0)</f>
        <v>2.6.3</v>
      </c>
      <c r="E51" s="69" t="s">
        <v>651</v>
      </c>
      <c r="F51" s="70" t="s">
        <v>652</v>
      </c>
      <c r="G51" s="68" t="str">
        <f t="shared" si="6"/>
        <v>2Q  66  10  02  00  00  00</v>
      </c>
      <c r="H51" s="68" t="str">
        <f t="shared" si="5"/>
        <v>2Q</v>
      </c>
      <c r="I51" s="68">
        <f t="shared" si="5"/>
        <v>66</v>
      </c>
      <c r="J51" s="68" t="str">
        <f t="shared" si="5"/>
        <v>10</v>
      </c>
      <c r="K51" s="68" t="str">
        <f t="shared" si="5"/>
        <v>02</v>
      </c>
      <c r="L51" s="68" t="str">
        <f t="shared" si="5"/>
        <v>00</v>
      </c>
      <c r="M51" s="68" t="str">
        <f t="shared" si="5"/>
        <v>00</v>
      </c>
      <c r="N51" s="68" t="str">
        <f t="shared" si="5"/>
        <v>00</v>
      </c>
      <c r="O51" s="81" t="str">
        <f t="shared" si="0"/>
        <v>Escavação, carga e transporte de material de 1ª categoria - DMT de 2.000 a 2.500 m - caminho de serviço em leito natural - com carregadeira e caminhão basculante de 14 m³ | Insumo principal: Caminhão basculante com capacidade de 14 m³ - 210 kW</v>
      </c>
    </row>
    <row r="52" spans="1:15" ht="93.75">
      <c r="A52" s="11"/>
      <c r="B52" s="79" t="s">
        <v>94</v>
      </c>
      <c r="C52" s="78" t="s">
        <v>368</v>
      </c>
      <c r="D52" s="66" t="str">
        <f>VLOOKUP(B52,CORRESPONDENCIA!$C$4:$F$2105,2,0)</f>
        <v>2.6.3</v>
      </c>
      <c r="E52" s="69" t="s">
        <v>651</v>
      </c>
      <c r="F52" s="70" t="s">
        <v>652</v>
      </c>
      <c r="G52" s="68" t="str">
        <f t="shared" si="6"/>
        <v>2Q  66  10  02  00  00  00</v>
      </c>
      <c r="H52" s="68" t="str">
        <f t="shared" si="5"/>
        <v>2Q</v>
      </c>
      <c r="I52" s="68">
        <f t="shared" si="5"/>
        <v>66</v>
      </c>
      <c r="J52" s="68" t="str">
        <f t="shared" si="5"/>
        <v>10</v>
      </c>
      <c r="K52" s="68" t="str">
        <f t="shared" si="5"/>
        <v>02</v>
      </c>
      <c r="L52" s="68" t="str">
        <f t="shared" si="5"/>
        <v>00</v>
      </c>
      <c r="M52" s="68" t="str">
        <f t="shared" si="5"/>
        <v>00</v>
      </c>
      <c r="N52" s="68" t="str">
        <f t="shared" si="5"/>
        <v>00</v>
      </c>
      <c r="O52" s="81" t="str">
        <f t="shared" si="0"/>
        <v>Escavação, carga e transporte de material de 1ª categoria - DMT de 2.000 a 2.500 m - caminho de serviço em revestimento primário - com carregadeira e caminhão basculante de 14 m³ | Insumo principal: Caminhão basculante com capacidade de 14 m³ - 210 kW</v>
      </c>
    </row>
    <row r="53" spans="1:15" ht="93.75">
      <c r="A53" s="11"/>
      <c r="B53" s="79" t="s">
        <v>95</v>
      </c>
      <c r="C53" s="78" t="s">
        <v>370</v>
      </c>
      <c r="D53" s="66" t="str">
        <f>VLOOKUP(B53,CORRESPONDENCIA!$C$4:$F$2105,2,0)</f>
        <v>2.6.3</v>
      </c>
      <c r="E53" s="69" t="s">
        <v>651</v>
      </c>
      <c r="F53" s="70" t="s">
        <v>652</v>
      </c>
      <c r="G53" s="68" t="str">
        <f t="shared" si="6"/>
        <v>2Q  66  10  02  00  00  00</v>
      </c>
      <c r="H53" s="68" t="str">
        <f t="shared" ref="H53:H63" si="7">H52</f>
        <v>2Q</v>
      </c>
      <c r="I53" s="68">
        <f t="shared" ref="I53:I63" si="8">I52</f>
        <v>66</v>
      </c>
      <c r="J53" s="68" t="str">
        <f t="shared" ref="J53:J63" si="9">J52</f>
        <v>10</v>
      </c>
      <c r="K53" s="68" t="str">
        <f t="shared" ref="K53:K63" si="10">K52</f>
        <v>02</v>
      </c>
      <c r="L53" s="68" t="str">
        <f t="shared" ref="L53:L63" si="11">L52</f>
        <v>00</v>
      </c>
      <c r="M53" s="68" t="str">
        <f t="shared" ref="M53:M63" si="12">M52</f>
        <v>00</v>
      </c>
      <c r="N53" s="68" t="str">
        <f t="shared" ref="N53:N63" si="13">N52</f>
        <v>00</v>
      </c>
      <c r="O53" s="81" t="str">
        <f t="shared" si="0"/>
        <v>Escavação, carga e transporte de material de 1ª categoria - DMT de 2.000 a 2.500 m - caminho de serviço pavimentado - com carregadeira e caminhão basculante de 14 m³ | Insumo principal: Caminhão basculante com capacidade de 14 m³ - 210 kW</v>
      </c>
    </row>
    <row r="54" spans="1:15" ht="93.75">
      <c r="A54" s="11"/>
      <c r="B54" s="79" t="s">
        <v>96</v>
      </c>
      <c r="C54" s="78" t="s">
        <v>371</v>
      </c>
      <c r="D54" s="66" t="str">
        <f>VLOOKUP(B54,CORRESPONDENCIA!$C$4:$F$2105,2,0)</f>
        <v>2.6.3</v>
      </c>
      <c r="E54" s="69" t="s">
        <v>651</v>
      </c>
      <c r="F54" s="70" t="s">
        <v>652</v>
      </c>
      <c r="G54" s="68" t="str">
        <f t="shared" si="6"/>
        <v>2Q  66  10  02  00  00  00</v>
      </c>
      <c r="H54" s="68" t="str">
        <f t="shared" si="7"/>
        <v>2Q</v>
      </c>
      <c r="I54" s="68">
        <f t="shared" si="8"/>
        <v>66</v>
      </c>
      <c r="J54" s="68" t="str">
        <f t="shared" si="9"/>
        <v>10</v>
      </c>
      <c r="K54" s="68" t="str">
        <f t="shared" si="10"/>
        <v>02</v>
      </c>
      <c r="L54" s="68" t="str">
        <f t="shared" si="11"/>
        <v>00</v>
      </c>
      <c r="M54" s="68" t="str">
        <f t="shared" si="12"/>
        <v>00</v>
      </c>
      <c r="N54" s="68" t="str">
        <f t="shared" si="13"/>
        <v>00</v>
      </c>
      <c r="O54" s="81" t="str">
        <f t="shared" si="0"/>
        <v>Escavação, carga e transporte de material de 1ª categoria - DMT de 2.500 a 3.000 m - caminho de serviço em leito natural - com carregadeira e caminhão basculante de 14 m³ | Insumo principal: Caminhão basculante com capacidade de 14 m³ - 210 kW</v>
      </c>
    </row>
    <row r="55" spans="1:15" ht="93.75">
      <c r="A55" s="11"/>
      <c r="B55" s="79" t="s">
        <v>97</v>
      </c>
      <c r="C55" s="78" t="s">
        <v>373</v>
      </c>
      <c r="D55" s="66" t="str">
        <f>VLOOKUP(B55,CORRESPONDENCIA!$C$4:$F$2105,2,0)</f>
        <v>2.6.3</v>
      </c>
      <c r="E55" s="69" t="s">
        <v>651</v>
      </c>
      <c r="F55" s="70" t="s">
        <v>652</v>
      </c>
      <c r="G55" s="68" t="str">
        <f t="shared" si="6"/>
        <v>2Q  66  10  02  00  00  00</v>
      </c>
      <c r="H55" s="68" t="str">
        <f t="shared" si="7"/>
        <v>2Q</v>
      </c>
      <c r="I55" s="68">
        <f t="shared" si="8"/>
        <v>66</v>
      </c>
      <c r="J55" s="68" t="str">
        <f t="shared" si="9"/>
        <v>10</v>
      </c>
      <c r="K55" s="68" t="str">
        <f t="shared" si="10"/>
        <v>02</v>
      </c>
      <c r="L55" s="68" t="str">
        <f t="shared" si="11"/>
        <v>00</v>
      </c>
      <c r="M55" s="68" t="str">
        <f t="shared" si="12"/>
        <v>00</v>
      </c>
      <c r="N55" s="68" t="str">
        <f t="shared" si="13"/>
        <v>00</v>
      </c>
      <c r="O55" s="81" t="str">
        <f t="shared" si="0"/>
        <v>Escavação, carga e transporte de material de 1ª categoria - DMT de 2.500 a 3.000 m - caminho de serviço em revestimento primário - com carregadeira e caminhão basculante de 14 m³ | Insumo principal: Caminhão basculante com capacidade de 14 m³ - 210 kW</v>
      </c>
    </row>
    <row r="56" spans="1:15" ht="93.75">
      <c r="A56" s="11"/>
      <c r="B56" s="79" t="s">
        <v>98</v>
      </c>
      <c r="C56" s="78" t="s">
        <v>375</v>
      </c>
      <c r="D56" s="66" t="str">
        <f>VLOOKUP(B56,CORRESPONDENCIA!$C$4:$F$2105,2,0)</f>
        <v>2.6.3</v>
      </c>
      <c r="E56" s="69" t="s">
        <v>651</v>
      </c>
      <c r="F56" s="70" t="s">
        <v>652</v>
      </c>
      <c r="G56" s="68" t="str">
        <f t="shared" si="6"/>
        <v>2Q  66  10  02  00  00  00</v>
      </c>
      <c r="H56" s="68" t="str">
        <f t="shared" si="7"/>
        <v>2Q</v>
      </c>
      <c r="I56" s="68">
        <f t="shared" si="8"/>
        <v>66</v>
      </c>
      <c r="J56" s="68" t="str">
        <f t="shared" si="9"/>
        <v>10</v>
      </c>
      <c r="K56" s="68" t="str">
        <f t="shared" si="10"/>
        <v>02</v>
      </c>
      <c r="L56" s="68" t="str">
        <f t="shared" si="11"/>
        <v>00</v>
      </c>
      <c r="M56" s="68" t="str">
        <f t="shared" si="12"/>
        <v>00</v>
      </c>
      <c r="N56" s="68" t="str">
        <f t="shared" si="13"/>
        <v>00</v>
      </c>
      <c r="O56" s="81" t="str">
        <f t="shared" si="0"/>
        <v>Escavação, carga e transporte de material de 1ª categoria - DMT de 2.500 a 3.000 m - caminho de serviço pavimentado - com carregadeira e caminhão basculante de 14 m³ | Insumo principal: Caminhão basculante com capacidade de 14 m³ - 210 kW</v>
      </c>
    </row>
    <row r="57" spans="1:15" ht="93.75">
      <c r="A57" s="11"/>
      <c r="B57" s="79" t="s">
        <v>99</v>
      </c>
      <c r="C57" s="78" t="s">
        <v>377</v>
      </c>
      <c r="D57" s="66" t="str">
        <f>VLOOKUP(B57,CORRESPONDENCIA!$C$4:$F$2105,2,0)</f>
        <v>2.6.3</v>
      </c>
      <c r="E57" s="69" t="s">
        <v>651</v>
      </c>
      <c r="F57" s="70" t="s">
        <v>652</v>
      </c>
      <c r="G57" s="68" t="str">
        <f t="shared" si="6"/>
        <v>2Q  66  10  02  00  00  00</v>
      </c>
      <c r="H57" s="68" t="str">
        <f t="shared" si="7"/>
        <v>2Q</v>
      </c>
      <c r="I57" s="68">
        <f t="shared" si="8"/>
        <v>66</v>
      </c>
      <c r="J57" s="68" t="str">
        <f t="shared" si="9"/>
        <v>10</v>
      </c>
      <c r="K57" s="68" t="str">
        <f t="shared" si="10"/>
        <v>02</v>
      </c>
      <c r="L57" s="68" t="str">
        <f t="shared" si="11"/>
        <v>00</v>
      </c>
      <c r="M57" s="68" t="str">
        <f t="shared" si="12"/>
        <v>00</v>
      </c>
      <c r="N57" s="68" t="str">
        <f t="shared" si="13"/>
        <v>00</v>
      </c>
      <c r="O57" s="81" t="str">
        <f t="shared" si="0"/>
        <v>Escavação, carga e transporte de material de 1ª categoria - DMT de 200 a 400 m - caminho de serviço em leito natural - com carregadeira e caminhão basculante de 14 m³ | Insumo principal: Caminhão basculante com capacidade de 14 m³ - 210 kW</v>
      </c>
    </row>
    <row r="58" spans="1:15" ht="93.75">
      <c r="A58" s="11"/>
      <c r="B58" s="79" t="s">
        <v>100</v>
      </c>
      <c r="C58" s="78" t="s">
        <v>379</v>
      </c>
      <c r="D58" s="66" t="str">
        <f>VLOOKUP(B58,CORRESPONDENCIA!$C$4:$F$2105,2,0)</f>
        <v>2.6.3</v>
      </c>
      <c r="E58" s="69" t="s">
        <v>651</v>
      </c>
      <c r="F58" s="70" t="s">
        <v>652</v>
      </c>
      <c r="G58" s="68" t="str">
        <f t="shared" si="6"/>
        <v>2Q  66  10  02  00  00  00</v>
      </c>
      <c r="H58" s="68" t="str">
        <f t="shared" si="7"/>
        <v>2Q</v>
      </c>
      <c r="I58" s="68">
        <f t="shared" si="8"/>
        <v>66</v>
      </c>
      <c r="J58" s="68" t="str">
        <f t="shared" si="9"/>
        <v>10</v>
      </c>
      <c r="K58" s="68" t="str">
        <f t="shared" si="10"/>
        <v>02</v>
      </c>
      <c r="L58" s="68" t="str">
        <f t="shared" si="11"/>
        <v>00</v>
      </c>
      <c r="M58" s="68" t="str">
        <f t="shared" si="12"/>
        <v>00</v>
      </c>
      <c r="N58" s="68" t="str">
        <f t="shared" si="13"/>
        <v>00</v>
      </c>
      <c r="O58" s="81" t="str">
        <f t="shared" si="0"/>
        <v>Escavação, carga e transporte de material de 1ª categoria - DMT de 200 a 400 m - caminho de serviço em revestimento primário - com carregadeira e caminhão basculante de 14 m³ | Insumo principal: Caminhão basculante com capacidade de 14 m³ - 210 kW</v>
      </c>
    </row>
    <row r="59" spans="1:15" ht="93.75">
      <c r="A59" s="11"/>
      <c r="B59" s="79" t="s">
        <v>101</v>
      </c>
      <c r="C59" s="78" t="s">
        <v>381</v>
      </c>
      <c r="D59" s="66" t="str">
        <f>VLOOKUP(B59,CORRESPONDENCIA!$C$4:$F$2105,2,0)</f>
        <v>2.6.3</v>
      </c>
      <c r="E59" s="69" t="s">
        <v>651</v>
      </c>
      <c r="F59" s="70" t="s">
        <v>652</v>
      </c>
      <c r="G59" s="68" t="str">
        <f t="shared" si="6"/>
        <v>2Q  66  10  02  00  00  00</v>
      </c>
      <c r="H59" s="68" t="str">
        <f t="shared" si="7"/>
        <v>2Q</v>
      </c>
      <c r="I59" s="68">
        <f t="shared" si="8"/>
        <v>66</v>
      </c>
      <c r="J59" s="68" t="str">
        <f t="shared" si="9"/>
        <v>10</v>
      </c>
      <c r="K59" s="68" t="str">
        <f t="shared" si="10"/>
        <v>02</v>
      </c>
      <c r="L59" s="68" t="str">
        <f t="shared" si="11"/>
        <v>00</v>
      </c>
      <c r="M59" s="68" t="str">
        <f t="shared" si="12"/>
        <v>00</v>
      </c>
      <c r="N59" s="68" t="str">
        <f t="shared" si="13"/>
        <v>00</v>
      </c>
      <c r="O59" s="81" t="str">
        <f t="shared" si="0"/>
        <v>Escavação, carga e transporte de material de 1ª categoria - DMT de 200 a 400 m - caminho de serviço pavimentado - com carregadeira e caminhão basculante de 14 m³ | Insumo principal: Caminhão basculante com capacidade de 14 m³ - 210 kW</v>
      </c>
    </row>
    <row r="60" spans="1:15" ht="93.75">
      <c r="A60" s="11"/>
      <c r="B60" s="79" t="s">
        <v>102</v>
      </c>
      <c r="C60" s="78" t="s">
        <v>383</v>
      </c>
      <c r="D60" s="66" t="str">
        <f>VLOOKUP(B60,CORRESPONDENCIA!$C$4:$F$2105,2,0)</f>
        <v>2.6.3</v>
      </c>
      <c r="E60" s="69" t="s">
        <v>651</v>
      </c>
      <c r="F60" s="70" t="s">
        <v>652</v>
      </c>
      <c r="G60" s="68" t="str">
        <f t="shared" si="6"/>
        <v>2Q  66  10  02  00  00  00</v>
      </c>
      <c r="H60" s="68" t="str">
        <f t="shared" si="7"/>
        <v>2Q</v>
      </c>
      <c r="I60" s="68">
        <f t="shared" si="8"/>
        <v>66</v>
      </c>
      <c r="J60" s="68" t="str">
        <f t="shared" si="9"/>
        <v>10</v>
      </c>
      <c r="K60" s="68" t="str">
        <f t="shared" si="10"/>
        <v>02</v>
      </c>
      <c r="L60" s="68" t="str">
        <f t="shared" si="11"/>
        <v>00</v>
      </c>
      <c r="M60" s="68" t="str">
        <f t="shared" si="12"/>
        <v>00</v>
      </c>
      <c r="N60" s="68" t="str">
        <f t="shared" si="13"/>
        <v>00</v>
      </c>
      <c r="O60" s="81" t="str">
        <f t="shared" si="0"/>
        <v>Escavação, carga e transporte de material de 1ª categoria - DMT de 400 a 600 m - caminho de serviço em leito natural - com carregadeira e caminhão basculante de 14 m³ | Insumo principal: Caminhão basculante com capacidade de 14 m³ - 210 kW</v>
      </c>
    </row>
    <row r="61" spans="1:15" ht="93.75">
      <c r="A61" s="11"/>
      <c r="B61" s="79" t="s">
        <v>103</v>
      </c>
      <c r="C61" s="78" t="s">
        <v>385</v>
      </c>
      <c r="D61" s="66" t="str">
        <f>VLOOKUP(B61,CORRESPONDENCIA!$C$4:$F$2105,2,0)</f>
        <v>2.6.3</v>
      </c>
      <c r="E61" s="69" t="s">
        <v>651</v>
      </c>
      <c r="F61" s="70" t="s">
        <v>652</v>
      </c>
      <c r="G61" s="68" t="str">
        <f t="shared" si="6"/>
        <v>2Q  66  10  02  00  00  00</v>
      </c>
      <c r="H61" s="68" t="str">
        <f t="shared" si="7"/>
        <v>2Q</v>
      </c>
      <c r="I61" s="68">
        <f t="shared" si="8"/>
        <v>66</v>
      </c>
      <c r="J61" s="68" t="str">
        <f t="shared" si="9"/>
        <v>10</v>
      </c>
      <c r="K61" s="68" t="str">
        <f t="shared" si="10"/>
        <v>02</v>
      </c>
      <c r="L61" s="68" t="str">
        <f t="shared" si="11"/>
        <v>00</v>
      </c>
      <c r="M61" s="68" t="str">
        <f t="shared" si="12"/>
        <v>00</v>
      </c>
      <c r="N61" s="68" t="str">
        <f t="shared" si="13"/>
        <v>00</v>
      </c>
      <c r="O61" s="81" t="str">
        <f t="shared" si="0"/>
        <v>Escavação, carga e transporte de material de 1ª categoria - DMT de 400 a 600 m - caminho de serviço em revestimento primário - com carregadeira e caminhão basculante de 14 m³ | Insumo principal: Caminhão basculante com capacidade de 14 m³ - 210 kW</v>
      </c>
    </row>
    <row r="62" spans="1:15" ht="93.75">
      <c r="A62" s="11"/>
      <c r="B62" s="79" t="s">
        <v>104</v>
      </c>
      <c r="C62" s="78" t="s">
        <v>387</v>
      </c>
      <c r="D62" s="66" t="str">
        <f>VLOOKUP(B62,CORRESPONDENCIA!$C$4:$F$2105,2,0)</f>
        <v>2.6.3</v>
      </c>
      <c r="E62" s="69" t="s">
        <v>651</v>
      </c>
      <c r="F62" s="70" t="s">
        <v>652</v>
      </c>
      <c r="G62" s="68" t="str">
        <f t="shared" si="6"/>
        <v>2Q  66  10  02  00  00  00</v>
      </c>
      <c r="H62" s="68" t="str">
        <f t="shared" si="7"/>
        <v>2Q</v>
      </c>
      <c r="I62" s="68">
        <f t="shared" si="8"/>
        <v>66</v>
      </c>
      <c r="J62" s="68" t="str">
        <f t="shared" si="9"/>
        <v>10</v>
      </c>
      <c r="K62" s="68" t="str">
        <f t="shared" si="10"/>
        <v>02</v>
      </c>
      <c r="L62" s="68" t="str">
        <f t="shared" si="11"/>
        <v>00</v>
      </c>
      <c r="M62" s="68" t="str">
        <f t="shared" si="12"/>
        <v>00</v>
      </c>
      <c r="N62" s="68" t="str">
        <f t="shared" si="13"/>
        <v>00</v>
      </c>
      <c r="O62" s="81" t="str">
        <f t="shared" si="0"/>
        <v>Escavação, carga e transporte de material de 1ª categoria - DMT de 400 a 600 m - caminho de serviço pavimentado - com carregadeira e caminhão basculante de 14 m³ | Insumo principal: Caminhão basculante com capacidade de 14 m³ - 210 kW</v>
      </c>
    </row>
    <row r="63" spans="1:15" ht="93.75">
      <c r="A63" s="11"/>
      <c r="B63" s="79" t="s">
        <v>105</v>
      </c>
      <c r="C63" s="78" t="s">
        <v>389</v>
      </c>
      <c r="D63" s="66" t="str">
        <f>VLOOKUP(B63,CORRESPONDENCIA!$C$4:$F$2105,2,0)</f>
        <v>2.6.3</v>
      </c>
      <c r="E63" s="69" t="s">
        <v>651</v>
      </c>
      <c r="F63" s="70" t="s">
        <v>652</v>
      </c>
      <c r="G63" s="68" t="str">
        <f t="shared" si="6"/>
        <v>2Q  66  10  02  00  00  00</v>
      </c>
      <c r="H63" s="68" t="str">
        <f t="shared" si="7"/>
        <v>2Q</v>
      </c>
      <c r="I63" s="68">
        <f t="shared" si="8"/>
        <v>66</v>
      </c>
      <c r="J63" s="68" t="str">
        <f t="shared" si="9"/>
        <v>10</v>
      </c>
      <c r="K63" s="68" t="str">
        <f t="shared" si="10"/>
        <v>02</v>
      </c>
      <c r="L63" s="68" t="str">
        <f t="shared" si="11"/>
        <v>00</v>
      </c>
      <c r="M63" s="68" t="str">
        <f t="shared" si="12"/>
        <v>00</v>
      </c>
      <c r="N63" s="68" t="str">
        <f t="shared" si="13"/>
        <v>00</v>
      </c>
      <c r="O63" s="81" t="str">
        <f t="shared" si="0"/>
        <v>Escavação, carga e transporte de material de 1ª categoria - DMT de 50 a 200 m - caminho de serviço em leito natural - com carregadeira e caminhão basculante de 14 m³ | Insumo principal: Caminhão basculante com capacidade de 14 m³ - 210 kW</v>
      </c>
    </row>
    <row r="64" spans="1:15" ht="93.75">
      <c r="A64" s="11"/>
      <c r="B64" s="79" t="s">
        <v>106</v>
      </c>
      <c r="C64" s="78" t="s">
        <v>391</v>
      </c>
      <c r="D64" s="66" t="str">
        <f>VLOOKUP(B64,CORRESPONDENCIA!$C$4:$F$2105,2,0)</f>
        <v>2.6.3</v>
      </c>
      <c r="E64" s="69" t="s">
        <v>605</v>
      </c>
      <c r="F64" s="70" t="s">
        <v>606</v>
      </c>
      <c r="G64" s="68" t="str">
        <f>'insumos terrapl'!D3</f>
        <v>2Q  62  30  02  14  00  00</v>
      </c>
      <c r="H64" s="68" t="str">
        <f>'insumos terrapl'!E3</f>
        <v>2Q</v>
      </c>
      <c r="I64" s="68">
        <f>'insumos terrapl'!F3</f>
        <v>62</v>
      </c>
      <c r="J64" s="68">
        <f>'insumos terrapl'!G3</f>
        <v>30</v>
      </c>
      <c r="K64" s="68" t="str">
        <f>'insumos terrapl'!H3</f>
        <v>02</v>
      </c>
      <c r="L64" s="68" t="str">
        <f>'insumos terrapl'!I3</f>
        <v>14</v>
      </c>
      <c r="M64" s="68" t="str">
        <f>'insumos terrapl'!J3</f>
        <v>00</v>
      </c>
      <c r="N64" s="68" t="str">
        <f>'insumos terrapl'!K3</f>
        <v>00</v>
      </c>
      <c r="O64" s="81" t="str">
        <f t="shared" si="0"/>
        <v>Escavação, carga e transporte de material de 1ª categoria - DMT de 50 a 200 m - caminho de serviço em revestimento primário - com carregadeira e caminhão basculante de 14 m³ | Insumo principal: Trator sobre esteiras com lâmina - 259 kW</v>
      </c>
    </row>
    <row r="65" spans="1:15" ht="93.75">
      <c r="A65" s="11"/>
      <c r="B65" s="79" t="s">
        <v>107</v>
      </c>
      <c r="C65" s="78" t="s">
        <v>393</v>
      </c>
      <c r="D65" s="66" t="str">
        <f>VLOOKUP(B65,CORRESPONDENCIA!$C$4:$F$2105,2,0)</f>
        <v>2.6.3</v>
      </c>
      <c r="E65" s="69" t="s">
        <v>651</v>
      </c>
      <c r="F65" s="70" t="s">
        <v>652</v>
      </c>
      <c r="G65" s="68" t="str">
        <f>G63</f>
        <v>2Q  66  10  02  00  00  00</v>
      </c>
      <c r="H65" s="68" t="str">
        <f t="shared" ref="H65:N65" si="14">H63</f>
        <v>2Q</v>
      </c>
      <c r="I65" s="68">
        <f t="shared" si="14"/>
        <v>66</v>
      </c>
      <c r="J65" s="68" t="str">
        <f t="shared" si="14"/>
        <v>10</v>
      </c>
      <c r="K65" s="68" t="str">
        <f t="shared" si="14"/>
        <v>02</v>
      </c>
      <c r="L65" s="68" t="str">
        <f t="shared" si="14"/>
        <v>00</v>
      </c>
      <c r="M65" s="68" t="str">
        <f t="shared" si="14"/>
        <v>00</v>
      </c>
      <c r="N65" s="68" t="str">
        <f t="shared" si="14"/>
        <v>00</v>
      </c>
      <c r="O65" s="81" t="str">
        <f t="shared" si="0"/>
        <v>Escavação, carga e transporte de material de 1ª categoria - DMT de 50 a 200 m - caminho de serviço pavimentado - com carregadeira e caminhão basculante de 14 m³ | Insumo principal: Caminhão basculante com capacidade de 14 m³ - 210 kW</v>
      </c>
    </row>
    <row r="66" spans="1:15" ht="93.75">
      <c r="A66" s="11"/>
      <c r="B66" s="79" t="s">
        <v>108</v>
      </c>
      <c r="C66" s="78" t="s">
        <v>395</v>
      </c>
      <c r="D66" s="66" t="str">
        <f>VLOOKUP(B66,CORRESPONDENCIA!$C$4:$F$2105,2,0)</f>
        <v>2.6.3</v>
      </c>
      <c r="E66" s="69" t="s">
        <v>651</v>
      </c>
      <c r="F66" s="70" t="s">
        <v>652</v>
      </c>
      <c r="G66" s="68" t="str">
        <f>G65</f>
        <v>2Q  66  10  02  00  00  00</v>
      </c>
      <c r="H66" s="68" t="str">
        <f t="shared" ref="H66:N74" si="15">H65</f>
        <v>2Q</v>
      </c>
      <c r="I66" s="68">
        <f t="shared" si="15"/>
        <v>66</v>
      </c>
      <c r="J66" s="68" t="str">
        <f t="shared" si="15"/>
        <v>10</v>
      </c>
      <c r="K66" s="68" t="str">
        <f t="shared" si="15"/>
        <v>02</v>
      </c>
      <c r="L66" s="68" t="str">
        <f t="shared" si="15"/>
        <v>00</v>
      </c>
      <c r="M66" s="68" t="str">
        <f t="shared" si="15"/>
        <v>00</v>
      </c>
      <c r="N66" s="68" t="str">
        <f t="shared" si="15"/>
        <v>00</v>
      </c>
      <c r="O66" s="81" t="str">
        <f t="shared" si="0"/>
        <v>Escavação, carga e transporte de material de 1ª categoria - DMT de 600 a 800 m - caminho de serviço em leito natural - com carregadeira e caminhão basculante de 14 m³ | Insumo principal: Caminhão basculante com capacidade de 14 m³ - 210 kW</v>
      </c>
    </row>
    <row r="67" spans="1:15" ht="93.75">
      <c r="A67" s="11"/>
      <c r="B67" s="79" t="s">
        <v>109</v>
      </c>
      <c r="C67" s="78" t="s">
        <v>397</v>
      </c>
      <c r="D67" s="66" t="str">
        <f>VLOOKUP(B67,CORRESPONDENCIA!$C$4:$F$2105,2,0)</f>
        <v>2.6.3</v>
      </c>
      <c r="E67" s="69" t="s">
        <v>651</v>
      </c>
      <c r="F67" s="70" t="s">
        <v>652</v>
      </c>
      <c r="G67" s="68" t="str">
        <f t="shared" ref="G67:G74" si="16">G66</f>
        <v>2Q  66  10  02  00  00  00</v>
      </c>
      <c r="H67" s="68" t="str">
        <f t="shared" si="15"/>
        <v>2Q</v>
      </c>
      <c r="I67" s="68">
        <f t="shared" si="15"/>
        <v>66</v>
      </c>
      <c r="J67" s="68" t="str">
        <f t="shared" si="15"/>
        <v>10</v>
      </c>
      <c r="K67" s="68" t="str">
        <f t="shared" si="15"/>
        <v>02</v>
      </c>
      <c r="L67" s="68" t="str">
        <f t="shared" si="15"/>
        <v>00</v>
      </c>
      <c r="M67" s="68" t="str">
        <f t="shared" si="15"/>
        <v>00</v>
      </c>
      <c r="N67" s="68" t="str">
        <f t="shared" si="15"/>
        <v>00</v>
      </c>
      <c r="O67" s="81" t="str">
        <f t="shared" si="0"/>
        <v>Escavação, carga e transporte de material de 1ª categoria - DMT de 600 a 800 m - caminho de serviço em revestimento primário - com carregadeira e caminhão basculante de 14 m³ | Insumo principal: Caminhão basculante com capacidade de 14 m³ - 210 kW</v>
      </c>
    </row>
    <row r="68" spans="1:15" ht="93.75">
      <c r="A68" s="11"/>
      <c r="B68" s="79" t="s">
        <v>110</v>
      </c>
      <c r="C68" s="78" t="s">
        <v>399</v>
      </c>
      <c r="D68" s="66" t="str">
        <f>VLOOKUP(B68,CORRESPONDENCIA!$C$4:$F$2105,2,0)</f>
        <v>2.6.3</v>
      </c>
      <c r="E68" s="69" t="s">
        <v>651</v>
      </c>
      <c r="F68" s="70" t="s">
        <v>652</v>
      </c>
      <c r="G68" s="68" t="str">
        <f t="shared" si="16"/>
        <v>2Q  66  10  02  00  00  00</v>
      </c>
      <c r="H68" s="68" t="str">
        <f t="shared" si="15"/>
        <v>2Q</v>
      </c>
      <c r="I68" s="68">
        <f t="shared" si="15"/>
        <v>66</v>
      </c>
      <c r="J68" s="68" t="str">
        <f t="shared" si="15"/>
        <v>10</v>
      </c>
      <c r="K68" s="68" t="str">
        <f t="shared" si="15"/>
        <v>02</v>
      </c>
      <c r="L68" s="68" t="str">
        <f t="shared" si="15"/>
        <v>00</v>
      </c>
      <c r="M68" s="68" t="str">
        <f t="shared" si="15"/>
        <v>00</v>
      </c>
      <c r="N68" s="68" t="str">
        <f t="shared" si="15"/>
        <v>00</v>
      </c>
      <c r="O68" s="81" t="str">
        <f t="shared" si="0"/>
        <v>Escavação, carga e transporte de material de 1ª categoria - DMT de 600 a 800 m - caminho de serviço pavimentado - com carregadeira e caminhão basculante de 14 m³ | Insumo principal: Caminhão basculante com capacidade de 14 m³ - 210 kW</v>
      </c>
    </row>
    <row r="69" spans="1:15" ht="93.75">
      <c r="A69" s="11"/>
      <c r="B69" s="79" t="s">
        <v>111</v>
      </c>
      <c r="C69" s="78" t="s">
        <v>401</v>
      </c>
      <c r="D69" s="66" t="str">
        <f>VLOOKUP(B69,CORRESPONDENCIA!$C$4:$F$2105,2,0)</f>
        <v>2.6.3</v>
      </c>
      <c r="E69" s="69" t="s">
        <v>651</v>
      </c>
      <c r="F69" s="70" t="s">
        <v>652</v>
      </c>
      <c r="G69" s="68" t="str">
        <f t="shared" si="16"/>
        <v>2Q  66  10  02  00  00  00</v>
      </c>
      <c r="H69" s="68" t="str">
        <f t="shared" si="15"/>
        <v>2Q</v>
      </c>
      <c r="I69" s="68">
        <f t="shared" si="15"/>
        <v>66</v>
      </c>
      <c r="J69" s="68" t="str">
        <f t="shared" si="15"/>
        <v>10</v>
      </c>
      <c r="K69" s="68" t="str">
        <f t="shared" si="15"/>
        <v>02</v>
      </c>
      <c r="L69" s="68" t="str">
        <f t="shared" si="15"/>
        <v>00</v>
      </c>
      <c r="M69" s="68" t="str">
        <f t="shared" si="15"/>
        <v>00</v>
      </c>
      <c r="N69" s="68" t="str">
        <f t="shared" si="15"/>
        <v>00</v>
      </c>
      <c r="O69" s="81" t="str">
        <f t="shared" ref="O69:O132" si="17" xml:space="preserve"> C69 &amp; " | Insumo principal: " &amp; F69</f>
        <v>Escavação, carga e transporte de material de 1ª categoria - DMT de 800 a 1.000 m - caminho de serviço em leito natural - com carregadeira e caminhão basculante de 14 m³ | Insumo principal: Caminhão basculante com capacidade de 14 m³ - 210 kW</v>
      </c>
    </row>
    <row r="70" spans="1:15" ht="93.75">
      <c r="A70" s="11"/>
      <c r="B70" s="79" t="s">
        <v>112</v>
      </c>
      <c r="C70" s="78" t="s">
        <v>403</v>
      </c>
      <c r="D70" s="66" t="str">
        <f>VLOOKUP(B70,CORRESPONDENCIA!$C$4:$F$2105,2,0)</f>
        <v>2.6.3</v>
      </c>
      <c r="E70" s="69" t="s">
        <v>651</v>
      </c>
      <c r="F70" s="70" t="s">
        <v>652</v>
      </c>
      <c r="G70" s="68" t="str">
        <f t="shared" si="16"/>
        <v>2Q  66  10  02  00  00  00</v>
      </c>
      <c r="H70" s="68" t="str">
        <f t="shared" si="15"/>
        <v>2Q</v>
      </c>
      <c r="I70" s="68">
        <f t="shared" si="15"/>
        <v>66</v>
      </c>
      <c r="J70" s="68" t="str">
        <f t="shared" si="15"/>
        <v>10</v>
      </c>
      <c r="K70" s="68" t="str">
        <f t="shared" si="15"/>
        <v>02</v>
      </c>
      <c r="L70" s="68" t="str">
        <f t="shared" si="15"/>
        <v>00</v>
      </c>
      <c r="M70" s="68" t="str">
        <f t="shared" si="15"/>
        <v>00</v>
      </c>
      <c r="N70" s="68" t="str">
        <f t="shared" si="15"/>
        <v>00</v>
      </c>
      <c r="O70" s="81" t="str">
        <f t="shared" si="17"/>
        <v>Escavação, carga e transporte de material de 1ª categoria - DMT de 800 a 1.000 m - caminho de serviço em revestimento primário - com carregadeira e caminhão basculante de 14 m³ | Insumo principal: Caminhão basculante com capacidade de 14 m³ - 210 kW</v>
      </c>
    </row>
    <row r="71" spans="1:15" ht="93.75">
      <c r="A71" s="11"/>
      <c r="B71" s="79" t="s">
        <v>113</v>
      </c>
      <c r="C71" s="78" t="s">
        <v>405</v>
      </c>
      <c r="D71" s="66" t="str">
        <f>VLOOKUP(B71,CORRESPONDENCIA!$C$4:$F$2105,2,0)</f>
        <v>2.6.3</v>
      </c>
      <c r="E71" s="69" t="s">
        <v>651</v>
      </c>
      <c r="F71" s="70" t="s">
        <v>652</v>
      </c>
      <c r="G71" s="68" t="str">
        <f t="shared" si="16"/>
        <v>2Q  66  10  02  00  00  00</v>
      </c>
      <c r="H71" s="68" t="str">
        <f t="shared" si="15"/>
        <v>2Q</v>
      </c>
      <c r="I71" s="68">
        <f t="shared" si="15"/>
        <v>66</v>
      </c>
      <c r="J71" s="68" t="str">
        <f t="shared" si="15"/>
        <v>10</v>
      </c>
      <c r="K71" s="68" t="str">
        <f t="shared" si="15"/>
        <v>02</v>
      </c>
      <c r="L71" s="68" t="str">
        <f t="shared" si="15"/>
        <v>00</v>
      </c>
      <c r="M71" s="68" t="str">
        <f t="shared" si="15"/>
        <v>00</v>
      </c>
      <c r="N71" s="68" t="str">
        <f t="shared" si="15"/>
        <v>00</v>
      </c>
      <c r="O71" s="81" t="str">
        <f t="shared" si="17"/>
        <v>Escavação, carga e transporte de material de 1ª categoria - DMT de 800 a 1.000 m - caminho de serviço pavimentado - com carregadeira e caminhão basculante de 14 m³ | Insumo principal: Caminhão basculante com capacidade de 14 m³ - 210 kW</v>
      </c>
    </row>
    <row r="72" spans="1:15" ht="93.75">
      <c r="A72" s="11"/>
      <c r="B72" s="79" t="s">
        <v>114</v>
      </c>
      <c r="C72" s="78" t="s">
        <v>407</v>
      </c>
      <c r="D72" s="66" t="str">
        <f>VLOOKUP(B72,CORRESPONDENCIA!$C$4:$F$2105,2,0)</f>
        <v>2.6.3</v>
      </c>
      <c r="E72" s="69" t="s">
        <v>651</v>
      </c>
      <c r="F72" s="70" t="s">
        <v>652</v>
      </c>
      <c r="G72" s="68" t="str">
        <f t="shared" si="16"/>
        <v>2Q  66  10  02  00  00  00</v>
      </c>
      <c r="H72" s="68" t="str">
        <f t="shared" si="15"/>
        <v>2Q</v>
      </c>
      <c r="I72" s="68">
        <f t="shared" si="15"/>
        <v>66</v>
      </c>
      <c r="J72" s="68" t="str">
        <f t="shared" si="15"/>
        <v>10</v>
      </c>
      <c r="K72" s="68" t="str">
        <f t="shared" si="15"/>
        <v>02</v>
      </c>
      <c r="L72" s="68" t="str">
        <f t="shared" si="15"/>
        <v>00</v>
      </c>
      <c r="M72" s="68" t="str">
        <f t="shared" si="15"/>
        <v>00</v>
      </c>
      <c r="N72" s="68" t="str">
        <f t="shared" si="15"/>
        <v>00</v>
      </c>
      <c r="O72" s="81" t="str">
        <f t="shared" si="17"/>
        <v>Escavação, carga e transporte de material de 1ª categoria na distância de 3.000 m - caminho de serviço em leito natural - com carregadeira e caminhão basculante de 14 m³ | Insumo principal: Caminhão basculante com capacidade de 14 m³ - 210 kW</v>
      </c>
    </row>
    <row r="73" spans="1:15" ht="93.75">
      <c r="A73" s="11"/>
      <c r="B73" s="79" t="s">
        <v>115</v>
      </c>
      <c r="C73" s="78" t="s">
        <v>409</v>
      </c>
      <c r="D73" s="66" t="str">
        <f>VLOOKUP(B73,CORRESPONDENCIA!$C$4:$F$2105,2,0)</f>
        <v>2.6.3</v>
      </c>
      <c r="E73" s="69" t="s">
        <v>651</v>
      </c>
      <c r="F73" s="70" t="s">
        <v>652</v>
      </c>
      <c r="G73" s="68" t="str">
        <f t="shared" si="16"/>
        <v>2Q  66  10  02  00  00  00</v>
      </c>
      <c r="H73" s="68" t="str">
        <f t="shared" si="15"/>
        <v>2Q</v>
      </c>
      <c r="I73" s="68">
        <f t="shared" si="15"/>
        <v>66</v>
      </c>
      <c r="J73" s="68" t="str">
        <f t="shared" si="15"/>
        <v>10</v>
      </c>
      <c r="K73" s="68" t="str">
        <f t="shared" si="15"/>
        <v>02</v>
      </c>
      <c r="L73" s="68" t="str">
        <f t="shared" si="15"/>
        <v>00</v>
      </c>
      <c r="M73" s="68" t="str">
        <f t="shared" si="15"/>
        <v>00</v>
      </c>
      <c r="N73" s="68" t="str">
        <f t="shared" si="15"/>
        <v>00</v>
      </c>
      <c r="O73" s="81" t="str">
        <f t="shared" si="17"/>
        <v>Escavação, carga e transporte de material de 1ª categoria na distância de 3.000 m - caminho de serviço em revestimento primário - com carregadeira e caminhão basculante de 14 m³ | Insumo principal: Caminhão basculante com capacidade de 14 m³ - 210 kW</v>
      </c>
    </row>
    <row r="74" spans="1:15" ht="93.75">
      <c r="A74" s="11"/>
      <c r="B74" s="79" t="s">
        <v>116</v>
      </c>
      <c r="C74" s="78" t="s">
        <v>411</v>
      </c>
      <c r="D74" s="66" t="str">
        <f>VLOOKUP(B74,CORRESPONDENCIA!$C$4:$F$2105,2,0)</f>
        <v>2.6.3</v>
      </c>
      <c r="E74" s="69" t="s">
        <v>651</v>
      </c>
      <c r="F74" s="70" t="s">
        <v>652</v>
      </c>
      <c r="G74" s="68" t="str">
        <f t="shared" si="16"/>
        <v>2Q  66  10  02  00  00  00</v>
      </c>
      <c r="H74" s="68" t="str">
        <f t="shared" si="15"/>
        <v>2Q</v>
      </c>
      <c r="I74" s="68">
        <f t="shared" si="15"/>
        <v>66</v>
      </c>
      <c r="J74" s="68" t="str">
        <f t="shared" si="15"/>
        <v>10</v>
      </c>
      <c r="K74" s="68" t="str">
        <f t="shared" si="15"/>
        <v>02</v>
      </c>
      <c r="L74" s="68" t="str">
        <f t="shared" si="15"/>
        <v>00</v>
      </c>
      <c r="M74" s="68" t="str">
        <f t="shared" si="15"/>
        <v>00</v>
      </c>
      <c r="N74" s="68" t="str">
        <f t="shared" si="15"/>
        <v>00</v>
      </c>
      <c r="O74" s="81" t="str">
        <f t="shared" si="17"/>
        <v>Escavação, carga e transporte de material de 1ª categoria na distância de 3.000 m - caminho de serviço pavimentado - com carregadeira e caminhão basculante de 14 m³ | Insumo principal: Caminhão basculante com capacidade de 14 m³ - 210 kW</v>
      </c>
    </row>
    <row r="75" spans="1:15" ht="56.25">
      <c r="A75" s="11"/>
      <c r="B75" s="79" t="s">
        <v>473</v>
      </c>
      <c r="C75" s="78" t="s">
        <v>22</v>
      </c>
      <c r="D75" s="66" t="str">
        <f>VLOOKUP(B75,CORRESPONDENCIA!$C$4:$F$2105,2,0)</f>
        <v>2.6.4</v>
      </c>
      <c r="E75" s="69" t="s">
        <v>605</v>
      </c>
      <c r="F75" s="70" t="s">
        <v>606</v>
      </c>
      <c r="G75" s="68" t="str">
        <f>'insumos terrapl'!D3</f>
        <v>2Q  62  30  02  14  00  00</v>
      </c>
      <c r="H75" s="68" t="str">
        <f>'insumos terrapl'!E3</f>
        <v>2Q</v>
      </c>
      <c r="I75" s="68">
        <f>'insumos terrapl'!F3</f>
        <v>62</v>
      </c>
      <c r="J75" s="68">
        <f>'insumos terrapl'!G3</f>
        <v>30</v>
      </c>
      <c r="K75" s="68" t="str">
        <f>'insumos terrapl'!H3</f>
        <v>02</v>
      </c>
      <c r="L75" s="68" t="str">
        <f>'insumos terrapl'!I3</f>
        <v>14</v>
      </c>
      <c r="M75" s="68" t="str">
        <f>'insumos terrapl'!J3</f>
        <v>00</v>
      </c>
      <c r="N75" s="68" t="str">
        <f>'insumos terrapl'!K3</f>
        <v>00</v>
      </c>
      <c r="O75" s="81" t="str">
        <f t="shared" si="17"/>
        <v>Escavação e transporte de material de 2ªcategoriacomtratordeesteiras-DMTdeaté50m | Insumo principal: Trator sobre esteiras com lâmina - 259 kW</v>
      </c>
    </row>
    <row r="76" spans="1:15" ht="93.75">
      <c r="A76" s="11"/>
      <c r="B76" s="79" t="s">
        <v>118</v>
      </c>
      <c r="C76" s="78" t="s">
        <v>413</v>
      </c>
      <c r="D76" s="66" t="str">
        <f>VLOOKUP(B76,CORRESPONDENCIA!$C$4:$F$2105,2,0)</f>
        <v>2.6.5</v>
      </c>
      <c r="E76" s="69" t="s">
        <v>651</v>
      </c>
      <c r="F76" s="70" t="s">
        <v>652</v>
      </c>
      <c r="G76" s="68" t="str">
        <f>G74</f>
        <v>2Q  66  10  02  00  00  00</v>
      </c>
      <c r="H76" s="68" t="str">
        <f t="shared" ref="H76:N76" si="18">H74</f>
        <v>2Q</v>
      </c>
      <c r="I76" s="68">
        <f t="shared" si="18"/>
        <v>66</v>
      </c>
      <c r="J76" s="68" t="str">
        <f t="shared" si="18"/>
        <v>10</v>
      </c>
      <c r="K76" s="68" t="str">
        <f t="shared" si="18"/>
        <v>02</v>
      </c>
      <c r="L76" s="68" t="str">
        <f t="shared" si="18"/>
        <v>00</v>
      </c>
      <c r="M76" s="68" t="str">
        <f t="shared" si="18"/>
        <v>00</v>
      </c>
      <c r="N76" s="68" t="str">
        <f t="shared" si="18"/>
        <v>00</v>
      </c>
      <c r="O76" s="81" t="str">
        <f t="shared" si="17"/>
        <v>Escavação, carga e transporte de material de 2ª categoria - DMT de 1.000 a 1.200 m - caminho de serviço em leito natural - com carregadeira e caminhão basculante de 14 m³ | Insumo principal: Caminhão basculante com capacidade de 14 m³ - 210 kW</v>
      </c>
    </row>
    <row r="77" spans="1:15" ht="93.75">
      <c r="A77" s="11"/>
      <c r="B77" s="79" t="s">
        <v>119</v>
      </c>
      <c r="C77" s="78" t="s">
        <v>415</v>
      </c>
      <c r="D77" s="66" t="str">
        <f>VLOOKUP(B77,CORRESPONDENCIA!$C$4:$F$2105,2,0)</f>
        <v>2.6.5</v>
      </c>
      <c r="E77" s="69" t="s">
        <v>651</v>
      </c>
      <c r="F77" s="70" t="s">
        <v>652</v>
      </c>
      <c r="G77" s="68" t="str">
        <f>G76</f>
        <v>2Q  66  10  02  00  00  00</v>
      </c>
      <c r="H77" s="68" t="str">
        <f t="shared" ref="H77:N92" si="19">H76</f>
        <v>2Q</v>
      </c>
      <c r="I77" s="68">
        <f t="shared" si="19"/>
        <v>66</v>
      </c>
      <c r="J77" s="68" t="str">
        <f t="shared" si="19"/>
        <v>10</v>
      </c>
      <c r="K77" s="68" t="str">
        <f t="shared" si="19"/>
        <v>02</v>
      </c>
      <c r="L77" s="68" t="str">
        <f t="shared" si="19"/>
        <v>00</v>
      </c>
      <c r="M77" s="68" t="str">
        <f t="shared" si="19"/>
        <v>00</v>
      </c>
      <c r="N77" s="68" t="str">
        <f t="shared" si="19"/>
        <v>00</v>
      </c>
      <c r="O77" s="81" t="str">
        <f t="shared" si="17"/>
        <v>Escavação, carga e transporte de material de 2ª categoria - DMT de 1.000 a 1.200 m - caminho de serviço em revestimento primário - com carregadeira e caminhão basculante de 14 m³ | Insumo principal: Caminhão basculante com capacidade de 14 m³ - 210 kW</v>
      </c>
    </row>
    <row r="78" spans="1:15" ht="93.75">
      <c r="A78" s="11"/>
      <c r="B78" s="79" t="s">
        <v>120</v>
      </c>
      <c r="C78" s="78" t="s">
        <v>417</v>
      </c>
      <c r="D78" s="66" t="str">
        <f>VLOOKUP(B78,CORRESPONDENCIA!$C$4:$F$2105,2,0)</f>
        <v>2.6.5</v>
      </c>
      <c r="E78" s="69" t="s">
        <v>651</v>
      </c>
      <c r="F78" s="70" t="s">
        <v>652</v>
      </c>
      <c r="G78" s="68" t="str">
        <f t="shared" ref="G78:G97" si="20">G77</f>
        <v>2Q  66  10  02  00  00  00</v>
      </c>
      <c r="H78" s="68" t="str">
        <f t="shared" si="19"/>
        <v>2Q</v>
      </c>
      <c r="I78" s="68">
        <f t="shared" si="19"/>
        <v>66</v>
      </c>
      <c r="J78" s="68" t="str">
        <f t="shared" si="19"/>
        <v>10</v>
      </c>
      <c r="K78" s="68" t="str">
        <f t="shared" si="19"/>
        <v>02</v>
      </c>
      <c r="L78" s="68" t="str">
        <f t="shared" si="19"/>
        <v>00</v>
      </c>
      <c r="M78" s="68" t="str">
        <f t="shared" si="19"/>
        <v>00</v>
      </c>
      <c r="N78" s="68" t="str">
        <f t="shared" si="19"/>
        <v>00</v>
      </c>
      <c r="O78" s="81" t="str">
        <f t="shared" si="17"/>
        <v>Escavação, carga e transporte de material de 2ª categoria - DMT de 1.000 a 1.200 m - caminho de serviço pavimentado - com carregadeira e caminhão basculante de 14 m³ | Insumo principal: Caminhão basculante com capacidade de 14 m³ - 210 kW</v>
      </c>
    </row>
    <row r="79" spans="1:15" ht="93.75">
      <c r="A79" s="11"/>
      <c r="B79" s="79" t="s">
        <v>121</v>
      </c>
      <c r="C79" s="78" t="s">
        <v>419</v>
      </c>
      <c r="D79" s="66" t="str">
        <f>VLOOKUP(B79,CORRESPONDENCIA!$C$4:$F$2105,2,0)</f>
        <v>2.6.5</v>
      </c>
      <c r="E79" s="69" t="s">
        <v>651</v>
      </c>
      <c r="F79" s="70" t="s">
        <v>652</v>
      </c>
      <c r="G79" s="68" t="str">
        <f t="shared" si="20"/>
        <v>2Q  66  10  02  00  00  00</v>
      </c>
      <c r="H79" s="68" t="str">
        <f t="shared" si="19"/>
        <v>2Q</v>
      </c>
      <c r="I79" s="68">
        <f t="shared" si="19"/>
        <v>66</v>
      </c>
      <c r="J79" s="68" t="str">
        <f t="shared" si="19"/>
        <v>10</v>
      </c>
      <c r="K79" s="68" t="str">
        <f t="shared" si="19"/>
        <v>02</v>
      </c>
      <c r="L79" s="68" t="str">
        <f t="shared" si="19"/>
        <v>00</v>
      </c>
      <c r="M79" s="68" t="str">
        <f t="shared" si="19"/>
        <v>00</v>
      </c>
      <c r="N79" s="68" t="str">
        <f t="shared" si="19"/>
        <v>00</v>
      </c>
      <c r="O79" s="81" t="str">
        <f t="shared" si="17"/>
        <v>Escavação, carga e transporte de material de 2ª categoria - DMT de 1.200 a 1.400 m - caminho de serviço em leito natural - com carregadeira e caminhão basculante de 14 m³ | Insumo principal: Caminhão basculante com capacidade de 14 m³ - 210 kW</v>
      </c>
    </row>
    <row r="80" spans="1:15" ht="93.75">
      <c r="A80" s="11"/>
      <c r="B80" s="79" t="s">
        <v>122</v>
      </c>
      <c r="C80" s="78" t="s">
        <v>421</v>
      </c>
      <c r="D80" s="66" t="str">
        <f>VLOOKUP(B80,CORRESPONDENCIA!$C$4:$F$2105,2,0)</f>
        <v>2.6.5</v>
      </c>
      <c r="E80" s="69" t="s">
        <v>651</v>
      </c>
      <c r="F80" s="70" t="s">
        <v>652</v>
      </c>
      <c r="G80" s="68" t="str">
        <f t="shared" si="20"/>
        <v>2Q  66  10  02  00  00  00</v>
      </c>
      <c r="H80" s="68" t="str">
        <f t="shared" si="19"/>
        <v>2Q</v>
      </c>
      <c r="I80" s="68">
        <f t="shared" si="19"/>
        <v>66</v>
      </c>
      <c r="J80" s="68" t="str">
        <f t="shared" si="19"/>
        <v>10</v>
      </c>
      <c r="K80" s="68" t="str">
        <f t="shared" si="19"/>
        <v>02</v>
      </c>
      <c r="L80" s="68" t="str">
        <f t="shared" si="19"/>
        <v>00</v>
      </c>
      <c r="M80" s="68" t="str">
        <f t="shared" si="19"/>
        <v>00</v>
      </c>
      <c r="N80" s="68" t="str">
        <f t="shared" si="19"/>
        <v>00</v>
      </c>
      <c r="O80" s="81" t="str">
        <f t="shared" si="17"/>
        <v>Escavação, carga e transporte de material de 2ª categoria - DMT de 1.200 a 1.400 m - caminho de serviço em revestimento primário - com carregadeira e caminhão basculante de 14 m³ | Insumo principal: Caminhão basculante com capacidade de 14 m³ - 210 kW</v>
      </c>
    </row>
    <row r="81" spans="1:15" ht="93.75">
      <c r="A81" s="11"/>
      <c r="B81" s="79" t="s">
        <v>123</v>
      </c>
      <c r="C81" s="78" t="s">
        <v>423</v>
      </c>
      <c r="D81" s="66" t="str">
        <f>VLOOKUP(B81,CORRESPONDENCIA!$C$4:$F$2105,2,0)</f>
        <v>2.6.5</v>
      </c>
      <c r="E81" s="69" t="s">
        <v>651</v>
      </c>
      <c r="F81" s="70" t="s">
        <v>652</v>
      </c>
      <c r="G81" s="68" t="str">
        <f t="shared" si="20"/>
        <v>2Q  66  10  02  00  00  00</v>
      </c>
      <c r="H81" s="68" t="str">
        <f t="shared" si="19"/>
        <v>2Q</v>
      </c>
      <c r="I81" s="68">
        <f t="shared" si="19"/>
        <v>66</v>
      </c>
      <c r="J81" s="68" t="str">
        <f t="shared" si="19"/>
        <v>10</v>
      </c>
      <c r="K81" s="68" t="str">
        <f t="shared" si="19"/>
        <v>02</v>
      </c>
      <c r="L81" s="68" t="str">
        <f t="shared" si="19"/>
        <v>00</v>
      </c>
      <c r="M81" s="68" t="str">
        <f t="shared" si="19"/>
        <v>00</v>
      </c>
      <c r="N81" s="68" t="str">
        <f t="shared" si="19"/>
        <v>00</v>
      </c>
      <c r="O81" s="81" t="str">
        <f t="shared" si="17"/>
        <v>Escavação, carga e transporte de material de 2ª categoria - DMT de 1.200 a 1.400 m - caminho de serviço pavimentado - com carregadeira e caminhão basculante de 14 m³ | Insumo principal: Caminhão basculante com capacidade de 14 m³ - 210 kW</v>
      </c>
    </row>
    <row r="82" spans="1:15" ht="93.75">
      <c r="A82" s="11"/>
      <c r="B82" s="79" t="s">
        <v>124</v>
      </c>
      <c r="C82" s="78" t="s">
        <v>425</v>
      </c>
      <c r="D82" s="66" t="str">
        <f>VLOOKUP(B82,CORRESPONDENCIA!$C$4:$F$2105,2,0)</f>
        <v>2.6.5</v>
      </c>
      <c r="E82" s="69" t="s">
        <v>651</v>
      </c>
      <c r="F82" s="70" t="s">
        <v>652</v>
      </c>
      <c r="G82" s="68" t="str">
        <f t="shared" si="20"/>
        <v>2Q  66  10  02  00  00  00</v>
      </c>
      <c r="H82" s="68" t="str">
        <f t="shared" si="19"/>
        <v>2Q</v>
      </c>
      <c r="I82" s="68">
        <f t="shared" si="19"/>
        <v>66</v>
      </c>
      <c r="J82" s="68" t="str">
        <f t="shared" si="19"/>
        <v>10</v>
      </c>
      <c r="K82" s="68" t="str">
        <f t="shared" si="19"/>
        <v>02</v>
      </c>
      <c r="L82" s="68" t="str">
        <f t="shared" si="19"/>
        <v>00</v>
      </c>
      <c r="M82" s="68" t="str">
        <f t="shared" si="19"/>
        <v>00</v>
      </c>
      <c r="N82" s="68" t="str">
        <f t="shared" si="19"/>
        <v>00</v>
      </c>
      <c r="O82" s="81" t="str">
        <f t="shared" si="17"/>
        <v>Escavação, carga e transporte de material de 2ª categoria - DMT de 1.400 a 1.600 m - caminho de serviço em leito natural - com carregadeira e caminhão basculante de 14 m³ | Insumo principal: Caminhão basculante com capacidade de 14 m³ - 210 kW</v>
      </c>
    </row>
    <row r="83" spans="1:15" ht="93.75">
      <c r="A83" s="11"/>
      <c r="B83" s="79" t="s">
        <v>125</v>
      </c>
      <c r="C83" s="78" t="s">
        <v>427</v>
      </c>
      <c r="D83" s="66" t="str">
        <f>VLOOKUP(B83,CORRESPONDENCIA!$C$4:$F$2105,2,0)</f>
        <v>2.6.5</v>
      </c>
      <c r="E83" s="69" t="s">
        <v>651</v>
      </c>
      <c r="F83" s="70" t="s">
        <v>652</v>
      </c>
      <c r="G83" s="68" t="str">
        <f t="shared" si="20"/>
        <v>2Q  66  10  02  00  00  00</v>
      </c>
      <c r="H83" s="68" t="str">
        <f t="shared" si="19"/>
        <v>2Q</v>
      </c>
      <c r="I83" s="68">
        <f t="shared" si="19"/>
        <v>66</v>
      </c>
      <c r="J83" s="68" t="str">
        <f t="shared" si="19"/>
        <v>10</v>
      </c>
      <c r="K83" s="68" t="str">
        <f t="shared" si="19"/>
        <v>02</v>
      </c>
      <c r="L83" s="68" t="str">
        <f t="shared" si="19"/>
        <v>00</v>
      </c>
      <c r="M83" s="68" t="str">
        <f t="shared" si="19"/>
        <v>00</v>
      </c>
      <c r="N83" s="68" t="str">
        <f t="shared" si="19"/>
        <v>00</v>
      </c>
      <c r="O83" s="81" t="str">
        <f t="shared" si="17"/>
        <v>Escavação, carga e transporte de material de 2ª categoria - DMT de 1.400 a 1.600 m - caminho de serviço em revestimento primário - com carregadeira e caminhão basculante de 14 m³ | Insumo principal: Caminhão basculante com capacidade de 14 m³ - 210 kW</v>
      </c>
    </row>
    <row r="84" spans="1:15" ht="93.75">
      <c r="A84" s="11"/>
      <c r="B84" s="79" t="s">
        <v>126</v>
      </c>
      <c r="C84" s="78" t="s">
        <v>429</v>
      </c>
      <c r="D84" s="66" t="str">
        <f>VLOOKUP(B84,CORRESPONDENCIA!$C$4:$F$2105,2,0)</f>
        <v>2.6.5</v>
      </c>
      <c r="E84" s="69" t="s">
        <v>651</v>
      </c>
      <c r="F84" s="70" t="s">
        <v>652</v>
      </c>
      <c r="G84" s="68" t="str">
        <f t="shared" si="20"/>
        <v>2Q  66  10  02  00  00  00</v>
      </c>
      <c r="H84" s="68" t="str">
        <f t="shared" si="19"/>
        <v>2Q</v>
      </c>
      <c r="I84" s="68">
        <f t="shared" si="19"/>
        <v>66</v>
      </c>
      <c r="J84" s="68" t="str">
        <f t="shared" si="19"/>
        <v>10</v>
      </c>
      <c r="K84" s="68" t="str">
        <f t="shared" si="19"/>
        <v>02</v>
      </c>
      <c r="L84" s="68" t="str">
        <f t="shared" si="19"/>
        <v>00</v>
      </c>
      <c r="M84" s="68" t="str">
        <f t="shared" si="19"/>
        <v>00</v>
      </c>
      <c r="N84" s="68" t="str">
        <f t="shared" si="19"/>
        <v>00</v>
      </c>
      <c r="O84" s="81" t="str">
        <f t="shared" si="17"/>
        <v>Escavação, carga e transporte de material de 2ª categoria - DMT de 1.400 a 1.600 m - caminho de serviço pavimentado - com carregadeira e caminhão basculante de 14 m³ | Insumo principal: Caminhão basculante com capacidade de 14 m³ - 210 kW</v>
      </c>
    </row>
    <row r="85" spans="1:15" ht="93.75">
      <c r="A85" s="11"/>
      <c r="B85" s="79" t="s">
        <v>127</v>
      </c>
      <c r="C85" s="78" t="s">
        <v>431</v>
      </c>
      <c r="D85" s="66" t="str">
        <f>VLOOKUP(B85,CORRESPONDENCIA!$C$4:$F$2105,2,0)</f>
        <v>2.6.5</v>
      </c>
      <c r="E85" s="69" t="s">
        <v>651</v>
      </c>
      <c r="F85" s="70" t="s">
        <v>652</v>
      </c>
      <c r="G85" s="68" t="str">
        <f t="shared" si="20"/>
        <v>2Q  66  10  02  00  00  00</v>
      </c>
      <c r="H85" s="68" t="str">
        <f t="shared" si="19"/>
        <v>2Q</v>
      </c>
      <c r="I85" s="68">
        <f t="shared" si="19"/>
        <v>66</v>
      </c>
      <c r="J85" s="68" t="str">
        <f t="shared" si="19"/>
        <v>10</v>
      </c>
      <c r="K85" s="68" t="str">
        <f t="shared" si="19"/>
        <v>02</v>
      </c>
      <c r="L85" s="68" t="str">
        <f t="shared" si="19"/>
        <v>00</v>
      </c>
      <c r="M85" s="68" t="str">
        <f t="shared" si="19"/>
        <v>00</v>
      </c>
      <c r="N85" s="68" t="str">
        <f t="shared" si="19"/>
        <v>00</v>
      </c>
      <c r="O85" s="81" t="str">
        <f t="shared" si="17"/>
        <v>Escavação, carga e transporte de material de 2ª categoria - DMT de 1.600 a 1.800 m - caminho de serviço em leito natural - com carregadeira e caminhão basculante de 14 m³ | Insumo principal: Caminhão basculante com capacidade de 14 m³ - 210 kW</v>
      </c>
    </row>
    <row r="86" spans="1:15" ht="93.75">
      <c r="A86" s="11"/>
      <c r="B86" s="79" t="s">
        <v>128</v>
      </c>
      <c r="C86" s="78" t="s">
        <v>433</v>
      </c>
      <c r="D86" s="66" t="str">
        <f>VLOOKUP(B86,CORRESPONDENCIA!$C$4:$F$2105,2,0)</f>
        <v>2.6.5</v>
      </c>
      <c r="E86" s="69" t="s">
        <v>651</v>
      </c>
      <c r="F86" s="70" t="s">
        <v>652</v>
      </c>
      <c r="G86" s="68" t="str">
        <f t="shared" si="20"/>
        <v>2Q  66  10  02  00  00  00</v>
      </c>
      <c r="H86" s="68" t="str">
        <f t="shared" si="19"/>
        <v>2Q</v>
      </c>
      <c r="I86" s="68">
        <f t="shared" si="19"/>
        <v>66</v>
      </c>
      <c r="J86" s="68" t="str">
        <f t="shared" si="19"/>
        <v>10</v>
      </c>
      <c r="K86" s="68" t="str">
        <f t="shared" si="19"/>
        <v>02</v>
      </c>
      <c r="L86" s="68" t="str">
        <f t="shared" si="19"/>
        <v>00</v>
      </c>
      <c r="M86" s="68" t="str">
        <f t="shared" si="19"/>
        <v>00</v>
      </c>
      <c r="N86" s="68" t="str">
        <f t="shared" si="19"/>
        <v>00</v>
      </c>
      <c r="O86" s="81" t="str">
        <f t="shared" si="17"/>
        <v>Escavação, carga e transporte de material de 2ª categoria - DMT de 1.600 a 1.800 m - caminho de serviço em revestimento primário - com carregadeira e caminhão basculante de 14 m³ | Insumo principal: Caminhão basculante com capacidade de 14 m³ - 210 kW</v>
      </c>
    </row>
    <row r="87" spans="1:15" ht="93.75">
      <c r="A87" s="11"/>
      <c r="B87" s="79" t="s">
        <v>129</v>
      </c>
      <c r="C87" s="78" t="s">
        <v>435</v>
      </c>
      <c r="D87" s="66" t="str">
        <f>VLOOKUP(B87,CORRESPONDENCIA!$C$4:$F$2105,2,0)</f>
        <v>2.6.5</v>
      </c>
      <c r="E87" s="69" t="s">
        <v>651</v>
      </c>
      <c r="F87" s="70" t="s">
        <v>652</v>
      </c>
      <c r="G87" s="68" t="str">
        <f t="shared" si="20"/>
        <v>2Q  66  10  02  00  00  00</v>
      </c>
      <c r="H87" s="68" t="str">
        <f t="shared" si="19"/>
        <v>2Q</v>
      </c>
      <c r="I87" s="68">
        <f t="shared" si="19"/>
        <v>66</v>
      </c>
      <c r="J87" s="68" t="str">
        <f t="shared" si="19"/>
        <v>10</v>
      </c>
      <c r="K87" s="68" t="str">
        <f t="shared" si="19"/>
        <v>02</v>
      </c>
      <c r="L87" s="68" t="str">
        <f t="shared" si="19"/>
        <v>00</v>
      </c>
      <c r="M87" s="68" t="str">
        <f t="shared" si="19"/>
        <v>00</v>
      </c>
      <c r="N87" s="68" t="str">
        <f t="shared" si="19"/>
        <v>00</v>
      </c>
      <c r="O87" s="81" t="str">
        <f t="shared" si="17"/>
        <v>Escavação, carga e transporte de material de 2ª categoria - DMT de 1.600 a 1.800 m - caminho de serviço pavimentado - com carregadeira e caminhão basculante de 14 m³ | Insumo principal: Caminhão basculante com capacidade de 14 m³ - 210 kW</v>
      </c>
    </row>
    <row r="88" spans="1:15" ht="93.75">
      <c r="A88" s="11"/>
      <c r="B88" s="79" t="s">
        <v>130</v>
      </c>
      <c r="C88" s="78" t="s">
        <v>437</v>
      </c>
      <c r="D88" s="66" t="str">
        <f>VLOOKUP(B88,CORRESPONDENCIA!$C$4:$F$2105,2,0)</f>
        <v>2.6.5</v>
      </c>
      <c r="E88" s="69" t="s">
        <v>651</v>
      </c>
      <c r="F88" s="70" t="s">
        <v>652</v>
      </c>
      <c r="G88" s="68" t="str">
        <f t="shared" si="20"/>
        <v>2Q  66  10  02  00  00  00</v>
      </c>
      <c r="H88" s="68" t="str">
        <f t="shared" si="19"/>
        <v>2Q</v>
      </c>
      <c r="I88" s="68">
        <f t="shared" si="19"/>
        <v>66</v>
      </c>
      <c r="J88" s="68" t="str">
        <f t="shared" si="19"/>
        <v>10</v>
      </c>
      <c r="K88" s="68" t="str">
        <f t="shared" si="19"/>
        <v>02</v>
      </c>
      <c r="L88" s="68" t="str">
        <f t="shared" si="19"/>
        <v>00</v>
      </c>
      <c r="M88" s="68" t="str">
        <f t="shared" si="19"/>
        <v>00</v>
      </c>
      <c r="N88" s="68" t="str">
        <f t="shared" si="19"/>
        <v>00</v>
      </c>
      <c r="O88" s="81" t="str">
        <f t="shared" si="17"/>
        <v>Escavação, carga e transporte de material de 2ª categoria - DMT de 1.800 a 2.000 m - caminho de serviço em leito natural - com carregadeira e caminhão basculante de 14 m³ | Insumo principal: Caminhão basculante com capacidade de 14 m³ - 210 kW</v>
      </c>
    </row>
    <row r="89" spans="1:15" ht="93.75">
      <c r="A89" s="11"/>
      <c r="B89" s="79" t="s">
        <v>131</v>
      </c>
      <c r="C89" s="78" t="s">
        <v>439</v>
      </c>
      <c r="D89" s="66" t="str">
        <f>VLOOKUP(B89,CORRESPONDENCIA!$C$4:$F$2105,2,0)</f>
        <v>2.6.5</v>
      </c>
      <c r="E89" s="69" t="s">
        <v>651</v>
      </c>
      <c r="F89" s="70" t="s">
        <v>652</v>
      </c>
      <c r="G89" s="68" t="str">
        <f t="shared" si="20"/>
        <v>2Q  66  10  02  00  00  00</v>
      </c>
      <c r="H89" s="68" t="str">
        <f t="shared" si="19"/>
        <v>2Q</v>
      </c>
      <c r="I89" s="68">
        <f t="shared" si="19"/>
        <v>66</v>
      </c>
      <c r="J89" s="68" t="str">
        <f t="shared" si="19"/>
        <v>10</v>
      </c>
      <c r="K89" s="68" t="str">
        <f t="shared" si="19"/>
        <v>02</v>
      </c>
      <c r="L89" s="68" t="str">
        <f t="shared" si="19"/>
        <v>00</v>
      </c>
      <c r="M89" s="68" t="str">
        <f t="shared" si="19"/>
        <v>00</v>
      </c>
      <c r="N89" s="68" t="str">
        <f t="shared" si="19"/>
        <v>00</v>
      </c>
      <c r="O89" s="81" t="str">
        <f t="shared" si="17"/>
        <v>Escavação, carga e transporte de material de 2ª categoria - DMT de 1.800 a 2.000 m - caminho de serviço em revestimento primário - com carregadeira e caminhão basculante de 14 m³ | Insumo principal: Caminhão basculante com capacidade de 14 m³ - 210 kW</v>
      </c>
    </row>
    <row r="90" spans="1:15" ht="93.75">
      <c r="A90" s="11"/>
      <c r="B90" s="79" t="s">
        <v>132</v>
      </c>
      <c r="C90" s="78" t="s">
        <v>441</v>
      </c>
      <c r="D90" s="66" t="str">
        <f>VLOOKUP(B90,CORRESPONDENCIA!$C$4:$F$2105,2,0)</f>
        <v>2.6.5</v>
      </c>
      <c r="E90" s="69" t="s">
        <v>651</v>
      </c>
      <c r="F90" s="70" t="s">
        <v>652</v>
      </c>
      <c r="G90" s="68" t="str">
        <f t="shared" si="20"/>
        <v>2Q  66  10  02  00  00  00</v>
      </c>
      <c r="H90" s="68" t="str">
        <f t="shared" si="19"/>
        <v>2Q</v>
      </c>
      <c r="I90" s="68">
        <f t="shared" si="19"/>
        <v>66</v>
      </c>
      <c r="J90" s="68" t="str">
        <f t="shared" si="19"/>
        <v>10</v>
      </c>
      <c r="K90" s="68" t="str">
        <f t="shared" si="19"/>
        <v>02</v>
      </c>
      <c r="L90" s="68" t="str">
        <f t="shared" si="19"/>
        <v>00</v>
      </c>
      <c r="M90" s="68" t="str">
        <f t="shared" si="19"/>
        <v>00</v>
      </c>
      <c r="N90" s="68" t="str">
        <f t="shared" si="19"/>
        <v>00</v>
      </c>
      <c r="O90" s="81" t="str">
        <f t="shared" si="17"/>
        <v>Escavação, carga e transporte de material de 2ª categoria - DMT de 1.800 a 2.000 m - caminho de serviço pavimentado - com carregadeira e caminhão basculante de 14 m³ | Insumo principal: Caminhão basculante com capacidade de 14 m³ - 210 kW</v>
      </c>
    </row>
    <row r="91" spans="1:15" ht="93.75">
      <c r="A91" s="11"/>
      <c r="B91" s="79" t="s">
        <v>133</v>
      </c>
      <c r="C91" s="78" t="s">
        <v>443</v>
      </c>
      <c r="D91" s="66" t="str">
        <f>VLOOKUP(B91,CORRESPONDENCIA!$C$4:$F$2105,2,0)</f>
        <v>2.6.5</v>
      </c>
      <c r="E91" s="69" t="s">
        <v>651</v>
      </c>
      <c r="F91" s="70" t="s">
        <v>652</v>
      </c>
      <c r="G91" s="68" t="str">
        <f t="shared" si="20"/>
        <v>2Q  66  10  02  00  00  00</v>
      </c>
      <c r="H91" s="68" t="str">
        <f t="shared" si="19"/>
        <v>2Q</v>
      </c>
      <c r="I91" s="68">
        <f t="shared" si="19"/>
        <v>66</v>
      </c>
      <c r="J91" s="68" t="str">
        <f t="shared" si="19"/>
        <v>10</v>
      </c>
      <c r="K91" s="68" t="str">
        <f t="shared" si="19"/>
        <v>02</v>
      </c>
      <c r="L91" s="68" t="str">
        <f t="shared" si="19"/>
        <v>00</v>
      </c>
      <c r="M91" s="68" t="str">
        <f t="shared" si="19"/>
        <v>00</v>
      </c>
      <c r="N91" s="68" t="str">
        <f t="shared" si="19"/>
        <v>00</v>
      </c>
      <c r="O91" s="81" t="str">
        <f t="shared" si="17"/>
        <v>Escavação, carga e transporte de material de 2ª categoria - DMT de 2.000 a 2.500 m - caminho de serviço em leito natural - com carregadeira e caminhão basculante de 14 m³ | Insumo principal: Caminhão basculante com capacidade de 14 m³ - 210 kW</v>
      </c>
    </row>
    <row r="92" spans="1:15" ht="93.75">
      <c r="A92" s="11"/>
      <c r="B92" s="79" t="s">
        <v>134</v>
      </c>
      <c r="C92" s="78" t="s">
        <v>445</v>
      </c>
      <c r="D92" s="66" t="str">
        <f>VLOOKUP(B92,CORRESPONDENCIA!$C$4:$F$2105,2,0)</f>
        <v>2.6.5</v>
      </c>
      <c r="E92" s="69" t="s">
        <v>651</v>
      </c>
      <c r="F92" s="70" t="s">
        <v>652</v>
      </c>
      <c r="G92" s="68" t="str">
        <f t="shared" si="20"/>
        <v>2Q  66  10  02  00  00  00</v>
      </c>
      <c r="H92" s="68" t="str">
        <f t="shared" si="19"/>
        <v>2Q</v>
      </c>
      <c r="I92" s="68">
        <f t="shared" si="19"/>
        <v>66</v>
      </c>
      <c r="J92" s="68" t="str">
        <f t="shared" si="19"/>
        <v>10</v>
      </c>
      <c r="K92" s="68" t="str">
        <f t="shared" si="19"/>
        <v>02</v>
      </c>
      <c r="L92" s="68" t="str">
        <f t="shared" si="19"/>
        <v>00</v>
      </c>
      <c r="M92" s="68" t="str">
        <f t="shared" si="19"/>
        <v>00</v>
      </c>
      <c r="N92" s="68" t="str">
        <f t="shared" si="19"/>
        <v>00</v>
      </c>
      <c r="O92" s="81" t="str">
        <f t="shared" si="17"/>
        <v>Escavação, carga e transporte de material de 2ª categoria - DMT de 2.000 a 2.500 m - caminho de serviço em revestimento primário - com carregadeira e caminhão basculante de 14 m³ | Insumo principal: Caminhão basculante com capacidade de 14 m³ - 210 kW</v>
      </c>
    </row>
    <row r="93" spans="1:15" ht="93.75">
      <c r="A93" s="11"/>
      <c r="B93" s="79" t="s">
        <v>135</v>
      </c>
      <c r="C93" s="78" t="s">
        <v>447</v>
      </c>
      <c r="D93" s="66" t="str">
        <f>VLOOKUP(B93,CORRESPONDENCIA!$C$4:$F$2105,2,0)</f>
        <v>2.6.5</v>
      </c>
      <c r="E93" s="69" t="s">
        <v>651</v>
      </c>
      <c r="F93" s="70" t="s">
        <v>652</v>
      </c>
      <c r="G93" s="68" t="str">
        <f t="shared" si="20"/>
        <v>2Q  66  10  02  00  00  00</v>
      </c>
      <c r="H93" s="68" t="str">
        <f t="shared" ref="H93:N97" si="21">H92</f>
        <v>2Q</v>
      </c>
      <c r="I93" s="68">
        <f t="shared" si="21"/>
        <v>66</v>
      </c>
      <c r="J93" s="68" t="str">
        <f t="shared" si="21"/>
        <v>10</v>
      </c>
      <c r="K93" s="68" t="str">
        <f t="shared" si="21"/>
        <v>02</v>
      </c>
      <c r="L93" s="68" t="str">
        <f t="shared" si="21"/>
        <v>00</v>
      </c>
      <c r="M93" s="68" t="str">
        <f t="shared" si="21"/>
        <v>00</v>
      </c>
      <c r="N93" s="68" t="str">
        <f t="shared" si="21"/>
        <v>00</v>
      </c>
      <c r="O93" s="81" t="str">
        <f t="shared" si="17"/>
        <v>Escavação, carga e transporte de material de 2ª categoria - DMT de 2.000 a 2.500 m - caminho de serviço pavimentado - com carregadeira e caminhão basculante de 14 m³ | Insumo principal: Caminhão basculante com capacidade de 14 m³ - 210 kW</v>
      </c>
    </row>
    <row r="94" spans="1:15" ht="93.75">
      <c r="A94" s="11"/>
      <c r="B94" s="79" t="s">
        <v>136</v>
      </c>
      <c r="C94" s="78" t="s">
        <v>449</v>
      </c>
      <c r="D94" s="66" t="str">
        <f>VLOOKUP(B94,CORRESPONDENCIA!$C$4:$F$2105,2,0)</f>
        <v>2.6.5</v>
      </c>
      <c r="E94" s="69" t="s">
        <v>651</v>
      </c>
      <c r="F94" s="70" t="s">
        <v>652</v>
      </c>
      <c r="G94" s="68" t="str">
        <f t="shared" si="20"/>
        <v>2Q  66  10  02  00  00  00</v>
      </c>
      <c r="H94" s="68" t="str">
        <f t="shared" si="21"/>
        <v>2Q</v>
      </c>
      <c r="I94" s="68">
        <f t="shared" si="21"/>
        <v>66</v>
      </c>
      <c r="J94" s="68" t="str">
        <f t="shared" si="21"/>
        <v>10</v>
      </c>
      <c r="K94" s="68" t="str">
        <f t="shared" si="21"/>
        <v>02</v>
      </c>
      <c r="L94" s="68" t="str">
        <f t="shared" si="21"/>
        <v>00</v>
      </c>
      <c r="M94" s="68" t="str">
        <f t="shared" si="21"/>
        <v>00</v>
      </c>
      <c r="N94" s="68" t="str">
        <f t="shared" si="21"/>
        <v>00</v>
      </c>
      <c r="O94" s="81" t="str">
        <f t="shared" si="17"/>
        <v>Escavação, carga e transporte de material de 2ª categoria - DMT de 2.500 a 3.000 m - caminho de serviço em leito natural - com carregadeira e caminhão basculante de 14 m³ | Insumo principal: Caminhão basculante com capacidade de 14 m³ - 210 kW</v>
      </c>
    </row>
    <row r="95" spans="1:15" ht="93.75">
      <c r="A95" s="11"/>
      <c r="B95" s="79" t="s">
        <v>137</v>
      </c>
      <c r="C95" s="78" t="s">
        <v>451</v>
      </c>
      <c r="D95" s="66" t="str">
        <f>VLOOKUP(B95,CORRESPONDENCIA!$C$4:$F$2105,2,0)</f>
        <v>2.6.5</v>
      </c>
      <c r="E95" s="69" t="s">
        <v>651</v>
      </c>
      <c r="F95" s="70" t="s">
        <v>652</v>
      </c>
      <c r="G95" s="68" t="str">
        <f t="shared" si="20"/>
        <v>2Q  66  10  02  00  00  00</v>
      </c>
      <c r="H95" s="68" t="str">
        <f t="shared" si="21"/>
        <v>2Q</v>
      </c>
      <c r="I95" s="68">
        <f t="shared" si="21"/>
        <v>66</v>
      </c>
      <c r="J95" s="68" t="str">
        <f t="shared" si="21"/>
        <v>10</v>
      </c>
      <c r="K95" s="68" t="str">
        <f t="shared" si="21"/>
        <v>02</v>
      </c>
      <c r="L95" s="68" t="str">
        <f t="shared" si="21"/>
        <v>00</v>
      </c>
      <c r="M95" s="68" t="str">
        <f t="shared" si="21"/>
        <v>00</v>
      </c>
      <c r="N95" s="68" t="str">
        <f t="shared" si="21"/>
        <v>00</v>
      </c>
      <c r="O95" s="81" t="str">
        <f t="shared" si="17"/>
        <v>Escavação, carga e transporte de material de 2ª categoria - DMT de 2.500 a 3.000 m - caminho de serviço em revestimento primário - com carregadeira e caminhão basculante de 14 m³ | Insumo principal: Caminhão basculante com capacidade de 14 m³ - 210 kW</v>
      </c>
    </row>
    <row r="96" spans="1:15" ht="93.75">
      <c r="A96" s="11"/>
      <c r="B96" s="79" t="s">
        <v>138</v>
      </c>
      <c r="C96" s="78" t="s">
        <v>453</v>
      </c>
      <c r="D96" s="66" t="str">
        <f>VLOOKUP(B96,CORRESPONDENCIA!$C$4:$F$2105,2,0)</f>
        <v>2.6.5</v>
      </c>
      <c r="E96" s="69" t="s">
        <v>651</v>
      </c>
      <c r="F96" s="70" t="s">
        <v>652</v>
      </c>
      <c r="G96" s="68" t="str">
        <f t="shared" si="20"/>
        <v>2Q  66  10  02  00  00  00</v>
      </c>
      <c r="H96" s="68" t="str">
        <f t="shared" si="21"/>
        <v>2Q</v>
      </c>
      <c r="I96" s="68">
        <f t="shared" si="21"/>
        <v>66</v>
      </c>
      <c r="J96" s="68" t="str">
        <f t="shared" si="21"/>
        <v>10</v>
      </c>
      <c r="K96" s="68" t="str">
        <f t="shared" si="21"/>
        <v>02</v>
      </c>
      <c r="L96" s="68" t="str">
        <f t="shared" si="21"/>
        <v>00</v>
      </c>
      <c r="M96" s="68" t="str">
        <f t="shared" si="21"/>
        <v>00</v>
      </c>
      <c r="N96" s="68" t="str">
        <f t="shared" si="21"/>
        <v>00</v>
      </c>
      <c r="O96" s="81" t="str">
        <f t="shared" si="17"/>
        <v>Escavação, carga e transporte de material de 2ª categoria - DMT de 2.500 a 3.000 m - caminho de serviço pavimentado - com carregadeira e caminhão basculante de 14 m³ | Insumo principal: Caminhão basculante com capacidade de 14 m³ - 210 kW</v>
      </c>
    </row>
    <row r="97" spans="1:15" ht="93.75">
      <c r="A97" s="11"/>
      <c r="B97" s="79" t="s">
        <v>139</v>
      </c>
      <c r="C97" s="78" t="s">
        <v>455</v>
      </c>
      <c r="D97" s="66" t="str">
        <f>VLOOKUP(B97,CORRESPONDENCIA!$C$4:$F$2105,2,0)</f>
        <v>2.6.5</v>
      </c>
      <c r="E97" s="69" t="s">
        <v>651</v>
      </c>
      <c r="F97" s="70" t="s">
        <v>652</v>
      </c>
      <c r="G97" s="68" t="str">
        <f t="shared" si="20"/>
        <v>2Q  66  10  02  00  00  00</v>
      </c>
      <c r="H97" s="68" t="str">
        <f t="shared" si="21"/>
        <v>2Q</v>
      </c>
      <c r="I97" s="68">
        <f t="shared" si="21"/>
        <v>66</v>
      </c>
      <c r="J97" s="68" t="str">
        <f t="shared" si="21"/>
        <v>10</v>
      </c>
      <c r="K97" s="68" t="str">
        <f t="shared" si="21"/>
        <v>02</v>
      </c>
      <c r="L97" s="68" t="str">
        <f t="shared" si="21"/>
        <v>00</v>
      </c>
      <c r="M97" s="68" t="str">
        <f t="shared" si="21"/>
        <v>00</v>
      </c>
      <c r="N97" s="68" t="str">
        <f t="shared" si="21"/>
        <v>00</v>
      </c>
      <c r="O97" s="81" t="str">
        <f t="shared" si="17"/>
        <v>Escavação, carga e transporte de material de 2ª categoria - DMT de 200 a 400 m - caminho de serviço em leito natural - com carregadeira e caminhão basculante de 14 m³ | Insumo principal: Caminhão basculante com capacidade de 14 m³ - 210 kW</v>
      </c>
    </row>
    <row r="98" spans="1:15" ht="93.75">
      <c r="A98" s="11"/>
      <c r="B98" s="79" t="s">
        <v>140</v>
      </c>
      <c r="C98" s="78" t="s">
        <v>457</v>
      </c>
      <c r="D98" s="66" t="str">
        <f>VLOOKUP(B98,CORRESPONDENCIA!$C$4:$F$2105,2,0)</f>
        <v>2.6.5</v>
      </c>
      <c r="E98" s="69" t="s">
        <v>605</v>
      </c>
      <c r="F98" s="70" t="s">
        <v>606</v>
      </c>
      <c r="G98" s="68" t="str">
        <f>'insumos terrapl'!D3</f>
        <v>2Q  62  30  02  14  00  00</v>
      </c>
      <c r="H98" s="68" t="str">
        <f>'insumos terrapl'!E3</f>
        <v>2Q</v>
      </c>
      <c r="I98" s="68">
        <f>'insumos terrapl'!F3</f>
        <v>62</v>
      </c>
      <c r="J98" s="68">
        <f>'insumos terrapl'!G3</f>
        <v>30</v>
      </c>
      <c r="K98" s="68" t="str">
        <f>'insumos terrapl'!H3</f>
        <v>02</v>
      </c>
      <c r="L98" s="68" t="str">
        <f>'insumos terrapl'!I3</f>
        <v>14</v>
      </c>
      <c r="M98" s="68" t="str">
        <f>'insumos terrapl'!J3</f>
        <v>00</v>
      </c>
      <c r="N98" s="68" t="str">
        <f>'insumos terrapl'!K3</f>
        <v>00</v>
      </c>
      <c r="O98" s="81" t="str">
        <f t="shared" si="17"/>
        <v>Escavação, carga e transporte de material de 2ª categoria - DMT de 200 a 400 m - caminho de serviço em revestimento primário - com carregadeira e caminhão basculante de 14 m³ | Insumo principal: Trator sobre esteiras com lâmina - 259 kW</v>
      </c>
    </row>
    <row r="99" spans="1:15" ht="75">
      <c r="A99" s="11"/>
      <c r="B99" s="79" t="s">
        <v>141</v>
      </c>
      <c r="C99" s="78" t="s">
        <v>459</v>
      </c>
      <c r="D99" s="66" t="str">
        <f>VLOOKUP(B99,CORRESPONDENCIA!$C$4:$F$2105,2,0)</f>
        <v>2.6.5</v>
      </c>
      <c r="E99" s="69" t="s">
        <v>605</v>
      </c>
      <c r="F99" s="70" t="s">
        <v>606</v>
      </c>
      <c r="G99" s="68" t="str">
        <f>G98</f>
        <v>2Q  62  30  02  14  00  00</v>
      </c>
      <c r="H99" s="68" t="str">
        <f t="shared" ref="H99:N99" si="22">H98</f>
        <v>2Q</v>
      </c>
      <c r="I99" s="68">
        <f t="shared" si="22"/>
        <v>62</v>
      </c>
      <c r="J99" s="68">
        <f t="shared" si="22"/>
        <v>30</v>
      </c>
      <c r="K99" s="68" t="str">
        <f t="shared" si="22"/>
        <v>02</v>
      </c>
      <c r="L99" s="68" t="str">
        <f t="shared" si="22"/>
        <v>14</v>
      </c>
      <c r="M99" s="68" t="str">
        <f t="shared" si="22"/>
        <v>00</v>
      </c>
      <c r="N99" s="68" t="str">
        <f t="shared" si="22"/>
        <v>00</v>
      </c>
      <c r="O99" s="81" t="str">
        <f t="shared" si="17"/>
        <v>Escavação, carga e transporte de material de 2ª categoria - DMT de 200 a 400 m - caminho de serviço pavimentado - com carregadeira e caminhão basculante de 14 m³ | Insumo principal: Trator sobre esteiras com lâmina - 259 kW</v>
      </c>
    </row>
    <row r="100" spans="1:15" ht="93.75">
      <c r="A100" s="11"/>
      <c r="B100" s="79" t="s">
        <v>142</v>
      </c>
      <c r="C100" s="78" t="s">
        <v>461</v>
      </c>
      <c r="D100" s="66" t="str">
        <f>VLOOKUP(B100,CORRESPONDENCIA!$C$4:$F$2105,2,0)</f>
        <v>2.6.5</v>
      </c>
      <c r="E100" s="69" t="s">
        <v>651</v>
      </c>
      <c r="F100" s="70" t="s">
        <v>652</v>
      </c>
      <c r="G100" s="68" t="str">
        <f>G96</f>
        <v>2Q  66  10  02  00  00  00</v>
      </c>
      <c r="H100" s="68" t="str">
        <f t="shared" ref="H100:N100" si="23">H96</f>
        <v>2Q</v>
      </c>
      <c r="I100" s="68">
        <f t="shared" si="23"/>
        <v>66</v>
      </c>
      <c r="J100" s="68" t="str">
        <f t="shared" si="23"/>
        <v>10</v>
      </c>
      <c r="K100" s="68" t="str">
        <f t="shared" si="23"/>
        <v>02</v>
      </c>
      <c r="L100" s="68" t="str">
        <f t="shared" si="23"/>
        <v>00</v>
      </c>
      <c r="M100" s="68" t="str">
        <f t="shared" si="23"/>
        <v>00</v>
      </c>
      <c r="N100" s="68" t="str">
        <f t="shared" si="23"/>
        <v>00</v>
      </c>
      <c r="O100" s="81" t="str">
        <f t="shared" si="17"/>
        <v>Escavação, carga e transporte de material de 2ª categoria - DMT de 400 a 600 m - caminho de serviço em leito natural - com carregadeira e caminhão basculante de 14 m³ | Insumo principal: Caminhão basculante com capacidade de 14 m³ - 210 kW</v>
      </c>
    </row>
    <row r="101" spans="1:15" ht="93.75">
      <c r="A101" s="11"/>
      <c r="B101" s="79" t="s">
        <v>143</v>
      </c>
      <c r="C101" s="78" t="s">
        <v>463</v>
      </c>
      <c r="D101" s="66" t="str">
        <f>VLOOKUP(B101,CORRESPONDENCIA!$C$4:$F$2105,2,0)</f>
        <v>2.6.5</v>
      </c>
      <c r="E101" s="69" t="s">
        <v>605</v>
      </c>
      <c r="F101" s="70" t="s">
        <v>606</v>
      </c>
      <c r="G101" s="68" t="str">
        <f>G99</f>
        <v>2Q  62  30  02  14  00  00</v>
      </c>
      <c r="H101" s="68" t="str">
        <f t="shared" ref="H101:N101" si="24">H99</f>
        <v>2Q</v>
      </c>
      <c r="I101" s="68">
        <f t="shared" si="24"/>
        <v>62</v>
      </c>
      <c r="J101" s="68">
        <f t="shared" si="24"/>
        <v>30</v>
      </c>
      <c r="K101" s="68" t="str">
        <f t="shared" si="24"/>
        <v>02</v>
      </c>
      <c r="L101" s="68" t="str">
        <f t="shared" si="24"/>
        <v>14</v>
      </c>
      <c r="M101" s="68" t="str">
        <f t="shared" si="24"/>
        <v>00</v>
      </c>
      <c r="N101" s="68" t="str">
        <f t="shared" si="24"/>
        <v>00</v>
      </c>
      <c r="O101" s="81" t="str">
        <f t="shared" si="17"/>
        <v>Escavação, carga e transporte de material de 2ª categoria - DMT de 400 a 600 m - caminho de serviço em revestimento primário - com carregadeira e caminhão basculante de 14 m³ | Insumo principal: Trator sobre esteiras com lâmina - 259 kW</v>
      </c>
    </row>
    <row r="102" spans="1:15" ht="93.75">
      <c r="A102" s="11"/>
      <c r="B102" s="79" t="s">
        <v>144</v>
      </c>
      <c r="C102" s="78" t="s">
        <v>465</v>
      </c>
      <c r="D102" s="66" t="str">
        <f>VLOOKUP(B102,CORRESPONDENCIA!$C$4:$F$2105,2,0)</f>
        <v>2.6.5</v>
      </c>
      <c r="E102" s="69" t="s">
        <v>651</v>
      </c>
      <c r="F102" s="70" t="s">
        <v>652</v>
      </c>
      <c r="G102" s="68" t="str">
        <f>G100</f>
        <v>2Q  66  10  02  00  00  00</v>
      </c>
      <c r="H102" s="68" t="str">
        <f t="shared" ref="H102:N102" si="25">H100</f>
        <v>2Q</v>
      </c>
      <c r="I102" s="68">
        <f t="shared" si="25"/>
        <v>66</v>
      </c>
      <c r="J102" s="68" t="str">
        <f t="shared" si="25"/>
        <v>10</v>
      </c>
      <c r="K102" s="68" t="str">
        <f t="shared" si="25"/>
        <v>02</v>
      </c>
      <c r="L102" s="68" t="str">
        <f t="shared" si="25"/>
        <v>00</v>
      </c>
      <c r="M102" s="68" t="str">
        <f t="shared" si="25"/>
        <v>00</v>
      </c>
      <c r="N102" s="68" t="str">
        <f t="shared" si="25"/>
        <v>00</v>
      </c>
      <c r="O102" s="81" t="str">
        <f t="shared" si="17"/>
        <v>Escavação, carga e transporte de material de 2ª categoria - DMT de 400 a 600 m - caminho de serviço pavimentado - com carregadeira e caminhão basculante de 14 m³ | Insumo principal: Caminhão basculante com capacidade de 14 m³ - 210 kW</v>
      </c>
    </row>
    <row r="103" spans="1:15" ht="75">
      <c r="A103" s="11"/>
      <c r="B103" s="79" t="s">
        <v>145</v>
      </c>
      <c r="C103" s="78" t="s">
        <v>467</v>
      </c>
      <c r="D103" s="66" t="str">
        <f>VLOOKUP(B103,CORRESPONDENCIA!$C$4:$F$2105,2,0)</f>
        <v>2.6.5</v>
      </c>
      <c r="E103" s="69" t="s">
        <v>605</v>
      </c>
      <c r="F103" s="70" t="s">
        <v>606</v>
      </c>
      <c r="G103" s="68" t="str">
        <f>G101</f>
        <v>2Q  62  30  02  14  00  00</v>
      </c>
      <c r="H103" s="68" t="str">
        <f t="shared" ref="H103:N103" si="26">H101</f>
        <v>2Q</v>
      </c>
      <c r="I103" s="68">
        <f t="shared" si="26"/>
        <v>62</v>
      </c>
      <c r="J103" s="68">
        <f t="shared" si="26"/>
        <v>30</v>
      </c>
      <c r="K103" s="68" t="str">
        <f t="shared" si="26"/>
        <v>02</v>
      </c>
      <c r="L103" s="68" t="str">
        <f t="shared" si="26"/>
        <v>14</v>
      </c>
      <c r="M103" s="68" t="str">
        <f t="shared" si="26"/>
        <v>00</v>
      </c>
      <c r="N103" s="68" t="str">
        <f t="shared" si="26"/>
        <v>00</v>
      </c>
      <c r="O103" s="81" t="str">
        <f t="shared" si="17"/>
        <v>Escavação, carga e transporte de material de 2ª categoria - DMT de 50 a 200 m - caminho de serviço em leito natural - com carregadeira e caminhão basculante de 14 m³ | Insumo principal: Trator sobre esteiras com lâmina - 259 kW</v>
      </c>
    </row>
    <row r="104" spans="1:15" ht="93.75">
      <c r="A104" s="11"/>
      <c r="B104" s="79" t="s">
        <v>146</v>
      </c>
      <c r="C104" s="78" t="s">
        <v>469</v>
      </c>
      <c r="D104" s="66" t="str">
        <f>VLOOKUP(B104,CORRESPONDENCIA!$C$4:$F$2105,2,0)</f>
        <v>2.6.5</v>
      </c>
      <c r="E104" s="69" t="s">
        <v>605</v>
      </c>
      <c r="F104" s="70" t="s">
        <v>606</v>
      </c>
      <c r="G104" s="68" t="str">
        <f>G103</f>
        <v>2Q  62  30  02  14  00  00</v>
      </c>
      <c r="H104" s="68" t="str">
        <f t="shared" ref="H104:N105" si="27">H103</f>
        <v>2Q</v>
      </c>
      <c r="I104" s="68">
        <f t="shared" si="27"/>
        <v>62</v>
      </c>
      <c r="J104" s="68">
        <f t="shared" si="27"/>
        <v>30</v>
      </c>
      <c r="K104" s="68" t="str">
        <f t="shared" si="27"/>
        <v>02</v>
      </c>
      <c r="L104" s="68" t="str">
        <f t="shared" si="27"/>
        <v>14</v>
      </c>
      <c r="M104" s="68" t="str">
        <f t="shared" si="27"/>
        <v>00</v>
      </c>
      <c r="N104" s="68" t="str">
        <f t="shared" si="27"/>
        <v>00</v>
      </c>
      <c r="O104" s="81" t="str">
        <f t="shared" si="17"/>
        <v>Escavação, carga e transporte de material de 2ª categoria - DMT de 50 a 200 m - caminho de serviço em revestimento primário - com carregadeira e caminhão basculante de 14 m³ | Insumo principal: Trator sobre esteiras com lâmina - 259 kW</v>
      </c>
    </row>
    <row r="105" spans="1:15" ht="75">
      <c r="A105" s="11"/>
      <c r="B105" s="79" t="s">
        <v>147</v>
      </c>
      <c r="C105" s="78" t="s">
        <v>471</v>
      </c>
      <c r="D105" s="66" t="str">
        <f>VLOOKUP(B105,CORRESPONDENCIA!$C$4:$F$2105,2,0)</f>
        <v>2.6.5</v>
      </c>
      <c r="E105" s="69" t="s">
        <v>605</v>
      </c>
      <c r="F105" s="70" t="s">
        <v>606</v>
      </c>
      <c r="G105" s="68" t="str">
        <f>G104</f>
        <v>2Q  62  30  02  14  00  00</v>
      </c>
      <c r="H105" s="68" t="str">
        <f t="shared" si="27"/>
        <v>2Q</v>
      </c>
      <c r="I105" s="68">
        <f t="shared" si="27"/>
        <v>62</v>
      </c>
      <c r="J105" s="68">
        <f t="shared" si="27"/>
        <v>30</v>
      </c>
      <c r="K105" s="68" t="str">
        <f t="shared" si="27"/>
        <v>02</v>
      </c>
      <c r="L105" s="68" t="str">
        <f t="shared" si="27"/>
        <v>14</v>
      </c>
      <c r="M105" s="68" t="str">
        <f t="shared" si="27"/>
        <v>00</v>
      </c>
      <c r="N105" s="68" t="str">
        <f t="shared" si="27"/>
        <v>00</v>
      </c>
      <c r="O105" s="81" t="str">
        <f t="shared" si="17"/>
        <v>Escavação, carga e transporte de material de 2ª categoria - DMT de 50 a 200 m - caminho de serviço pavimentado - com carregadeira e caminhão basculante de 14 m³ | Insumo principal: Trator sobre esteiras com lâmina - 259 kW</v>
      </c>
    </row>
    <row r="106" spans="1:15" ht="93.75">
      <c r="A106" s="11"/>
      <c r="B106" s="79" t="s">
        <v>148</v>
      </c>
      <c r="C106" s="78" t="s">
        <v>474</v>
      </c>
      <c r="D106" s="66" t="str">
        <f>VLOOKUP(B106,CORRESPONDENCIA!$C$4:$F$2105,2,0)</f>
        <v>2.6.5</v>
      </c>
      <c r="E106" s="69" t="s">
        <v>651</v>
      </c>
      <c r="F106" s="70" t="s">
        <v>652</v>
      </c>
      <c r="G106" s="68" t="str">
        <f>G95</f>
        <v>2Q  66  10  02  00  00  00</v>
      </c>
      <c r="H106" s="68" t="str">
        <f t="shared" ref="H106:N106" si="28">H95</f>
        <v>2Q</v>
      </c>
      <c r="I106" s="68">
        <f t="shared" si="28"/>
        <v>66</v>
      </c>
      <c r="J106" s="68" t="str">
        <f t="shared" si="28"/>
        <v>10</v>
      </c>
      <c r="K106" s="68" t="str">
        <f t="shared" si="28"/>
        <v>02</v>
      </c>
      <c r="L106" s="68" t="str">
        <f t="shared" si="28"/>
        <v>00</v>
      </c>
      <c r="M106" s="68" t="str">
        <f t="shared" si="28"/>
        <v>00</v>
      </c>
      <c r="N106" s="68" t="str">
        <f t="shared" si="28"/>
        <v>00</v>
      </c>
      <c r="O106" s="81" t="str">
        <f t="shared" si="17"/>
        <v>Escavação, carga e transporte de material de 2ª categoria - DMT de 600 a 800 m - caminho de serviço em leito natural - com carregadeira e caminhão basculante de 14 m³ | Insumo principal: Caminhão basculante com capacidade de 14 m³ - 210 kW</v>
      </c>
    </row>
    <row r="107" spans="1:15" ht="93.75">
      <c r="A107" s="11"/>
      <c r="B107" s="79" t="s">
        <v>149</v>
      </c>
      <c r="C107" s="78" t="s">
        <v>476</v>
      </c>
      <c r="D107" s="66" t="str">
        <f>VLOOKUP(B107,CORRESPONDENCIA!$C$4:$F$2105,2,0)</f>
        <v>2.6.5</v>
      </c>
      <c r="E107" s="69" t="s">
        <v>651</v>
      </c>
      <c r="F107" s="70" t="s">
        <v>652</v>
      </c>
      <c r="G107" s="68" t="str">
        <f>G106</f>
        <v>2Q  66  10  02  00  00  00</v>
      </c>
      <c r="H107" s="68" t="str">
        <f t="shared" ref="H107:N122" si="29">H106</f>
        <v>2Q</v>
      </c>
      <c r="I107" s="68">
        <f t="shared" si="29"/>
        <v>66</v>
      </c>
      <c r="J107" s="68" t="str">
        <f t="shared" si="29"/>
        <v>10</v>
      </c>
      <c r="K107" s="68" t="str">
        <f t="shared" si="29"/>
        <v>02</v>
      </c>
      <c r="L107" s="68" t="str">
        <f t="shared" si="29"/>
        <v>00</v>
      </c>
      <c r="M107" s="68" t="str">
        <f t="shared" si="29"/>
        <v>00</v>
      </c>
      <c r="N107" s="68" t="str">
        <f t="shared" si="29"/>
        <v>00</v>
      </c>
      <c r="O107" s="81" t="str">
        <f t="shared" si="17"/>
        <v>Escavação, carga e transporte de material de 2ª categoria - DMT de 600 a 800 m - caminho de serviço em revestimento primário - com carregadeira e caminhão basculante de 14 m³ | Insumo principal: Caminhão basculante com capacidade de 14 m³ - 210 kW</v>
      </c>
    </row>
    <row r="108" spans="1:15" ht="93.75">
      <c r="A108" s="11"/>
      <c r="B108" s="79" t="s">
        <v>150</v>
      </c>
      <c r="C108" s="78" t="s">
        <v>478</v>
      </c>
      <c r="D108" s="66" t="str">
        <f>VLOOKUP(B108,CORRESPONDENCIA!$C$4:$F$2105,2,0)</f>
        <v>2.6.5</v>
      </c>
      <c r="E108" s="69" t="s">
        <v>651</v>
      </c>
      <c r="F108" s="70" t="s">
        <v>652</v>
      </c>
      <c r="G108" s="68" t="str">
        <f t="shared" ref="G108:G171" si="30">G107</f>
        <v>2Q  66  10  02  00  00  00</v>
      </c>
      <c r="H108" s="68" t="str">
        <f t="shared" si="29"/>
        <v>2Q</v>
      </c>
      <c r="I108" s="68">
        <f t="shared" si="29"/>
        <v>66</v>
      </c>
      <c r="J108" s="68" t="str">
        <f t="shared" si="29"/>
        <v>10</v>
      </c>
      <c r="K108" s="68" t="str">
        <f t="shared" si="29"/>
        <v>02</v>
      </c>
      <c r="L108" s="68" t="str">
        <f t="shared" si="29"/>
        <v>00</v>
      </c>
      <c r="M108" s="68" t="str">
        <f t="shared" si="29"/>
        <v>00</v>
      </c>
      <c r="N108" s="68" t="str">
        <f t="shared" si="29"/>
        <v>00</v>
      </c>
      <c r="O108" s="81" t="str">
        <f t="shared" si="17"/>
        <v>Escavação, carga e transporte de material de 2ª categoria - DMT de 600 a 800 m - caminho de serviço pavimentado - com carregadeira e caminhão basculante de 14 m³ | Insumo principal: Caminhão basculante com capacidade de 14 m³ - 210 kW</v>
      </c>
    </row>
    <row r="109" spans="1:15" ht="93.75">
      <c r="A109" s="11"/>
      <c r="B109" s="79" t="s">
        <v>151</v>
      </c>
      <c r="C109" s="78" t="s">
        <v>480</v>
      </c>
      <c r="D109" s="66" t="str">
        <f>VLOOKUP(B109,CORRESPONDENCIA!$C$4:$F$2105,2,0)</f>
        <v>2.6.5</v>
      </c>
      <c r="E109" s="69" t="s">
        <v>651</v>
      </c>
      <c r="F109" s="70" t="s">
        <v>652</v>
      </c>
      <c r="G109" s="68" t="str">
        <f t="shared" si="30"/>
        <v>2Q  66  10  02  00  00  00</v>
      </c>
      <c r="H109" s="68" t="str">
        <f t="shared" si="29"/>
        <v>2Q</v>
      </c>
      <c r="I109" s="68">
        <f t="shared" si="29"/>
        <v>66</v>
      </c>
      <c r="J109" s="68" t="str">
        <f t="shared" si="29"/>
        <v>10</v>
      </c>
      <c r="K109" s="68" t="str">
        <f t="shared" si="29"/>
        <v>02</v>
      </c>
      <c r="L109" s="68" t="str">
        <f t="shared" si="29"/>
        <v>00</v>
      </c>
      <c r="M109" s="68" t="str">
        <f t="shared" si="29"/>
        <v>00</v>
      </c>
      <c r="N109" s="68" t="str">
        <f t="shared" si="29"/>
        <v>00</v>
      </c>
      <c r="O109" s="81" t="str">
        <f t="shared" si="17"/>
        <v>Escavação, carga e transporte de material de 2ª categoria - DMT de 800 a 1.000 m - caminho de serviço em leito natural - com carregadeira e caminhão basculante de 14 m³ | Insumo principal: Caminhão basculante com capacidade de 14 m³ - 210 kW</v>
      </c>
    </row>
    <row r="110" spans="1:15" ht="93.75">
      <c r="A110" s="11"/>
      <c r="B110" s="79" t="s">
        <v>152</v>
      </c>
      <c r="C110" s="78" t="s">
        <v>482</v>
      </c>
      <c r="D110" s="66" t="str">
        <f>VLOOKUP(B110,CORRESPONDENCIA!$C$4:$F$2105,2,0)</f>
        <v>2.6.5</v>
      </c>
      <c r="E110" s="69" t="s">
        <v>651</v>
      </c>
      <c r="F110" s="70" t="s">
        <v>652</v>
      </c>
      <c r="G110" s="68" t="str">
        <f t="shared" si="30"/>
        <v>2Q  66  10  02  00  00  00</v>
      </c>
      <c r="H110" s="68" t="str">
        <f t="shared" si="29"/>
        <v>2Q</v>
      </c>
      <c r="I110" s="68">
        <f t="shared" si="29"/>
        <v>66</v>
      </c>
      <c r="J110" s="68" t="str">
        <f t="shared" si="29"/>
        <v>10</v>
      </c>
      <c r="K110" s="68" t="str">
        <f t="shared" si="29"/>
        <v>02</v>
      </c>
      <c r="L110" s="68" t="str">
        <f t="shared" si="29"/>
        <v>00</v>
      </c>
      <c r="M110" s="68" t="str">
        <f t="shared" si="29"/>
        <v>00</v>
      </c>
      <c r="N110" s="68" t="str">
        <f t="shared" si="29"/>
        <v>00</v>
      </c>
      <c r="O110" s="81" t="str">
        <f t="shared" si="17"/>
        <v>Escavação, carga e transporte de material de 2ª categoria - DMT de 800 a 1.000 m - caminho de serviço em revestimento primário - com carregadeira e caminhão basculante de 14 m³ | Insumo principal: Caminhão basculante com capacidade de 14 m³ - 210 kW</v>
      </c>
    </row>
    <row r="111" spans="1:15" ht="93.75">
      <c r="A111" s="11"/>
      <c r="B111" s="79" t="s">
        <v>153</v>
      </c>
      <c r="C111" s="78" t="s">
        <v>484</v>
      </c>
      <c r="D111" s="66" t="str">
        <f>VLOOKUP(B111,CORRESPONDENCIA!$C$4:$F$2105,2,0)</f>
        <v>2.6.5</v>
      </c>
      <c r="E111" s="69" t="s">
        <v>651</v>
      </c>
      <c r="F111" s="70" t="s">
        <v>652</v>
      </c>
      <c r="G111" s="68" t="str">
        <f t="shared" si="30"/>
        <v>2Q  66  10  02  00  00  00</v>
      </c>
      <c r="H111" s="68" t="str">
        <f t="shared" si="29"/>
        <v>2Q</v>
      </c>
      <c r="I111" s="68">
        <f t="shared" si="29"/>
        <v>66</v>
      </c>
      <c r="J111" s="68" t="str">
        <f t="shared" si="29"/>
        <v>10</v>
      </c>
      <c r="K111" s="68" t="str">
        <f t="shared" si="29"/>
        <v>02</v>
      </c>
      <c r="L111" s="68" t="str">
        <f t="shared" si="29"/>
        <v>00</v>
      </c>
      <c r="M111" s="68" t="str">
        <f t="shared" si="29"/>
        <v>00</v>
      </c>
      <c r="N111" s="68" t="str">
        <f t="shared" si="29"/>
        <v>00</v>
      </c>
      <c r="O111" s="81" t="str">
        <f t="shared" si="17"/>
        <v>Escavação, carga e transporte de material de 2ª categoria - DMT de 800 a 1.000 m - caminho de serviço pavimentado - com carregadeira e caminhão basculante de 14 m³ | Insumo principal: Caminhão basculante com capacidade de 14 m³ - 210 kW</v>
      </c>
    </row>
    <row r="112" spans="1:15" ht="93.75">
      <c r="A112" s="11"/>
      <c r="B112" s="79" t="s">
        <v>154</v>
      </c>
      <c r="C112" s="78" t="s">
        <v>487</v>
      </c>
      <c r="D112" s="66" t="str">
        <f>VLOOKUP(B112,CORRESPONDENCIA!$C$4:$F$2105,2,0)</f>
        <v>2.6.5</v>
      </c>
      <c r="E112" s="69" t="s">
        <v>651</v>
      </c>
      <c r="F112" s="70" t="s">
        <v>652</v>
      </c>
      <c r="G112" s="68" t="str">
        <f t="shared" si="30"/>
        <v>2Q  66  10  02  00  00  00</v>
      </c>
      <c r="H112" s="68" t="str">
        <f t="shared" si="29"/>
        <v>2Q</v>
      </c>
      <c r="I112" s="68">
        <f t="shared" si="29"/>
        <v>66</v>
      </c>
      <c r="J112" s="68" t="str">
        <f t="shared" si="29"/>
        <v>10</v>
      </c>
      <c r="K112" s="68" t="str">
        <f t="shared" si="29"/>
        <v>02</v>
      </c>
      <c r="L112" s="68" t="str">
        <f t="shared" si="29"/>
        <v>00</v>
      </c>
      <c r="M112" s="68" t="str">
        <f t="shared" si="29"/>
        <v>00</v>
      </c>
      <c r="N112" s="68" t="str">
        <f t="shared" si="29"/>
        <v>00</v>
      </c>
      <c r="O112" s="81" t="str">
        <f t="shared" si="17"/>
        <v>Escavação, carga e transporte de material de 2ª categoria na distância de 3.000 m - caminho de serviço em leito natural com carregadeira e caminhão basculante de 14 m³ | Insumo principal: Caminhão basculante com capacidade de 14 m³ - 210 kW</v>
      </c>
    </row>
    <row r="113" spans="1:15" ht="93.75">
      <c r="A113" s="11"/>
      <c r="B113" s="79" t="s">
        <v>155</v>
      </c>
      <c r="C113" s="78" t="s">
        <v>489</v>
      </c>
      <c r="D113" s="66" t="str">
        <f>VLOOKUP(B113,CORRESPONDENCIA!$C$4:$F$2105,2,0)</f>
        <v>2.6.5</v>
      </c>
      <c r="E113" s="69" t="s">
        <v>651</v>
      </c>
      <c r="F113" s="70" t="s">
        <v>652</v>
      </c>
      <c r="G113" s="68" t="str">
        <f t="shared" si="30"/>
        <v>2Q  66  10  02  00  00  00</v>
      </c>
      <c r="H113" s="68" t="str">
        <f t="shared" si="29"/>
        <v>2Q</v>
      </c>
      <c r="I113" s="68">
        <f t="shared" si="29"/>
        <v>66</v>
      </c>
      <c r="J113" s="68" t="str">
        <f t="shared" si="29"/>
        <v>10</v>
      </c>
      <c r="K113" s="68" t="str">
        <f t="shared" si="29"/>
        <v>02</v>
      </c>
      <c r="L113" s="68" t="str">
        <f t="shared" si="29"/>
        <v>00</v>
      </c>
      <c r="M113" s="68" t="str">
        <f t="shared" si="29"/>
        <v>00</v>
      </c>
      <c r="N113" s="68" t="str">
        <f t="shared" si="29"/>
        <v>00</v>
      </c>
      <c r="O113" s="81" t="str">
        <f t="shared" si="17"/>
        <v>Escavação, carga e transporte de material de 2ª categoria na distância de 3.000 m - caminho de serviço pavimentado - com carregadeira e caminhão basculante de 14 m³ | Insumo principal: Caminhão basculante com capacidade de 14 m³ - 210 kW</v>
      </c>
    </row>
    <row r="114" spans="1:15" ht="93.75">
      <c r="A114" s="11"/>
      <c r="B114" s="79" t="s">
        <v>156</v>
      </c>
      <c r="C114" s="78" t="s">
        <v>491</v>
      </c>
      <c r="D114" s="66" t="str">
        <f>VLOOKUP(B114,CORRESPONDENCIA!$C$4:$F$2105,2,0)</f>
        <v>2.6.5</v>
      </c>
      <c r="E114" s="69" t="s">
        <v>651</v>
      </c>
      <c r="F114" s="70" t="s">
        <v>652</v>
      </c>
      <c r="G114" s="68" t="str">
        <f t="shared" si="30"/>
        <v>2Q  66  10  02  00  00  00</v>
      </c>
      <c r="H114" s="68" t="str">
        <f t="shared" si="29"/>
        <v>2Q</v>
      </c>
      <c r="I114" s="68">
        <f t="shared" si="29"/>
        <v>66</v>
      </c>
      <c r="J114" s="68" t="str">
        <f t="shared" si="29"/>
        <v>10</v>
      </c>
      <c r="K114" s="68" t="str">
        <f t="shared" si="29"/>
        <v>02</v>
      </c>
      <c r="L114" s="68" t="str">
        <f t="shared" si="29"/>
        <v>00</v>
      </c>
      <c r="M114" s="68" t="str">
        <f t="shared" si="29"/>
        <v>00</v>
      </c>
      <c r="N114" s="68" t="str">
        <f t="shared" si="29"/>
        <v>00</v>
      </c>
      <c r="O114" s="81" t="str">
        <f t="shared" si="17"/>
        <v>Escavação, carga e transporte de material de 2ª categoria na distância de 3.000 m -caminho de serviço com revestimento primário com carregadeira e caminhão basculante de 14 m³ | Insumo principal: Caminhão basculante com capacidade de 14 m³ - 210 kW</v>
      </c>
    </row>
    <row r="115" spans="1:15" ht="93.75">
      <c r="A115" s="11"/>
      <c r="B115" s="79" t="s">
        <v>157</v>
      </c>
      <c r="C115" s="78" t="s">
        <v>337</v>
      </c>
      <c r="D115" s="66" t="str">
        <f>VLOOKUP(B115,CORRESPONDENCIA!$C$4:$F$2105,2,0)</f>
        <v>2.6.6</v>
      </c>
      <c r="E115" s="69" t="s">
        <v>651</v>
      </c>
      <c r="F115" s="70" t="s">
        <v>652</v>
      </c>
      <c r="G115" s="68" t="str">
        <f t="shared" si="30"/>
        <v>2Q  66  10  02  00  00  00</v>
      </c>
      <c r="H115" s="68" t="str">
        <f t="shared" si="29"/>
        <v>2Q</v>
      </c>
      <c r="I115" s="68">
        <f t="shared" si="29"/>
        <v>66</v>
      </c>
      <c r="J115" s="68" t="str">
        <f t="shared" si="29"/>
        <v>10</v>
      </c>
      <c r="K115" s="68" t="str">
        <f t="shared" si="29"/>
        <v>02</v>
      </c>
      <c r="L115" s="68" t="str">
        <f t="shared" si="29"/>
        <v>00</v>
      </c>
      <c r="M115" s="68" t="str">
        <f t="shared" si="29"/>
        <v>00</v>
      </c>
      <c r="N115" s="68" t="str">
        <f t="shared" si="29"/>
        <v>00</v>
      </c>
      <c r="O115" s="81" t="str">
        <f t="shared" si="17"/>
        <v>Escavação, carga e transporte de material de 1ª categoria - DMT de 1.000 a 1.200 m - caminho de serviço em leito natural - com escavadeira e caminhão basculante de 14 m³ | Insumo principal: Caminhão basculante com capacidade de 14 m³ - 210 kW</v>
      </c>
    </row>
    <row r="116" spans="1:15" ht="93.75">
      <c r="A116" s="11"/>
      <c r="B116" s="79" t="s">
        <v>158</v>
      </c>
      <c r="C116" s="78" t="s">
        <v>339</v>
      </c>
      <c r="D116" s="66" t="str">
        <f>VLOOKUP(B116,CORRESPONDENCIA!$C$4:$F$2105,2,0)</f>
        <v>2.6.6</v>
      </c>
      <c r="E116" s="69" t="s">
        <v>651</v>
      </c>
      <c r="F116" s="70" t="s">
        <v>652</v>
      </c>
      <c r="G116" s="68" t="str">
        <f t="shared" si="30"/>
        <v>2Q  66  10  02  00  00  00</v>
      </c>
      <c r="H116" s="68" t="str">
        <f t="shared" si="29"/>
        <v>2Q</v>
      </c>
      <c r="I116" s="68">
        <f t="shared" si="29"/>
        <v>66</v>
      </c>
      <c r="J116" s="68" t="str">
        <f t="shared" si="29"/>
        <v>10</v>
      </c>
      <c r="K116" s="68" t="str">
        <f t="shared" si="29"/>
        <v>02</v>
      </c>
      <c r="L116" s="68" t="str">
        <f t="shared" si="29"/>
        <v>00</v>
      </c>
      <c r="M116" s="68" t="str">
        <f t="shared" si="29"/>
        <v>00</v>
      </c>
      <c r="N116" s="68" t="str">
        <f t="shared" si="29"/>
        <v>00</v>
      </c>
      <c r="O116" s="81" t="str">
        <f t="shared" si="17"/>
        <v>Escavação, carga e transporte de material de 1ª categoria - DMT de 1.000 a 1.200 m - caminho de serviço em revestimento primário - com escavadeira e caminhão basculante de 14 m³ | Insumo principal: Caminhão basculante com capacidade de 14 m³ - 210 kW</v>
      </c>
    </row>
    <row r="117" spans="1:15" ht="93.75">
      <c r="A117" s="11"/>
      <c r="B117" s="79" t="s">
        <v>159</v>
      </c>
      <c r="C117" s="78" t="s">
        <v>341</v>
      </c>
      <c r="D117" s="66" t="str">
        <f>VLOOKUP(B117,CORRESPONDENCIA!$C$4:$F$2105,2,0)</f>
        <v>2.6.6</v>
      </c>
      <c r="E117" s="69" t="s">
        <v>651</v>
      </c>
      <c r="F117" s="70" t="s">
        <v>652</v>
      </c>
      <c r="G117" s="68" t="str">
        <f t="shared" si="30"/>
        <v>2Q  66  10  02  00  00  00</v>
      </c>
      <c r="H117" s="68" t="str">
        <f t="shared" si="29"/>
        <v>2Q</v>
      </c>
      <c r="I117" s="68">
        <f t="shared" si="29"/>
        <v>66</v>
      </c>
      <c r="J117" s="68" t="str">
        <f t="shared" si="29"/>
        <v>10</v>
      </c>
      <c r="K117" s="68" t="str">
        <f t="shared" si="29"/>
        <v>02</v>
      </c>
      <c r="L117" s="68" t="str">
        <f t="shared" si="29"/>
        <v>00</v>
      </c>
      <c r="M117" s="68" t="str">
        <f t="shared" si="29"/>
        <v>00</v>
      </c>
      <c r="N117" s="68" t="str">
        <f t="shared" si="29"/>
        <v>00</v>
      </c>
      <c r="O117" s="81" t="str">
        <f t="shared" si="17"/>
        <v>Escavação, carga e transporte de material de 1ª categoria - DMT de 1.000 a 1.200 m - caminho de serviço pavimentado - com escavadeira e caminhão basculante de 14 m³ | Insumo principal: Caminhão basculante com capacidade de 14 m³ - 210 kW</v>
      </c>
    </row>
    <row r="118" spans="1:15" ht="93.75">
      <c r="A118" s="11"/>
      <c r="B118" s="79" t="s">
        <v>160</v>
      </c>
      <c r="C118" s="78" t="s">
        <v>343</v>
      </c>
      <c r="D118" s="66" t="str">
        <f>VLOOKUP(B118,CORRESPONDENCIA!$C$4:$F$2105,2,0)</f>
        <v>2.6.6</v>
      </c>
      <c r="E118" s="69" t="s">
        <v>651</v>
      </c>
      <c r="F118" s="70" t="s">
        <v>652</v>
      </c>
      <c r="G118" s="68" t="str">
        <f t="shared" si="30"/>
        <v>2Q  66  10  02  00  00  00</v>
      </c>
      <c r="H118" s="68" t="str">
        <f t="shared" si="29"/>
        <v>2Q</v>
      </c>
      <c r="I118" s="68">
        <f t="shared" si="29"/>
        <v>66</v>
      </c>
      <c r="J118" s="68" t="str">
        <f t="shared" si="29"/>
        <v>10</v>
      </c>
      <c r="K118" s="68" t="str">
        <f t="shared" si="29"/>
        <v>02</v>
      </c>
      <c r="L118" s="68" t="str">
        <f t="shared" si="29"/>
        <v>00</v>
      </c>
      <c r="M118" s="68" t="str">
        <f t="shared" si="29"/>
        <v>00</v>
      </c>
      <c r="N118" s="68" t="str">
        <f t="shared" si="29"/>
        <v>00</v>
      </c>
      <c r="O118" s="81" t="str">
        <f t="shared" si="17"/>
        <v>Escavação, carga e transporte de material de 1ª categoria - DMT de 1.200 a 1.400 m - caminho de serviço em leito natural - com escavadeira e caminhão basculante de 14 m³ | Insumo principal: Caminhão basculante com capacidade de 14 m³ - 210 kW</v>
      </c>
    </row>
    <row r="119" spans="1:15" ht="93.75">
      <c r="A119" s="11"/>
      <c r="B119" s="79" t="s">
        <v>161</v>
      </c>
      <c r="C119" s="78" t="s">
        <v>345</v>
      </c>
      <c r="D119" s="66" t="str">
        <f>VLOOKUP(B119,CORRESPONDENCIA!$C$4:$F$2105,2,0)</f>
        <v>2.6.6</v>
      </c>
      <c r="E119" s="69" t="s">
        <v>651</v>
      </c>
      <c r="F119" s="70" t="s">
        <v>652</v>
      </c>
      <c r="G119" s="68" t="str">
        <f t="shared" si="30"/>
        <v>2Q  66  10  02  00  00  00</v>
      </c>
      <c r="H119" s="68" t="str">
        <f t="shared" si="29"/>
        <v>2Q</v>
      </c>
      <c r="I119" s="68">
        <f t="shared" si="29"/>
        <v>66</v>
      </c>
      <c r="J119" s="68" t="str">
        <f t="shared" si="29"/>
        <v>10</v>
      </c>
      <c r="K119" s="68" t="str">
        <f t="shared" si="29"/>
        <v>02</v>
      </c>
      <c r="L119" s="68" t="str">
        <f t="shared" si="29"/>
        <v>00</v>
      </c>
      <c r="M119" s="68" t="str">
        <f t="shared" si="29"/>
        <v>00</v>
      </c>
      <c r="N119" s="68" t="str">
        <f t="shared" si="29"/>
        <v>00</v>
      </c>
      <c r="O119" s="81" t="str">
        <f t="shared" si="17"/>
        <v>Escavação, carga e transporte de material de 1ª categoria - DMT de 1.200 a 1.400 m - caminho de serviço em revestimento primário - com escavadeira e caminhão basculante de 14 m³ | Insumo principal: Caminhão basculante com capacidade de 14 m³ - 210 kW</v>
      </c>
    </row>
    <row r="120" spans="1:15" ht="93.75">
      <c r="A120" s="11"/>
      <c r="B120" s="79" t="s">
        <v>162</v>
      </c>
      <c r="C120" s="78" t="s">
        <v>347</v>
      </c>
      <c r="D120" s="66" t="str">
        <f>VLOOKUP(B120,CORRESPONDENCIA!$C$4:$F$2105,2,0)</f>
        <v>2.6.6</v>
      </c>
      <c r="E120" s="69" t="s">
        <v>651</v>
      </c>
      <c r="F120" s="70" t="s">
        <v>652</v>
      </c>
      <c r="G120" s="68" t="str">
        <f t="shared" si="30"/>
        <v>2Q  66  10  02  00  00  00</v>
      </c>
      <c r="H120" s="68" t="str">
        <f t="shared" si="29"/>
        <v>2Q</v>
      </c>
      <c r="I120" s="68">
        <f t="shared" si="29"/>
        <v>66</v>
      </c>
      <c r="J120" s="68" t="str">
        <f t="shared" si="29"/>
        <v>10</v>
      </c>
      <c r="K120" s="68" t="str">
        <f t="shared" si="29"/>
        <v>02</v>
      </c>
      <c r="L120" s="68" t="str">
        <f t="shared" si="29"/>
        <v>00</v>
      </c>
      <c r="M120" s="68" t="str">
        <f t="shared" si="29"/>
        <v>00</v>
      </c>
      <c r="N120" s="68" t="str">
        <f t="shared" si="29"/>
        <v>00</v>
      </c>
      <c r="O120" s="81" t="str">
        <f t="shared" si="17"/>
        <v>Escavação, carga e transporte de material de 1ª categoria - DMT de 1.200 a 1.400 m - caminho de serviço pavimentado - com escavadeira e caminhão basculante de 14 m³ | Insumo principal: Caminhão basculante com capacidade de 14 m³ - 210 kW</v>
      </c>
    </row>
    <row r="121" spans="1:15" ht="93.75">
      <c r="A121" s="11"/>
      <c r="B121" s="79" t="s">
        <v>163</v>
      </c>
      <c r="C121" s="78" t="s">
        <v>349</v>
      </c>
      <c r="D121" s="66" t="str">
        <f>VLOOKUP(B121,CORRESPONDENCIA!$C$4:$F$2105,2,0)</f>
        <v>2.6.6</v>
      </c>
      <c r="E121" s="69" t="s">
        <v>651</v>
      </c>
      <c r="F121" s="70" t="s">
        <v>652</v>
      </c>
      <c r="G121" s="68" t="str">
        <f t="shared" si="30"/>
        <v>2Q  66  10  02  00  00  00</v>
      </c>
      <c r="H121" s="68" t="str">
        <f t="shared" si="29"/>
        <v>2Q</v>
      </c>
      <c r="I121" s="68">
        <f t="shared" si="29"/>
        <v>66</v>
      </c>
      <c r="J121" s="68" t="str">
        <f t="shared" si="29"/>
        <v>10</v>
      </c>
      <c r="K121" s="68" t="str">
        <f t="shared" si="29"/>
        <v>02</v>
      </c>
      <c r="L121" s="68" t="str">
        <f t="shared" si="29"/>
        <v>00</v>
      </c>
      <c r="M121" s="68" t="str">
        <f t="shared" si="29"/>
        <v>00</v>
      </c>
      <c r="N121" s="68" t="str">
        <f t="shared" si="29"/>
        <v>00</v>
      </c>
      <c r="O121" s="81" t="str">
        <f t="shared" si="17"/>
        <v>Escavação, carga e transporte de material de 1ª categoria - DMT de 1.400 a 1.600 m - caminho de serviço em leito natural - com escavadeira e caminhão basculante de 14 m³ | Insumo principal: Caminhão basculante com capacidade de 14 m³ - 210 kW</v>
      </c>
    </row>
    <row r="122" spans="1:15" ht="93.75">
      <c r="A122" s="11"/>
      <c r="B122" s="79" t="s">
        <v>164</v>
      </c>
      <c r="C122" s="78" t="s">
        <v>351</v>
      </c>
      <c r="D122" s="66" t="str">
        <f>VLOOKUP(B122,CORRESPONDENCIA!$C$4:$F$2105,2,0)</f>
        <v>2.6.6</v>
      </c>
      <c r="E122" s="69" t="s">
        <v>651</v>
      </c>
      <c r="F122" s="70" t="s">
        <v>652</v>
      </c>
      <c r="G122" s="68" t="str">
        <f t="shared" si="30"/>
        <v>2Q  66  10  02  00  00  00</v>
      </c>
      <c r="H122" s="68" t="str">
        <f t="shared" si="29"/>
        <v>2Q</v>
      </c>
      <c r="I122" s="68">
        <f t="shared" si="29"/>
        <v>66</v>
      </c>
      <c r="J122" s="68" t="str">
        <f t="shared" si="29"/>
        <v>10</v>
      </c>
      <c r="K122" s="68" t="str">
        <f t="shared" si="29"/>
        <v>02</v>
      </c>
      <c r="L122" s="68" t="str">
        <f t="shared" si="29"/>
        <v>00</v>
      </c>
      <c r="M122" s="68" t="str">
        <f t="shared" si="29"/>
        <v>00</v>
      </c>
      <c r="N122" s="68" t="str">
        <f t="shared" si="29"/>
        <v>00</v>
      </c>
      <c r="O122" s="81" t="str">
        <f t="shared" si="17"/>
        <v>Escavação, carga e transporte de material de 1ª categoria - DMT de 1.400 a 1.600 m - caminho de serviço em revestimento primário - com escavadeira e caminhão basculante de 14 m³ | Insumo principal: Caminhão basculante com capacidade de 14 m³ - 210 kW</v>
      </c>
    </row>
    <row r="123" spans="1:15" ht="93.75">
      <c r="A123" s="11"/>
      <c r="B123" s="79" t="s">
        <v>165</v>
      </c>
      <c r="C123" s="78" t="s">
        <v>353</v>
      </c>
      <c r="D123" s="66" t="str">
        <f>VLOOKUP(B123,CORRESPONDENCIA!$C$4:$F$2105,2,0)</f>
        <v>2.6.6</v>
      </c>
      <c r="E123" s="69" t="s">
        <v>651</v>
      </c>
      <c r="F123" s="70" t="s">
        <v>652</v>
      </c>
      <c r="G123" s="68" t="str">
        <f t="shared" si="30"/>
        <v>2Q  66  10  02  00  00  00</v>
      </c>
      <c r="H123" s="68" t="str">
        <f t="shared" ref="H123:H186" si="31">H122</f>
        <v>2Q</v>
      </c>
      <c r="I123" s="68">
        <f t="shared" ref="I123:I186" si="32">I122</f>
        <v>66</v>
      </c>
      <c r="J123" s="68" t="str">
        <f t="shared" ref="J123:J186" si="33">J122</f>
        <v>10</v>
      </c>
      <c r="K123" s="68" t="str">
        <f t="shared" ref="K123:K186" si="34">K122</f>
        <v>02</v>
      </c>
      <c r="L123" s="68" t="str">
        <f t="shared" ref="L123:L186" si="35">L122</f>
        <v>00</v>
      </c>
      <c r="M123" s="68" t="str">
        <f t="shared" ref="M123:M186" si="36">M122</f>
        <v>00</v>
      </c>
      <c r="N123" s="68" t="str">
        <f t="shared" ref="N123:N186" si="37">N122</f>
        <v>00</v>
      </c>
      <c r="O123" s="81" t="str">
        <f t="shared" si="17"/>
        <v>Escavação, carga e transporte de material de 1ª categoria - DMT de 1.400 a 1.600 m - caminho de serviço pavimentado - com escavadeira e caminhão basculante de 14 m³ | Insumo principal: Caminhão basculante com capacidade de 14 m³ - 210 kW</v>
      </c>
    </row>
    <row r="124" spans="1:15" ht="93.75">
      <c r="A124" s="11"/>
      <c r="B124" s="79" t="s">
        <v>166</v>
      </c>
      <c r="C124" s="78" t="s">
        <v>355</v>
      </c>
      <c r="D124" s="66" t="str">
        <f>VLOOKUP(B124,CORRESPONDENCIA!$C$4:$F$2105,2,0)</f>
        <v>2.6.6</v>
      </c>
      <c r="E124" s="69" t="s">
        <v>651</v>
      </c>
      <c r="F124" s="70" t="s">
        <v>652</v>
      </c>
      <c r="G124" s="68" t="str">
        <f t="shared" si="30"/>
        <v>2Q  66  10  02  00  00  00</v>
      </c>
      <c r="H124" s="68" t="str">
        <f t="shared" si="31"/>
        <v>2Q</v>
      </c>
      <c r="I124" s="68">
        <f t="shared" si="32"/>
        <v>66</v>
      </c>
      <c r="J124" s="68" t="str">
        <f t="shared" si="33"/>
        <v>10</v>
      </c>
      <c r="K124" s="68" t="str">
        <f t="shared" si="34"/>
        <v>02</v>
      </c>
      <c r="L124" s="68" t="str">
        <f t="shared" si="35"/>
        <v>00</v>
      </c>
      <c r="M124" s="68" t="str">
        <f t="shared" si="36"/>
        <v>00</v>
      </c>
      <c r="N124" s="68" t="str">
        <f t="shared" si="37"/>
        <v>00</v>
      </c>
      <c r="O124" s="81" t="str">
        <f t="shared" si="17"/>
        <v>Escavação, carga e transporte de material de 1ª categoria - DMT de 1.600 a 1.800 m - caminho de serviço em leito natural - com escavadeira e caminhão basculante de 14 m³ | Insumo principal: Caminhão basculante com capacidade de 14 m³ - 210 kW</v>
      </c>
    </row>
    <row r="125" spans="1:15" ht="93.75">
      <c r="A125" s="11"/>
      <c r="B125" s="79" t="s">
        <v>167</v>
      </c>
      <c r="C125" s="78" t="s">
        <v>357</v>
      </c>
      <c r="D125" s="66" t="str">
        <f>VLOOKUP(B125,CORRESPONDENCIA!$C$4:$F$2105,2,0)</f>
        <v>2.6.6</v>
      </c>
      <c r="E125" s="69" t="s">
        <v>651</v>
      </c>
      <c r="F125" s="70" t="s">
        <v>652</v>
      </c>
      <c r="G125" s="68" t="str">
        <f t="shared" si="30"/>
        <v>2Q  66  10  02  00  00  00</v>
      </c>
      <c r="H125" s="68" t="str">
        <f t="shared" si="31"/>
        <v>2Q</v>
      </c>
      <c r="I125" s="68">
        <f t="shared" si="32"/>
        <v>66</v>
      </c>
      <c r="J125" s="68" t="str">
        <f t="shared" si="33"/>
        <v>10</v>
      </c>
      <c r="K125" s="68" t="str">
        <f t="shared" si="34"/>
        <v>02</v>
      </c>
      <c r="L125" s="68" t="str">
        <f t="shared" si="35"/>
        <v>00</v>
      </c>
      <c r="M125" s="68" t="str">
        <f t="shared" si="36"/>
        <v>00</v>
      </c>
      <c r="N125" s="68" t="str">
        <f t="shared" si="37"/>
        <v>00</v>
      </c>
      <c r="O125" s="81" t="str">
        <f t="shared" si="17"/>
        <v>Escavação, carga e transporte de material de 1ª categoria - DMT de 1.600 a 1.800 m - caminho de serviço em revestimento primário - com escavadeira e caminhão basculante de 14 m³ | Insumo principal: Caminhão basculante com capacidade de 14 m³ - 210 kW</v>
      </c>
    </row>
    <row r="126" spans="1:15" ht="93.75">
      <c r="A126" s="11"/>
      <c r="B126" s="79" t="s">
        <v>168</v>
      </c>
      <c r="C126" s="78" t="s">
        <v>359</v>
      </c>
      <c r="D126" s="66" t="str">
        <f>VLOOKUP(B126,CORRESPONDENCIA!$C$4:$F$2105,2,0)</f>
        <v>2.6.6</v>
      </c>
      <c r="E126" s="69" t="s">
        <v>651</v>
      </c>
      <c r="F126" s="70" t="s">
        <v>652</v>
      </c>
      <c r="G126" s="68" t="str">
        <f t="shared" si="30"/>
        <v>2Q  66  10  02  00  00  00</v>
      </c>
      <c r="H126" s="68" t="str">
        <f t="shared" si="31"/>
        <v>2Q</v>
      </c>
      <c r="I126" s="68">
        <f t="shared" si="32"/>
        <v>66</v>
      </c>
      <c r="J126" s="68" t="str">
        <f t="shared" si="33"/>
        <v>10</v>
      </c>
      <c r="K126" s="68" t="str">
        <f t="shared" si="34"/>
        <v>02</v>
      </c>
      <c r="L126" s="68" t="str">
        <f t="shared" si="35"/>
        <v>00</v>
      </c>
      <c r="M126" s="68" t="str">
        <f t="shared" si="36"/>
        <v>00</v>
      </c>
      <c r="N126" s="68" t="str">
        <f t="shared" si="37"/>
        <v>00</v>
      </c>
      <c r="O126" s="81" t="str">
        <f t="shared" si="17"/>
        <v>Escavação, carga e transporte de material de 1ª categoria - DMT de 1.600 a 1.800 m - caminho de serviço pavimentado - com escavadeira e caminhão basculante de 14 m³ | Insumo principal: Caminhão basculante com capacidade de 14 m³ - 210 kW</v>
      </c>
    </row>
    <row r="127" spans="1:15" ht="93.75">
      <c r="A127" s="11"/>
      <c r="B127" s="79" t="s">
        <v>169</v>
      </c>
      <c r="C127" s="78" t="s">
        <v>361</v>
      </c>
      <c r="D127" s="66" t="str">
        <f>VLOOKUP(B127,CORRESPONDENCIA!$C$4:$F$2105,2,0)</f>
        <v>2.6.6</v>
      </c>
      <c r="E127" s="69" t="s">
        <v>651</v>
      </c>
      <c r="F127" s="70" t="s">
        <v>652</v>
      </c>
      <c r="G127" s="68" t="str">
        <f t="shared" si="30"/>
        <v>2Q  66  10  02  00  00  00</v>
      </c>
      <c r="H127" s="68" t="str">
        <f t="shared" si="31"/>
        <v>2Q</v>
      </c>
      <c r="I127" s="68">
        <f t="shared" si="32"/>
        <v>66</v>
      </c>
      <c r="J127" s="68" t="str">
        <f t="shared" si="33"/>
        <v>10</v>
      </c>
      <c r="K127" s="68" t="str">
        <f t="shared" si="34"/>
        <v>02</v>
      </c>
      <c r="L127" s="68" t="str">
        <f t="shared" si="35"/>
        <v>00</v>
      </c>
      <c r="M127" s="68" t="str">
        <f t="shared" si="36"/>
        <v>00</v>
      </c>
      <c r="N127" s="68" t="str">
        <f t="shared" si="37"/>
        <v>00</v>
      </c>
      <c r="O127" s="81" t="str">
        <f t="shared" si="17"/>
        <v>Escavação, carga e transporte de material de 1ª categoria - DMT de 1.800 a 2.000 m - caminho de serviço em leito natural - com escavadeira e caminhão basculante de 14 m³ | Insumo principal: Caminhão basculante com capacidade de 14 m³ - 210 kW</v>
      </c>
    </row>
    <row r="128" spans="1:15" ht="93.75">
      <c r="A128" s="11"/>
      <c r="B128" s="79" t="s">
        <v>170</v>
      </c>
      <c r="C128" s="78" t="s">
        <v>363</v>
      </c>
      <c r="D128" s="66" t="str">
        <f>VLOOKUP(B128,CORRESPONDENCIA!$C$4:$F$2105,2,0)</f>
        <v>2.6.6</v>
      </c>
      <c r="E128" s="69" t="s">
        <v>651</v>
      </c>
      <c r="F128" s="70" t="s">
        <v>652</v>
      </c>
      <c r="G128" s="68" t="str">
        <f t="shared" si="30"/>
        <v>2Q  66  10  02  00  00  00</v>
      </c>
      <c r="H128" s="68" t="str">
        <f t="shared" si="31"/>
        <v>2Q</v>
      </c>
      <c r="I128" s="68">
        <f t="shared" si="32"/>
        <v>66</v>
      </c>
      <c r="J128" s="68" t="str">
        <f t="shared" si="33"/>
        <v>10</v>
      </c>
      <c r="K128" s="68" t="str">
        <f t="shared" si="34"/>
        <v>02</v>
      </c>
      <c r="L128" s="68" t="str">
        <f t="shared" si="35"/>
        <v>00</v>
      </c>
      <c r="M128" s="68" t="str">
        <f t="shared" si="36"/>
        <v>00</v>
      </c>
      <c r="N128" s="68" t="str">
        <f t="shared" si="37"/>
        <v>00</v>
      </c>
      <c r="O128" s="81" t="str">
        <f t="shared" si="17"/>
        <v>Escavação, carga e transporte de material de 1ª categoria - DMT de 1.800 a 2.000 m - caminho de serviço em revestimento primário - com escavadeira e caminhão basculante de 14 m³ | Insumo principal: Caminhão basculante com capacidade de 14 m³ - 210 kW</v>
      </c>
    </row>
    <row r="129" spans="1:15" ht="93.75">
      <c r="A129" s="11"/>
      <c r="B129" s="79" t="s">
        <v>171</v>
      </c>
      <c r="C129" s="78" t="s">
        <v>365</v>
      </c>
      <c r="D129" s="66" t="str">
        <f>VLOOKUP(B129,CORRESPONDENCIA!$C$4:$F$2105,2,0)</f>
        <v>2.6.6</v>
      </c>
      <c r="E129" s="69" t="s">
        <v>651</v>
      </c>
      <c r="F129" s="70" t="s">
        <v>652</v>
      </c>
      <c r="G129" s="68" t="str">
        <f t="shared" si="30"/>
        <v>2Q  66  10  02  00  00  00</v>
      </c>
      <c r="H129" s="68" t="str">
        <f t="shared" si="31"/>
        <v>2Q</v>
      </c>
      <c r="I129" s="68">
        <f t="shared" si="32"/>
        <v>66</v>
      </c>
      <c r="J129" s="68" t="str">
        <f t="shared" si="33"/>
        <v>10</v>
      </c>
      <c r="K129" s="68" t="str">
        <f t="shared" si="34"/>
        <v>02</v>
      </c>
      <c r="L129" s="68" t="str">
        <f t="shared" si="35"/>
        <v>00</v>
      </c>
      <c r="M129" s="68" t="str">
        <f t="shared" si="36"/>
        <v>00</v>
      </c>
      <c r="N129" s="68" t="str">
        <f t="shared" si="37"/>
        <v>00</v>
      </c>
      <c r="O129" s="81" t="str">
        <f t="shared" si="17"/>
        <v>Escavação, carga e transporte de material de 1ª categoria - DMT de 1.800 a 2.000 m - caminho de serviço pavimentado - com escavadeira e caminhão basculante de 14 m³ | Insumo principal: Caminhão basculante com capacidade de 14 m³ - 210 kW</v>
      </c>
    </row>
    <row r="130" spans="1:15" ht="93.75">
      <c r="A130" s="11"/>
      <c r="B130" s="79" t="s">
        <v>172</v>
      </c>
      <c r="C130" s="78" t="s">
        <v>367</v>
      </c>
      <c r="D130" s="66" t="str">
        <f>VLOOKUP(B130,CORRESPONDENCIA!$C$4:$F$2105,2,0)</f>
        <v>2.6.6</v>
      </c>
      <c r="E130" s="69" t="s">
        <v>651</v>
      </c>
      <c r="F130" s="70" t="s">
        <v>652</v>
      </c>
      <c r="G130" s="68" t="str">
        <f t="shared" si="30"/>
        <v>2Q  66  10  02  00  00  00</v>
      </c>
      <c r="H130" s="68" t="str">
        <f t="shared" si="31"/>
        <v>2Q</v>
      </c>
      <c r="I130" s="68">
        <f t="shared" si="32"/>
        <v>66</v>
      </c>
      <c r="J130" s="68" t="str">
        <f t="shared" si="33"/>
        <v>10</v>
      </c>
      <c r="K130" s="68" t="str">
        <f t="shared" si="34"/>
        <v>02</v>
      </c>
      <c r="L130" s="68" t="str">
        <f t="shared" si="35"/>
        <v>00</v>
      </c>
      <c r="M130" s="68" t="str">
        <f t="shared" si="36"/>
        <v>00</v>
      </c>
      <c r="N130" s="68" t="str">
        <f t="shared" si="37"/>
        <v>00</v>
      </c>
      <c r="O130" s="81" t="str">
        <f t="shared" si="17"/>
        <v>Escavação, carga e transporte de material de 1ª categoria - DMT de 2.000 a 2.500 m - caminho de serviço em leito natural - com escavadeira e caminhão basculante de 14 m³ | Insumo principal: Caminhão basculante com capacidade de 14 m³ - 210 kW</v>
      </c>
    </row>
    <row r="131" spans="1:15" ht="93.75">
      <c r="A131" s="11"/>
      <c r="B131" s="79">
        <v>5502145</v>
      </c>
      <c r="C131" s="78" t="s">
        <v>369</v>
      </c>
      <c r="D131" s="66" t="e">
        <f>VLOOKUP(B131,CORRESPONDENCIA!$C$4:$F$2105,2,0)</f>
        <v>#N/A</v>
      </c>
      <c r="E131" s="69" t="s">
        <v>651</v>
      </c>
      <c r="F131" s="70" t="s">
        <v>652</v>
      </c>
      <c r="G131" s="68" t="str">
        <f t="shared" si="30"/>
        <v>2Q  66  10  02  00  00  00</v>
      </c>
      <c r="H131" s="68" t="str">
        <f t="shared" si="31"/>
        <v>2Q</v>
      </c>
      <c r="I131" s="68">
        <f t="shared" si="32"/>
        <v>66</v>
      </c>
      <c r="J131" s="68" t="str">
        <f t="shared" si="33"/>
        <v>10</v>
      </c>
      <c r="K131" s="68" t="str">
        <f t="shared" si="34"/>
        <v>02</v>
      </c>
      <c r="L131" s="68" t="str">
        <f t="shared" si="35"/>
        <v>00</v>
      </c>
      <c r="M131" s="68" t="str">
        <f t="shared" si="36"/>
        <v>00</v>
      </c>
      <c r="N131" s="68" t="str">
        <f t="shared" si="37"/>
        <v>00</v>
      </c>
      <c r="O131" s="81" t="str">
        <f t="shared" si="17"/>
        <v>Escavação, carga e transporte de material de 1ª categoria - DMT de 2.000 a 2.500 m - caminho de serviço em revestimento primário - com escavadeira e caminhão basculante de 14 m³ | Insumo principal: Caminhão basculante com capacidade de 14 m³ - 210 kW</v>
      </c>
    </row>
    <row r="132" spans="1:15" ht="93.75">
      <c r="A132" s="11"/>
      <c r="B132" s="79" t="s">
        <v>174</v>
      </c>
      <c r="C132" s="78" t="s">
        <v>372</v>
      </c>
      <c r="D132" s="66" t="str">
        <f>VLOOKUP(B132,CORRESPONDENCIA!$C$4:$F$2105,2,0)</f>
        <v>2.6.6</v>
      </c>
      <c r="E132" s="69" t="s">
        <v>651</v>
      </c>
      <c r="F132" s="70" t="s">
        <v>652</v>
      </c>
      <c r="G132" s="68" t="str">
        <f t="shared" si="30"/>
        <v>2Q  66  10  02  00  00  00</v>
      </c>
      <c r="H132" s="68" t="str">
        <f t="shared" si="31"/>
        <v>2Q</v>
      </c>
      <c r="I132" s="68">
        <f t="shared" si="32"/>
        <v>66</v>
      </c>
      <c r="J132" s="68" t="str">
        <f t="shared" si="33"/>
        <v>10</v>
      </c>
      <c r="K132" s="68" t="str">
        <f t="shared" si="34"/>
        <v>02</v>
      </c>
      <c r="L132" s="68" t="str">
        <f t="shared" si="35"/>
        <v>00</v>
      </c>
      <c r="M132" s="68" t="str">
        <f t="shared" si="36"/>
        <v>00</v>
      </c>
      <c r="N132" s="68" t="str">
        <f t="shared" si="37"/>
        <v>00</v>
      </c>
      <c r="O132" s="81" t="str">
        <f t="shared" si="17"/>
        <v>Escavação, carga e transporte de material de 1ª categoria - DMT de 2.500 a 3.000 m - caminho de serviço em leito natural - com escavadeira e caminhão basculante de 14 m³ | Insumo principal: Caminhão basculante com capacidade de 14 m³ - 210 kW</v>
      </c>
    </row>
    <row r="133" spans="1:15" ht="93.75">
      <c r="A133" s="11"/>
      <c r="B133" s="79" t="s">
        <v>175</v>
      </c>
      <c r="C133" s="78" t="s">
        <v>374</v>
      </c>
      <c r="D133" s="66" t="str">
        <f>VLOOKUP(B133,CORRESPONDENCIA!$C$4:$F$2105,2,0)</f>
        <v>2.6.6</v>
      </c>
      <c r="E133" s="69" t="s">
        <v>651</v>
      </c>
      <c r="F133" s="70" t="s">
        <v>652</v>
      </c>
      <c r="G133" s="68" t="str">
        <f t="shared" si="30"/>
        <v>2Q  66  10  02  00  00  00</v>
      </c>
      <c r="H133" s="68" t="str">
        <f t="shared" si="31"/>
        <v>2Q</v>
      </c>
      <c r="I133" s="68">
        <f t="shared" si="32"/>
        <v>66</v>
      </c>
      <c r="J133" s="68" t="str">
        <f t="shared" si="33"/>
        <v>10</v>
      </c>
      <c r="K133" s="68" t="str">
        <f t="shared" si="34"/>
        <v>02</v>
      </c>
      <c r="L133" s="68" t="str">
        <f t="shared" si="35"/>
        <v>00</v>
      </c>
      <c r="M133" s="68" t="str">
        <f t="shared" si="36"/>
        <v>00</v>
      </c>
      <c r="N133" s="68" t="str">
        <f t="shared" si="37"/>
        <v>00</v>
      </c>
      <c r="O133" s="81" t="str">
        <f t="shared" ref="O133:O196" si="38" xml:space="preserve"> C133 &amp; " | Insumo principal: " &amp; F133</f>
        <v>Escavação, carga e transporte de material de 1ª categoria - DMT de 2.500 a 3.000 m - caminho de serviço em revestimento primário - com escavadeira e caminhão basculante de 14 m³ | Insumo principal: Caminhão basculante com capacidade de 14 m³ - 210 kW</v>
      </c>
    </row>
    <row r="134" spans="1:15" ht="93.75">
      <c r="A134" s="11"/>
      <c r="B134" s="79" t="s">
        <v>176</v>
      </c>
      <c r="C134" s="78" t="s">
        <v>376</v>
      </c>
      <c r="D134" s="66" t="str">
        <f>VLOOKUP(B134,CORRESPONDENCIA!$C$4:$F$2105,2,0)</f>
        <v>2.6.6</v>
      </c>
      <c r="E134" s="69" t="s">
        <v>651</v>
      </c>
      <c r="F134" s="70" t="s">
        <v>652</v>
      </c>
      <c r="G134" s="68" t="str">
        <f t="shared" si="30"/>
        <v>2Q  66  10  02  00  00  00</v>
      </c>
      <c r="H134" s="68" t="str">
        <f t="shared" si="31"/>
        <v>2Q</v>
      </c>
      <c r="I134" s="68">
        <f t="shared" si="32"/>
        <v>66</v>
      </c>
      <c r="J134" s="68" t="str">
        <f t="shared" si="33"/>
        <v>10</v>
      </c>
      <c r="K134" s="68" t="str">
        <f t="shared" si="34"/>
        <v>02</v>
      </c>
      <c r="L134" s="68" t="str">
        <f t="shared" si="35"/>
        <v>00</v>
      </c>
      <c r="M134" s="68" t="str">
        <f t="shared" si="36"/>
        <v>00</v>
      </c>
      <c r="N134" s="68" t="str">
        <f t="shared" si="37"/>
        <v>00</v>
      </c>
      <c r="O134" s="81" t="str">
        <f t="shared" si="38"/>
        <v>Escavação, carga e transporte de material de 1ª categoria - DMT de 2.500 a 3.000 m - caminho de serviço pavimentado - com escavadeira e caminhão basculante de 14 m³ | Insumo principal: Caminhão basculante com capacidade de 14 m³ - 210 kW</v>
      </c>
    </row>
    <row r="135" spans="1:15" ht="93.75">
      <c r="A135" s="11"/>
      <c r="B135" s="79" t="s">
        <v>177</v>
      </c>
      <c r="C135" s="78" t="s">
        <v>378</v>
      </c>
      <c r="D135" s="66" t="str">
        <f>VLOOKUP(B135,CORRESPONDENCIA!$C$4:$F$2105,2,0)</f>
        <v>2.6.6</v>
      </c>
      <c r="E135" s="69" t="s">
        <v>651</v>
      </c>
      <c r="F135" s="70" t="s">
        <v>652</v>
      </c>
      <c r="G135" s="68" t="str">
        <f t="shared" si="30"/>
        <v>2Q  66  10  02  00  00  00</v>
      </c>
      <c r="H135" s="68" t="str">
        <f t="shared" si="31"/>
        <v>2Q</v>
      </c>
      <c r="I135" s="68">
        <f t="shared" si="32"/>
        <v>66</v>
      </c>
      <c r="J135" s="68" t="str">
        <f t="shared" si="33"/>
        <v>10</v>
      </c>
      <c r="K135" s="68" t="str">
        <f t="shared" si="34"/>
        <v>02</v>
      </c>
      <c r="L135" s="68" t="str">
        <f t="shared" si="35"/>
        <v>00</v>
      </c>
      <c r="M135" s="68" t="str">
        <f t="shared" si="36"/>
        <v>00</v>
      </c>
      <c r="N135" s="68" t="str">
        <f t="shared" si="37"/>
        <v>00</v>
      </c>
      <c r="O135" s="81" t="str">
        <f t="shared" si="38"/>
        <v>Escavação, carga e transporte de material de 1ª categoria - DMT de 200 a 400 m - caminho de serviço em leito natural - com escavadeira e caminhão basculante de 14 m³ | Insumo principal: Caminhão basculante com capacidade de 14 m³ - 210 kW</v>
      </c>
    </row>
    <row r="136" spans="1:15" ht="93.75">
      <c r="A136" s="11"/>
      <c r="B136" s="79" t="s">
        <v>178</v>
      </c>
      <c r="C136" s="78" t="s">
        <v>380</v>
      </c>
      <c r="D136" s="66" t="str">
        <f>VLOOKUP(B136,CORRESPONDENCIA!$C$4:$F$2105,2,0)</f>
        <v>2.6.6</v>
      </c>
      <c r="E136" s="69" t="s">
        <v>651</v>
      </c>
      <c r="F136" s="70" t="s">
        <v>652</v>
      </c>
      <c r="G136" s="68" t="str">
        <f t="shared" si="30"/>
        <v>2Q  66  10  02  00  00  00</v>
      </c>
      <c r="H136" s="68" t="str">
        <f t="shared" si="31"/>
        <v>2Q</v>
      </c>
      <c r="I136" s="68">
        <f t="shared" si="32"/>
        <v>66</v>
      </c>
      <c r="J136" s="68" t="str">
        <f t="shared" si="33"/>
        <v>10</v>
      </c>
      <c r="K136" s="68" t="str">
        <f t="shared" si="34"/>
        <v>02</v>
      </c>
      <c r="L136" s="68" t="str">
        <f t="shared" si="35"/>
        <v>00</v>
      </c>
      <c r="M136" s="68" t="str">
        <f t="shared" si="36"/>
        <v>00</v>
      </c>
      <c r="N136" s="68" t="str">
        <f t="shared" si="37"/>
        <v>00</v>
      </c>
      <c r="O136" s="81" t="str">
        <f t="shared" si="38"/>
        <v>Escavação, carga e transporte de material de 1ª categoria - DMT de 200 a 400 m - caminho de serviço em revestimento primário - com escavadeira e caminhão basculante de 14 m³ | Insumo principal: Caminhão basculante com capacidade de 14 m³ - 210 kW</v>
      </c>
    </row>
    <row r="137" spans="1:15" ht="93.75">
      <c r="A137" s="11"/>
      <c r="B137" s="79" t="s">
        <v>179</v>
      </c>
      <c r="C137" s="78" t="s">
        <v>382</v>
      </c>
      <c r="D137" s="66" t="str">
        <f>VLOOKUP(B137,CORRESPONDENCIA!$C$4:$F$2105,2,0)</f>
        <v>2.6.6</v>
      </c>
      <c r="E137" s="69" t="s">
        <v>651</v>
      </c>
      <c r="F137" s="70" t="s">
        <v>652</v>
      </c>
      <c r="G137" s="68" t="str">
        <f t="shared" si="30"/>
        <v>2Q  66  10  02  00  00  00</v>
      </c>
      <c r="H137" s="68" t="str">
        <f t="shared" si="31"/>
        <v>2Q</v>
      </c>
      <c r="I137" s="68">
        <f t="shared" si="32"/>
        <v>66</v>
      </c>
      <c r="J137" s="68" t="str">
        <f t="shared" si="33"/>
        <v>10</v>
      </c>
      <c r="K137" s="68" t="str">
        <f t="shared" si="34"/>
        <v>02</v>
      </c>
      <c r="L137" s="68" t="str">
        <f t="shared" si="35"/>
        <v>00</v>
      </c>
      <c r="M137" s="68" t="str">
        <f t="shared" si="36"/>
        <v>00</v>
      </c>
      <c r="N137" s="68" t="str">
        <f t="shared" si="37"/>
        <v>00</v>
      </c>
      <c r="O137" s="81" t="str">
        <f t="shared" si="38"/>
        <v>Escavação, carga e transporte de material de 1ª categoria - DMT de 200 a 400 m - caminho de serviço pavimentado - com escavadeira e caminhão basculante de 14 m³ | Insumo principal: Caminhão basculante com capacidade de 14 m³ - 210 kW</v>
      </c>
    </row>
    <row r="138" spans="1:15" ht="93.75">
      <c r="A138" s="11"/>
      <c r="B138" s="79" t="s">
        <v>180</v>
      </c>
      <c r="C138" s="78" t="s">
        <v>384</v>
      </c>
      <c r="D138" s="66" t="str">
        <f>VLOOKUP(B138,CORRESPONDENCIA!$C$4:$F$2105,2,0)</f>
        <v>2.6.6</v>
      </c>
      <c r="E138" s="69" t="s">
        <v>651</v>
      </c>
      <c r="F138" s="70" t="s">
        <v>652</v>
      </c>
      <c r="G138" s="68" t="str">
        <f t="shared" si="30"/>
        <v>2Q  66  10  02  00  00  00</v>
      </c>
      <c r="H138" s="68" t="str">
        <f t="shared" si="31"/>
        <v>2Q</v>
      </c>
      <c r="I138" s="68">
        <f t="shared" si="32"/>
        <v>66</v>
      </c>
      <c r="J138" s="68" t="str">
        <f t="shared" si="33"/>
        <v>10</v>
      </c>
      <c r="K138" s="68" t="str">
        <f t="shared" si="34"/>
        <v>02</v>
      </c>
      <c r="L138" s="68" t="str">
        <f t="shared" si="35"/>
        <v>00</v>
      </c>
      <c r="M138" s="68" t="str">
        <f t="shared" si="36"/>
        <v>00</v>
      </c>
      <c r="N138" s="68" t="str">
        <f t="shared" si="37"/>
        <v>00</v>
      </c>
      <c r="O138" s="81" t="str">
        <f t="shared" si="38"/>
        <v>Escavação, carga e transporte de material de 1ª categoria - DMT de 400 a 600 m - caminho de serviço em leito natural - com escavadeira e caminhão basculante de 14 m³ | Insumo principal: Caminhão basculante com capacidade de 14 m³ - 210 kW</v>
      </c>
    </row>
    <row r="139" spans="1:15" ht="93.75">
      <c r="A139" s="11"/>
      <c r="B139" s="79" t="s">
        <v>181</v>
      </c>
      <c r="C139" s="78" t="s">
        <v>386</v>
      </c>
      <c r="D139" s="66" t="str">
        <f>VLOOKUP(B139,CORRESPONDENCIA!$C$4:$F$2105,2,0)</f>
        <v>2.6.6</v>
      </c>
      <c r="E139" s="69" t="s">
        <v>651</v>
      </c>
      <c r="F139" s="70" t="s">
        <v>652</v>
      </c>
      <c r="G139" s="68" t="str">
        <f t="shared" si="30"/>
        <v>2Q  66  10  02  00  00  00</v>
      </c>
      <c r="H139" s="68" t="str">
        <f t="shared" si="31"/>
        <v>2Q</v>
      </c>
      <c r="I139" s="68">
        <f t="shared" si="32"/>
        <v>66</v>
      </c>
      <c r="J139" s="68" t="str">
        <f t="shared" si="33"/>
        <v>10</v>
      </c>
      <c r="K139" s="68" t="str">
        <f t="shared" si="34"/>
        <v>02</v>
      </c>
      <c r="L139" s="68" t="str">
        <f t="shared" si="35"/>
        <v>00</v>
      </c>
      <c r="M139" s="68" t="str">
        <f t="shared" si="36"/>
        <v>00</v>
      </c>
      <c r="N139" s="68" t="str">
        <f t="shared" si="37"/>
        <v>00</v>
      </c>
      <c r="O139" s="81" t="str">
        <f t="shared" si="38"/>
        <v>Escavação, carga e transporte de material de 1ª categoria - DMT de 400 a 600 m - caminho de serviço em revestimento primário - com escavadeira e caminhão basculante de 14 m³ | Insumo principal: Caminhão basculante com capacidade de 14 m³ - 210 kW</v>
      </c>
    </row>
    <row r="140" spans="1:15" ht="93.75">
      <c r="A140" s="11"/>
      <c r="B140" s="79" t="s">
        <v>182</v>
      </c>
      <c r="C140" s="78" t="s">
        <v>388</v>
      </c>
      <c r="D140" s="66" t="str">
        <f>VLOOKUP(B140,CORRESPONDENCIA!$C$4:$F$2105,2,0)</f>
        <v>2.6.6</v>
      </c>
      <c r="E140" s="69" t="s">
        <v>651</v>
      </c>
      <c r="F140" s="70" t="s">
        <v>652</v>
      </c>
      <c r="G140" s="68" t="str">
        <f t="shared" si="30"/>
        <v>2Q  66  10  02  00  00  00</v>
      </c>
      <c r="H140" s="68" t="str">
        <f t="shared" si="31"/>
        <v>2Q</v>
      </c>
      <c r="I140" s="68">
        <f t="shared" si="32"/>
        <v>66</v>
      </c>
      <c r="J140" s="68" t="str">
        <f t="shared" si="33"/>
        <v>10</v>
      </c>
      <c r="K140" s="68" t="str">
        <f t="shared" si="34"/>
        <v>02</v>
      </c>
      <c r="L140" s="68" t="str">
        <f t="shared" si="35"/>
        <v>00</v>
      </c>
      <c r="M140" s="68" t="str">
        <f t="shared" si="36"/>
        <v>00</v>
      </c>
      <c r="N140" s="68" t="str">
        <f t="shared" si="37"/>
        <v>00</v>
      </c>
      <c r="O140" s="81" t="str">
        <f t="shared" si="38"/>
        <v>Escavação, carga e transporte de material de 1ª categoria - DMT de 400 a 600 m - caminho de serviço pavimentado - com escavadeira e caminhão basculante de 14 m³ | Insumo principal: Caminhão basculante com capacidade de 14 m³ - 210 kW</v>
      </c>
    </row>
    <row r="141" spans="1:15" ht="93.75">
      <c r="A141" s="11"/>
      <c r="B141" s="79" t="s">
        <v>183</v>
      </c>
      <c r="C141" s="78" t="s">
        <v>390</v>
      </c>
      <c r="D141" s="66" t="str">
        <f>VLOOKUP(B141,CORRESPONDENCIA!$C$4:$F$2105,2,0)</f>
        <v>2.6.6</v>
      </c>
      <c r="E141" s="69" t="s">
        <v>651</v>
      </c>
      <c r="F141" s="70" t="s">
        <v>652</v>
      </c>
      <c r="G141" s="68" t="str">
        <f t="shared" si="30"/>
        <v>2Q  66  10  02  00  00  00</v>
      </c>
      <c r="H141" s="68" t="str">
        <f t="shared" si="31"/>
        <v>2Q</v>
      </c>
      <c r="I141" s="68">
        <f t="shared" si="32"/>
        <v>66</v>
      </c>
      <c r="J141" s="68" t="str">
        <f t="shared" si="33"/>
        <v>10</v>
      </c>
      <c r="K141" s="68" t="str">
        <f t="shared" si="34"/>
        <v>02</v>
      </c>
      <c r="L141" s="68" t="str">
        <f t="shared" si="35"/>
        <v>00</v>
      </c>
      <c r="M141" s="68" t="str">
        <f t="shared" si="36"/>
        <v>00</v>
      </c>
      <c r="N141" s="68" t="str">
        <f t="shared" si="37"/>
        <v>00</v>
      </c>
      <c r="O141" s="81" t="str">
        <f t="shared" si="38"/>
        <v>Escavação, carga e transporte de material de 1ª categoria - DMT de 50 a 200 m - caminho de serviço em leito natural - com escavadeira e caminhão basculante de 14 m³ | Insumo principal: Caminhão basculante com capacidade de 14 m³ - 210 kW</v>
      </c>
    </row>
    <row r="142" spans="1:15" ht="93.75">
      <c r="A142" s="11"/>
      <c r="B142" s="79" t="s">
        <v>184</v>
      </c>
      <c r="C142" s="78" t="s">
        <v>392</v>
      </c>
      <c r="D142" s="66" t="str">
        <f>VLOOKUP(B142,CORRESPONDENCIA!$C$4:$F$2105,2,0)</f>
        <v>2.6.6</v>
      </c>
      <c r="E142" s="69" t="s">
        <v>651</v>
      </c>
      <c r="F142" s="70" t="s">
        <v>652</v>
      </c>
      <c r="G142" s="68" t="str">
        <f t="shared" si="30"/>
        <v>2Q  66  10  02  00  00  00</v>
      </c>
      <c r="H142" s="68" t="str">
        <f t="shared" si="31"/>
        <v>2Q</v>
      </c>
      <c r="I142" s="68">
        <f t="shared" si="32"/>
        <v>66</v>
      </c>
      <c r="J142" s="68" t="str">
        <f t="shared" si="33"/>
        <v>10</v>
      </c>
      <c r="K142" s="68" t="str">
        <f t="shared" si="34"/>
        <v>02</v>
      </c>
      <c r="L142" s="68" t="str">
        <f t="shared" si="35"/>
        <v>00</v>
      </c>
      <c r="M142" s="68" t="str">
        <f t="shared" si="36"/>
        <v>00</v>
      </c>
      <c r="N142" s="68" t="str">
        <f t="shared" si="37"/>
        <v>00</v>
      </c>
      <c r="O142" s="81" t="str">
        <f t="shared" si="38"/>
        <v>Escavação, carga e transporte de material de 1ª categoria - DMT de 50 a 200 m - caminho de serviço em revestimento primário - com escavadeira e caminhão basculante de 14 m³ | Insumo principal: Caminhão basculante com capacidade de 14 m³ - 210 kW</v>
      </c>
    </row>
    <row r="143" spans="1:15" ht="93.75">
      <c r="A143" s="11"/>
      <c r="B143" s="79" t="s">
        <v>185</v>
      </c>
      <c r="C143" s="78" t="s">
        <v>394</v>
      </c>
      <c r="D143" s="66" t="str">
        <f>VLOOKUP(B143,CORRESPONDENCIA!$C$4:$F$2105,2,0)</f>
        <v>2.6.6</v>
      </c>
      <c r="E143" s="69" t="s">
        <v>651</v>
      </c>
      <c r="F143" s="70" t="s">
        <v>652</v>
      </c>
      <c r="G143" s="68" t="str">
        <f t="shared" si="30"/>
        <v>2Q  66  10  02  00  00  00</v>
      </c>
      <c r="H143" s="68" t="str">
        <f t="shared" si="31"/>
        <v>2Q</v>
      </c>
      <c r="I143" s="68">
        <f t="shared" si="32"/>
        <v>66</v>
      </c>
      <c r="J143" s="68" t="str">
        <f t="shared" si="33"/>
        <v>10</v>
      </c>
      <c r="K143" s="68" t="str">
        <f t="shared" si="34"/>
        <v>02</v>
      </c>
      <c r="L143" s="68" t="str">
        <f t="shared" si="35"/>
        <v>00</v>
      </c>
      <c r="M143" s="68" t="str">
        <f t="shared" si="36"/>
        <v>00</v>
      </c>
      <c r="N143" s="68" t="str">
        <f t="shared" si="37"/>
        <v>00</v>
      </c>
      <c r="O143" s="81" t="str">
        <f t="shared" si="38"/>
        <v>Escavação, carga e transporte de material de 1ª categoria - DMT de 50 a 200 m - caminho de serviço pavimentado - com escavadeira e caminhão basculante de 14 m³ | Insumo principal: Caminhão basculante com capacidade de 14 m³ - 210 kW</v>
      </c>
    </row>
    <row r="144" spans="1:15" ht="93.75">
      <c r="A144" s="11"/>
      <c r="B144" s="79" t="s">
        <v>186</v>
      </c>
      <c r="C144" s="78" t="s">
        <v>396</v>
      </c>
      <c r="D144" s="66" t="str">
        <f>VLOOKUP(B144,CORRESPONDENCIA!$C$4:$F$2105,2,0)</f>
        <v>2.6.6</v>
      </c>
      <c r="E144" s="69" t="s">
        <v>651</v>
      </c>
      <c r="F144" s="70" t="s">
        <v>652</v>
      </c>
      <c r="G144" s="68" t="str">
        <f t="shared" si="30"/>
        <v>2Q  66  10  02  00  00  00</v>
      </c>
      <c r="H144" s="68" t="str">
        <f t="shared" si="31"/>
        <v>2Q</v>
      </c>
      <c r="I144" s="68">
        <f t="shared" si="32"/>
        <v>66</v>
      </c>
      <c r="J144" s="68" t="str">
        <f t="shared" si="33"/>
        <v>10</v>
      </c>
      <c r="K144" s="68" t="str">
        <f t="shared" si="34"/>
        <v>02</v>
      </c>
      <c r="L144" s="68" t="str">
        <f t="shared" si="35"/>
        <v>00</v>
      </c>
      <c r="M144" s="68" t="str">
        <f t="shared" si="36"/>
        <v>00</v>
      </c>
      <c r="N144" s="68" t="str">
        <f t="shared" si="37"/>
        <v>00</v>
      </c>
      <c r="O144" s="81" t="str">
        <f t="shared" si="38"/>
        <v>Escavação, carga e transporte de material de 1ª categoria - DMT de 600 a 800 m - caminho de serviço em leito natural - com escavadeira e caminhão basculante de 14 m³ | Insumo principal: Caminhão basculante com capacidade de 14 m³ - 210 kW</v>
      </c>
    </row>
    <row r="145" spans="1:15" ht="93.75">
      <c r="A145" s="11"/>
      <c r="B145" s="79" t="s">
        <v>187</v>
      </c>
      <c r="C145" s="78" t="s">
        <v>398</v>
      </c>
      <c r="D145" s="66" t="str">
        <f>VLOOKUP(B145,CORRESPONDENCIA!$C$4:$F$2105,2,0)</f>
        <v>2.6.6</v>
      </c>
      <c r="E145" s="69" t="s">
        <v>651</v>
      </c>
      <c r="F145" s="70" t="s">
        <v>652</v>
      </c>
      <c r="G145" s="68" t="str">
        <f t="shared" si="30"/>
        <v>2Q  66  10  02  00  00  00</v>
      </c>
      <c r="H145" s="68" t="str">
        <f t="shared" si="31"/>
        <v>2Q</v>
      </c>
      <c r="I145" s="68">
        <f t="shared" si="32"/>
        <v>66</v>
      </c>
      <c r="J145" s="68" t="str">
        <f t="shared" si="33"/>
        <v>10</v>
      </c>
      <c r="K145" s="68" t="str">
        <f t="shared" si="34"/>
        <v>02</v>
      </c>
      <c r="L145" s="68" t="str">
        <f t="shared" si="35"/>
        <v>00</v>
      </c>
      <c r="M145" s="68" t="str">
        <f t="shared" si="36"/>
        <v>00</v>
      </c>
      <c r="N145" s="68" t="str">
        <f t="shared" si="37"/>
        <v>00</v>
      </c>
      <c r="O145" s="81" t="str">
        <f t="shared" si="38"/>
        <v>Escavação, carga e transporte de material de 1ª categoria - DMT de 600 a 800 m - caminho de serviço em revestimento primário - com escavadeira e caminhão basculante de 14 m³ | Insumo principal: Caminhão basculante com capacidade de 14 m³ - 210 kW</v>
      </c>
    </row>
    <row r="146" spans="1:15" ht="93.75">
      <c r="A146" s="11"/>
      <c r="B146" s="79" t="s">
        <v>188</v>
      </c>
      <c r="C146" s="78" t="s">
        <v>400</v>
      </c>
      <c r="D146" s="66" t="str">
        <f>VLOOKUP(B146,CORRESPONDENCIA!$C$4:$F$2105,2,0)</f>
        <v>2.6.6</v>
      </c>
      <c r="E146" s="69" t="s">
        <v>651</v>
      </c>
      <c r="F146" s="70" t="s">
        <v>652</v>
      </c>
      <c r="G146" s="68" t="str">
        <f t="shared" si="30"/>
        <v>2Q  66  10  02  00  00  00</v>
      </c>
      <c r="H146" s="68" t="str">
        <f t="shared" si="31"/>
        <v>2Q</v>
      </c>
      <c r="I146" s="68">
        <f t="shared" si="32"/>
        <v>66</v>
      </c>
      <c r="J146" s="68" t="str">
        <f t="shared" si="33"/>
        <v>10</v>
      </c>
      <c r="K146" s="68" t="str">
        <f t="shared" si="34"/>
        <v>02</v>
      </c>
      <c r="L146" s="68" t="str">
        <f t="shared" si="35"/>
        <v>00</v>
      </c>
      <c r="M146" s="68" t="str">
        <f t="shared" si="36"/>
        <v>00</v>
      </c>
      <c r="N146" s="68" t="str">
        <f t="shared" si="37"/>
        <v>00</v>
      </c>
      <c r="O146" s="81" t="str">
        <f t="shared" si="38"/>
        <v>Escavação, carga e transporte de material de 1ª categoria - DMT de 600 a 800 m - caminho de serviço pavimentado - com escavadeira e caminhão basculante de 14 m³ | Insumo principal: Caminhão basculante com capacidade de 14 m³ - 210 kW</v>
      </c>
    </row>
    <row r="147" spans="1:15" ht="93.75">
      <c r="A147" s="11"/>
      <c r="B147" s="79" t="s">
        <v>189</v>
      </c>
      <c r="C147" s="78" t="s">
        <v>402</v>
      </c>
      <c r="D147" s="66" t="str">
        <f>VLOOKUP(B147,CORRESPONDENCIA!$C$4:$F$2105,2,0)</f>
        <v>2.6.6</v>
      </c>
      <c r="E147" s="69" t="s">
        <v>651</v>
      </c>
      <c r="F147" s="70" t="s">
        <v>652</v>
      </c>
      <c r="G147" s="68" t="str">
        <f t="shared" si="30"/>
        <v>2Q  66  10  02  00  00  00</v>
      </c>
      <c r="H147" s="68" t="str">
        <f t="shared" si="31"/>
        <v>2Q</v>
      </c>
      <c r="I147" s="68">
        <f t="shared" si="32"/>
        <v>66</v>
      </c>
      <c r="J147" s="68" t="str">
        <f t="shared" si="33"/>
        <v>10</v>
      </c>
      <c r="K147" s="68" t="str">
        <f t="shared" si="34"/>
        <v>02</v>
      </c>
      <c r="L147" s="68" t="str">
        <f t="shared" si="35"/>
        <v>00</v>
      </c>
      <c r="M147" s="68" t="str">
        <f t="shared" si="36"/>
        <v>00</v>
      </c>
      <c r="N147" s="68" t="str">
        <f t="shared" si="37"/>
        <v>00</v>
      </c>
      <c r="O147" s="81" t="str">
        <f t="shared" si="38"/>
        <v>Escavação, carga e transporte de material de 1ª categoria - DMT de 800 a 1.000 m - caminho de serviço em leito natural - com escavadeira e caminhão basculante de 14 m³ | Insumo principal: Caminhão basculante com capacidade de 14 m³ - 210 kW</v>
      </c>
    </row>
    <row r="148" spans="1:15" ht="93.75">
      <c r="A148" s="11"/>
      <c r="B148" s="79" t="s">
        <v>190</v>
      </c>
      <c r="C148" s="78" t="s">
        <v>404</v>
      </c>
      <c r="D148" s="66" t="str">
        <f>VLOOKUP(B148,CORRESPONDENCIA!$C$4:$F$2105,2,0)</f>
        <v>2.6.6</v>
      </c>
      <c r="E148" s="69" t="s">
        <v>651</v>
      </c>
      <c r="F148" s="70" t="s">
        <v>652</v>
      </c>
      <c r="G148" s="68" t="str">
        <f t="shared" si="30"/>
        <v>2Q  66  10  02  00  00  00</v>
      </c>
      <c r="H148" s="68" t="str">
        <f t="shared" si="31"/>
        <v>2Q</v>
      </c>
      <c r="I148" s="68">
        <f t="shared" si="32"/>
        <v>66</v>
      </c>
      <c r="J148" s="68" t="str">
        <f t="shared" si="33"/>
        <v>10</v>
      </c>
      <c r="K148" s="68" t="str">
        <f t="shared" si="34"/>
        <v>02</v>
      </c>
      <c r="L148" s="68" t="str">
        <f t="shared" si="35"/>
        <v>00</v>
      </c>
      <c r="M148" s="68" t="str">
        <f t="shared" si="36"/>
        <v>00</v>
      </c>
      <c r="N148" s="68" t="str">
        <f t="shared" si="37"/>
        <v>00</v>
      </c>
      <c r="O148" s="81" t="str">
        <f t="shared" si="38"/>
        <v>Escavação, carga e transporte de material de 1ª categoria - DMT de 800 a 1.000 m - caminho de serviço em revestimento primário - com escavadeira e caminhão basculante de 14 m³ | Insumo principal: Caminhão basculante com capacidade de 14 m³ - 210 kW</v>
      </c>
    </row>
    <row r="149" spans="1:15" ht="93.75">
      <c r="A149" s="11"/>
      <c r="B149" s="79" t="s">
        <v>191</v>
      </c>
      <c r="C149" s="78" t="s">
        <v>406</v>
      </c>
      <c r="D149" s="66" t="str">
        <f>VLOOKUP(B149,CORRESPONDENCIA!$C$4:$F$2105,2,0)</f>
        <v>2.6.6</v>
      </c>
      <c r="E149" s="69" t="s">
        <v>651</v>
      </c>
      <c r="F149" s="70" t="s">
        <v>652</v>
      </c>
      <c r="G149" s="68" t="str">
        <f t="shared" si="30"/>
        <v>2Q  66  10  02  00  00  00</v>
      </c>
      <c r="H149" s="68" t="str">
        <f t="shared" si="31"/>
        <v>2Q</v>
      </c>
      <c r="I149" s="68">
        <f t="shared" si="32"/>
        <v>66</v>
      </c>
      <c r="J149" s="68" t="str">
        <f t="shared" si="33"/>
        <v>10</v>
      </c>
      <c r="K149" s="68" t="str">
        <f t="shared" si="34"/>
        <v>02</v>
      </c>
      <c r="L149" s="68" t="str">
        <f t="shared" si="35"/>
        <v>00</v>
      </c>
      <c r="M149" s="68" t="str">
        <f t="shared" si="36"/>
        <v>00</v>
      </c>
      <c r="N149" s="68" t="str">
        <f t="shared" si="37"/>
        <v>00</v>
      </c>
      <c r="O149" s="81" t="str">
        <f t="shared" si="38"/>
        <v>Escavação, carga e transporte de material de 1ª categoria - DMT de 800 a 1.000 m - caminho de serviço pavimentado - com escavadeira e caminhão basculante de 14 m³ | Insumo principal: Caminhão basculante com capacidade de 14 m³ - 210 kW</v>
      </c>
    </row>
    <row r="150" spans="1:15" ht="93.75">
      <c r="A150" s="11"/>
      <c r="B150" s="79" t="s">
        <v>192</v>
      </c>
      <c r="C150" s="78" t="s">
        <v>408</v>
      </c>
      <c r="D150" s="66" t="str">
        <f>VLOOKUP(B150,CORRESPONDENCIA!$C$4:$F$2105,2,0)</f>
        <v>2.6.6</v>
      </c>
      <c r="E150" s="69" t="s">
        <v>651</v>
      </c>
      <c r="F150" s="70" t="s">
        <v>652</v>
      </c>
      <c r="G150" s="68" t="str">
        <f t="shared" si="30"/>
        <v>2Q  66  10  02  00  00  00</v>
      </c>
      <c r="H150" s="68" t="str">
        <f t="shared" si="31"/>
        <v>2Q</v>
      </c>
      <c r="I150" s="68">
        <f t="shared" si="32"/>
        <v>66</v>
      </c>
      <c r="J150" s="68" t="str">
        <f t="shared" si="33"/>
        <v>10</v>
      </c>
      <c r="K150" s="68" t="str">
        <f t="shared" si="34"/>
        <v>02</v>
      </c>
      <c r="L150" s="68" t="str">
        <f t="shared" si="35"/>
        <v>00</v>
      </c>
      <c r="M150" s="68" t="str">
        <f t="shared" si="36"/>
        <v>00</v>
      </c>
      <c r="N150" s="68" t="str">
        <f t="shared" si="37"/>
        <v>00</v>
      </c>
      <c r="O150" s="81" t="str">
        <f t="shared" si="38"/>
        <v>Escavação, carga e transporte de material de 1ª categoria na distância de 3.000 m - caminho de serviço em leito natural - com escavadeira e caminhão basculante de 14 m³ | Insumo principal: Caminhão basculante com capacidade de 14 m³ - 210 kW</v>
      </c>
    </row>
    <row r="151" spans="1:15" ht="93.75">
      <c r="A151" s="11"/>
      <c r="B151" s="79" t="s">
        <v>193</v>
      </c>
      <c r="C151" s="78" t="s">
        <v>410</v>
      </c>
      <c r="D151" s="66" t="str">
        <f>VLOOKUP(B151,CORRESPONDENCIA!$C$4:$F$2105,2,0)</f>
        <v>2.6.6</v>
      </c>
      <c r="E151" s="69" t="s">
        <v>651</v>
      </c>
      <c r="F151" s="70" t="s">
        <v>652</v>
      </c>
      <c r="G151" s="68" t="str">
        <f t="shared" si="30"/>
        <v>2Q  66  10  02  00  00  00</v>
      </c>
      <c r="H151" s="68" t="str">
        <f t="shared" si="31"/>
        <v>2Q</v>
      </c>
      <c r="I151" s="68">
        <f t="shared" si="32"/>
        <v>66</v>
      </c>
      <c r="J151" s="68" t="str">
        <f t="shared" si="33"/>
        <v>10</v>
      </c>
      <c r="K151" s="68" t="str">
        <f t="shared" si="34"/>
        <v>02</v>
      </c>
      <c r="L151" s="68" t="str">
        <f t="shared" si="35"/>
        <v>00</v>
      </c>
      <c r="M151" s="68" t="str">
        <f t="shared" si="36"/>
        <v>00</v>
      </c>
      <c r="N151" s="68" t="str">
        <f t="shared" si="37"/>
        <v>00</v>
      </c>
      <c r="O151" s="81" t="str">
        <f t="shared" si="38"/>
        <v>Escavação, carga e transporte de material de 1ª categoria na distância de 3.000 m - caminho de serviço em revestimento primário - com escavadeira e caminhão basculante de 14 m³ | Insumo principal: Caminhão basculante com capacidade de 14 m³ - 210 kW</v>
      </c>
    </row>
    <row r="152" spans="1:15" ht="93.75">
      <c r="A152" s="11"/>
      <c r="B152" s="79" t="s">
        <v>194</v>
      </c>
      <c r="C152" s="78" t="s">
        <v>412</v>
      </c>
      <c r="D152" s="66" t="str">
        <f>VLOOKUP(B152,CORRESPONDENCIA!$C$4:$F$2105,2,0)</f>
        <v>2.6.6</v>
      </c>
      <c r="E152" s="69" t="s">
        <v>651</v>
      </c>
      <c r="F152" s="70" t="s">
        <v>652</v>
      </c>
      <c r="G152" s="68" t="str">
        <f t="shared" si="30"/>
        <v>2Q  66  10  02  00  00  00</v>
      </c>
      <c r="H152" s="68" t="str">
        <f t="shared" si="31"/>
        <v>2Q</v>
      </c>
      <c r="I152" s="68">
        <f t="shared" si="32"/>
        <v>66</v>
      </c>
      <c r="J152" s="68" t="str">
        <f t="shared" si="33"/>
        <v>10</v>
      </c>
      <c r="K152" s="68" t="str">
        <f t="shared" si="34"/>
        <v>02</v>
      </c>
      <c r="L152" s="68" t="str">
        <f t="shared" si="35"/>
        <v>00</v>
      </c>
      <c r="M152" s="68" t="str">
        <f t="shared" si="36"/>
        <v>00</v>
      </c>
      <c r="N152" s="68" t="str">
        <f t="shared" si="37"/>
        <v>00</v>
      </c>
      <c r="O152" s="81" t="str">
        <f t="shared" si="38"/>
        <v>Escavação, carga e transporte de material de 1ª categoria na distância de 3.000 m - caminho de serviço pavimentado - com escavadeira e caminhão basculante de 14 m³ | Insumo principal: Caminhão basculante com capacidade de 14 m³ - 210 kW</v>
      </c>
    </row>
    <row r="153" spans="1:15" ht="93.75">
      <c r="A153" s="11"/>
      <c r="B153" s="79" t="s">
        <v>195</v>
      </c>
      <c r="C153" s="78" t="s">
        <v>414</v>
      </c>
      <c r="D153" s="66" t="str">
        <f>VLOOKUP(B153,CORRESPONDENCIA!$C$4:$F$2105,2,0)</f>
        <v>2.6.6</v>
      </c>
      <c r="E153" s="69" t="s">
        <v>651</v>
      </c>
      <c r="F153" s="70" t="s">
        <v>652</v>
      </c>
      <c r="G153" s="68" t="str">
        <f t="shared" si="30"/>
        <v>2Q  66  10  02  00  00  00</v>
      </c>
      <c r="H153" s="68" t="str">
        <f t="shared" si="31"/>
        <v>2Q</v>
      </c>
      <c r="I153" s="68">
        <f t="shared" si="32"/>
        <v>66</v>
      </c>
      <c r="J153" s="68" t="str">
        <f t="shared" si="33"/>
        <v>10</v>
      </c>
      <c r="K153" s="68" t="str">
        <f t="shared" si="34"/>
        <v>02</v>
      </c>
      <c r="L153" s="68" t="str">
        <f t="shared" si="35"/>
        <v>00</v>
      </c>
      <c r="M153" s="68" t="str">
        <f t="shared" si="36"/>
        <v>00</v>
      </c>
      <c r="N153" s="68" t="str">
        <f t="shared" si="37"/>
        <v>00</v>
      </c>
      <c r="O153" s="81" t="str">
        <f t="shared" si="38"/>
        <v>Escavação, carga e transporte de material de 2ª categoria - DMT de 1.000 a 1.200 m - caminho de serviço em leito natural - com escavadeira e caminhão basculante de 14 m³ | Insumo principal: Caminhão basculante com capacidade de 14 m³ - 210 kW</v>
      </c>
    </row>
    <row r="154" spans="1:15" ht="93.75">
      <c r="A154" s="11"/>
      <c r="B154" s="79" t="s">
        <v>196</v>
      </c>
      <c r="C154" s="78" t="s">
        <v>416</v>
      </c>
      <c r="D154" s="66" t="str">
        <f>VLOOKUP(B154,CORRESPONDENCIA!$C$4:$F$2105,2,0)</f>
        <v>2.6.6</v>
      </c>
      <c r="E154" s="69" t="s">
        <v>651</v>
      </c>
      <c r="F154" s="70" t="s">
        <v>652</v>
      </c>
      <c r="G154" s="68" t="str">
        <f t="shared" si="30"/>
        <v>2Q  66  10  02  00  00  00</v>
      </c>
      <c r="H154" s="68" t="str">
        <f t="shared" si="31"/>
        <v>2Q</v>
      </c>
      <c r="I154" s="68">
        <f t="shared" si="32"/>
        <v>66</v>
      </c>
      <c r="J154" s="68" t="str">
        <f t="shared" si="33"/>
        <v>10</v>
      </c>
      <c r="K154" s="68" t="str">
        <f t="shared" si="34"/>
        <v>02</v>
      </c>
      <c r="L154" s="68" t="str">
        <f t="shared" si="35"/>
        <v>00</v>
      </c>
      <c r="M154" s="68" t="str">
        <f t="shared" si="36"/>
        <v>00</v>
      </c>
      <c r="N154" s="68" t="str">
        <f t="shared" si="37"/>
        <v>00</v>
      </c>
      <c r="O154" s="81" t="str">
        <f t="shared" si="38"/>
        <v>Escavação, carga e transporte de material de 2ª categoria - DMT de 1.000 a 1.200 m - caminho de serviço em revestimento primário - com escavadeira e caminhão basculante de 14 m³ | Insumo principal: Caminhão basculante com capacidade de 14 m³ - 210 kW</v>
      </c>
    </row>
    <row r="155" spans="1:15" ht="93.75">
      <c r="A155" s="11"/>
      <c r="B155" s="79" t="s">
        <v>197</v>
      </c>
      <c r="C155" s="78" t="s">
        <v>418</v>
      </c>
      <c r="D155" s="66" t="str">
        <f>VLOOKUP(B155,CORRESPONDENCIA!$C$4:$F$2105,2,0)</f>
        <v>2.6.6</v>
      </c>
      <c r="E155" s="69" t="s">
        <v>651</v>
      </c>
      <c r="F155" s="70" t="s">
        <v>652</v>
      </c>
      <c r="G155" s="68" t="str">
        <f t="shared" si="30"/>
        <v>2Q  66  10  02  00  00  00</v>
      </c>
      <c r="H155" s="68" t="str">
        <f t="shared" si="31"/>
        <v>2Q</v>
      </c>
      <c r="I155" s="68">
        <f t="shared" si="32"/>
        <v>66</v>
      </c>
      <c r="J155" s="68" t="str">
        <f t="shared" si="33"/>
        <v>10</v>
      </c>
      <c r="K155" s="68" t="str">
        <f t="shared" si="34"/>
        <v>02</v>
      </c>
      <c r="L155" s="68" t="str">
        <f t="shared" si="35"/>
        <v>00</v>
      </c>
      <c r="M155" s="68" t="str">
        <f t="shared" si="36"/>
        <v>00</v>
      </c>
      <c r="N155" s="68" t="str">
        <f t="shared" si="37"/>
        <v>00</v>
      </c>
      <c r="O155" s="81" t="str">
        <f t="shared" si="38"/>
        <v>Escavação, carga e transporte de material de 2ª categoria - DMT de 1.000 a 1.200 m - caminho de serviço pavimentado - com escavadeira e caminhão basculante de 14 m³ | Insumo principal: Caminhão basculante com capacidade de 14 m³ - 210 kW</v>
      </c>
    </row>
    <row r="156" spans="1:15" ht="93.75">
      <c r="A156" s="11"/>
      <c r="B156" s="79" t="s">
        <v>198</v>
      </c>
      <c r="C156" s="78" t="s">
        <v>420</v>
      </c>
      <c r="D156" s="66" t="str">
        <f>VLOOKUP(B156,CORRESPONDENCIA!$C$4:$F$2105,2,0)</f>
        <v>2.6.6</v>
      </c>
      <c r="E156" s="69" t="s">
        <v>651</v>
      </c>
      <c r="F156" s="70" t="s">
        <v>652</v>
      </c>
      <c r="G156" s="68" t="str">
        <f t="shared" si="30"/>
        <v>2Q  66  10  02  00  00  00</v>
      </c>
      <c r="H156" s="68" t="str">
        <f t="shared" si="31"/>
        <v>2Q</v>
      </c>
      <c r="I156" s="68">
        <f t="shared" si="32"/>
        <v>66</v>
      </c>
      <c r="J156" s="68" t="str">
        <f t="shared" si="33"/>
        <v>10</v>
      </c>
      <c r="K156" s="68" t="str">
        <f t="shared" si="34"/>
        <v>02</v>
      </c>
      <c r="L156" s="68" t="str">
        <f t="shared" si="35"/>
        <v>00</v>
      </c>
      <c r="M156" s="68" t="str">
        <f t="shared" si="36"/>
        <v>00</v>
      </c>
      <c r="N156" s="68" t="str">
        <f t="shared" si="37"/>
        <v>00</v>
      </c>
      <c r="O156" s="81" t="str">
        <f t="shared" si="38"/>
        <v>Escavação, carga e transporte de material de 2ª categoria - DMT de 1.200 a 1.400 m - caminho de serviço em leito natural - com escavadeira e caminhão basculante de 14 m³ | Insumo principal: Caminhão basculante com capacidade de 14 m³ - 210 kW</v>
      </c>
    </row>
    <row r="157" spans="1:15" ht="93.75">
      <c r="A157" s="11"/>
      <c r="B157" s="79" t="s">
        <v>199</v>
      </c>
      <c r="C157" s="78" t="s">
        <v>422</v>
      </c>
      <c r="D157" s="66" t="str">
        <f>VLOOKUP(B157,CORRESPONDENCIA!$C$4:$F$2105,2,0)</f>
        <v>2.6.6</v>
      </c>
      <c r="E157" s="69" t="s">
        <v>651</v>
      </c>
      <c r="F157" s="70" t="s">
        <v>652</v>
      </c>
      <c r="G157" s="68" t="str">
        <f t="shared" si="30"/>
        <v>2Q  66  10  02  00  00  00</v>
      </c>
      <c r="H157" s="68" t="str">
        <f t="shared" si="31"/>
        <v>2Q</v>
      </c>
      <c r="I157" s="68">
        <f t="shared" si="32"/>
        <v>66</v>
      </c>
      <c r="J157" s="68" t="str">
        <f t="shared" si="33"/>
        <v>10</v>
      </c>
      <c r="K157" s="68" t="str">
        <f t="shared" si="34"/>
        <v>02</v>
      </c>
      <c r="L157" s="68" t="str">
        <f t="shared" si="35"/>
        <v>00</v>
      </c>
      <c r="M157" s="68" t="str">
        <f t="shared" si="36"/>
        <v>00</v>
      </c>
      <c r="N157" s="68" t="str">
        <f t="shared" si="37"/>
        <v>00</v>
      </c>
      <c r="O157" s="81" t="str">
        <f t="shared" si="38"/>
        <v>Escavação, carga e transporte de material de 2ª categoria - DMT de 1.200 a 1.400 m - caminho de serviço em revestimento primário - com escavadeira e caminhão basculante de 14 m³ | Insumo principal: Caminhão basculante com capacidade de 14 m³ - 210 kW</v>
      </c>
    </row>
    <row r="158" spans="1:15" ht="93.75">
      <c r="A158" s="11"/>
      <c r="B158" s="79" t="s">
        <v>200</v>
      </c>
      <c r="C158" s="78" t="s">
        <v>424</v>
      </c>
      <c r="D158" s="66" t="str">
        <f>VLOOKUP(B158,CORRESPONDENCIA!$C$4:$F$2105,2,0)</f>
        <v>2.6.6</v>
      </c>
      <c r="E158" s="69" t="s">
        <v>651</v>
      </c>
      <c r="F158" s="70" t="s">
        <v>652</v>
      </c>
      <c r="G158" s="68" t="str">
        <f t="shared" si="30"/>
        <v>2Q  66  10  02  00  00  00</v>
      </c>
      <c r="H158" s="68" t="str">
        <f t="shared" si="31"/>
        <v>2Q</v>
      </c>
      <c r="I158" s="68">
        <f t="shared" si="32"/>
        <v>66</v>
      </c>
      <c r="J158" s="68" t="str">
        <f t="shared" si="33"/>
        <v>10</v>
      </c>
      <c r="K158" s="68" t="str">
        <f t="shared" si="34"/>
        <v>02</v>
      </c>
      <c r="L158" s="68" t="str">
        <f t="shared" si="35"/>
        <v>00</v>
      </c>
      <c r="M158" s="68" t="str">
        <f t="shared" si="36"/>
        <v>00</v>
      </c>
      <c r="N158" s="68" t="str">
        <f t="shared" si="37"/>
        <v>00</v>
      </c>
      <c r="O158" s="81" t="str">
        <f t="shared" si="38"/>
        <v>Escavação, carga e transporte de material de 2ª categoria - DMT de 1.200 a 1.400 m - caminho de serviço pavimentado - com escavadeira e caminhão basculante de 14 m³ | Insumo principal: Caminhão basculante com capacidade de 14 m³ - 210 kW</v>
      </c>
    </row>
    <row r="159" spans="1:15" ht="93.75">
      <c r="A159" s="11"/>
      <c r="B159" s="79" t="s">
        <v>201</v>
      </c>
      <c r="C159" s="78" t="s">
        <v>426</v>
      </c>
      <c r="D159" s="66" t="str">
        <f>VLOOKUP(B159,CORRESPONDENCIA!$C$4:$F$2105,2,0)</f>
        <v>2.6.6</v>
      </c>
      <c r="E159" s="69" t="s">
        <v>651</v>
      </c>
      <c r="F159" s="70" t="s">
        <v>652</v>
      </c>
      <c r="G159" s="68" t="str">
        <f t="shared" si="30"/>
        <v>2Q  66  10  02  00  00  00</v>
      </c>
      <c r="H159" s="68" t="str">
        <f t="shared" si="31"/>
        <v>2Q</v>
      </c>
      <c r="I159" s="68">
        <f t="shared" si="32"/>
        <v>66</v>
      </c>
      <c r="J159" s="68" t="str">
        <f t="shared" si="33"/>
        <v>10</v>
      </c>
      <c r="K159" s="68" t="str">
        <f t="shared" si="34"/>
        <v>02</v>
      </c>
      <c r="L159" s="68" t="str">
        <f t="shared" si="35"/>
        <v>00</v>
      </c>
      <c r="M159" s="68" t="str">
        <f t="shared" si="36"/>
        <v>00</v>
      </c>
      <c r="N159" s="68" t="str">
        <f t="shared" si="37"/>
        <v>00</v>
      </c>
      <c r="O159" s="81" t="str">
        <f t="shared" si="38"/>
        <v>Escavação, carga e transporte de material de 2ª categoria - DMT de 1.400 a 1.600 m - caminho de serviço em leito natural - com escavadeira e caminhão basculante de 14 m³ | Insumo principal: Caminhão basculante com capacidade de 14 m³ - 210 kW</v>
      </c>
    </row>
    <row r="160" spans="1:15" ht="93.75">
      <c r="A160" s="11"/>
      <c r="B160" s="79" t="s">
        <v>202</v>
      </c>
      <c r="C160" s="78" t="s">
        <v>428</v>
      </c>
      <c r="D160" s="66" t="str">
        <f>VLOOKUP(B160,CORRESPONDENCIA!$C$4:$F$2105,2,0)</f>
        <v>2.6.6</v>
      </c>
      <c r="E160" s="69" t="s">
        <v>651</v>
      </c>
      <c r="F160" s="70" t="s">
        <v>652</v>
      </c>
      <c r="G160" s="68" t="str">
        <f t="shared" si="30"/>
        <v>2Q  66  10  02  00  00  00</v>
      </c>
      <c r="H160" s="68" t="str">
        <f t="shared" si="31"/>
        <v>2Q</v>
      </c>
      <c r="I160" s="68">
        <f t="shared" si="32"/>
        <v>66</v>
      </c>
      <c r="J160" s="68" t="str">
        <f t="shared" si="33"/>
        <v>10</v>
      </c>
      <c r="K160" s="68" t="str">
        <f t="shared" si="34"/>
        <v>02</v>
      </c>
      <c r="L160" s="68" t="str">
        <f t="shared" si="35"/>
        <v>00</v>
      </c>
      <c r="M160" s="68" t="str">
        <f t="shared" si="36"/>
        <v>00</v>
      </c>
      <c r="N160" s="68" t="str">
        <f t="shared" si="37"/>
        <v>00</v>
      </c>
      <c r="O160" s="81" t="str">
        <f t="shared" si="38"/>
        <v>Escavação, carga e transporte de material de 2ª categoria - DMT de 1.400 a 1.600 m - caminho de serviço em revestimento primário - com escavadeira e caminhão basculante de 14 m³ | Insumo principal: Caminhão basculante com capacidade de 14 m³ - 210 kW</v>
      </c>
    </row>
    <row r="161" spans="1:15" ht="93.75">
      <c r="A161" s="11"/>
      <c r="B161" s="79" t="s">
        <v>203</v>
      </c>
      <c r="C161" s="78" t="s">
        <v>430</v>
      </c>
      <c r="D161" s="66" t="str">
        <f>VLOOKUP(B161,CORRESPONDENCIA!$C$4:$F$2105,2,0)</f>
        <v>2.6.6</v>
      </c>
      <c r="E161" s="69" t="s">
        <v>651</v>
      </c>
      <c r="F161" s="70" t="s">
        <v>652</v>
      </c>
      <c r="G161" s="68" t="str">
        <f t="shared" si="30"/>
        <v>2Q  66  10  02  00  00  00</v>
      </c>
      <c r="H161" s="68" t="str">
        <f t="shared" si="31"/>
        <v>2Q</v>
      </c>
      <c r="I161" s="68">
        <f t="shared" si="32"/>
        <v>66</v>
      </c>
      <c r="J161" s="68" t="str">
        <f t="shared" si="33"/>
        <v>10</v>
      </c>
      <c r="K161" s="68" t="str">
        <f t="shared" si="34"/>
        <v>02</v>
      </c>
      <c r="L161" s="68" t="str">
        <f t="shared" si="35"/>
        <v>00</v>
      </c>
      <c r="M161" s="68" t="str">
        <f t="shared" si="36"/>
        <v>00</v>
      </c>
      <c r="N161" s="68" t="str">
        <f t="shared" si="37"/>
        <v>00</v>
      </c>
      <c r="O161" s="81" t="str">
        <f t="shared" si="38"/>
        <v>Escavação, carga e transporte de material de 2ª categoria - DMT de 1.400 a 1.600 m - caminho de serviço pavimentado - com escavadeira e caminhão basculante de 14 m³ | Insumo principal: Caminhão basculante com capacidade de 14 m³ - 210 kW</v>
      </c>
    </row>
    <row r="162" spans="1:15" ht="93.75">
      <c r="A162" s="11"/>
      <c r="B162" s="79" t="s">
        <v>204</v>
      </c>
      <c r="C162" s="78" t="s">
        <v>432</v>
      </c>
      <c r="D162" s="66" t="str">
        <f>VLOOKUP(B162,CORRESPONDENCIA!$C$4:$F$2105,2,0)</f>
        <v>2.6.6</v>
      </c>
      <c r="E162" s="69" t="s">
        <v>651</v>
      </c>
      <c r="F162" s="70" t="s">
        <v>652</v>
      </c>
      <c r="G162" s="68" t="str">
        <f t="shared" si="30"/>
        <v>2Q  66  10  02  00  00  00</v>
      </c>
      <c r="H162" s="68" t="str">
        <f t="shared" si="31"/>
        <v>2Q</v>
      </c>
      <c r="I162" s="68">
        <f t="shared" si="32"/>
        <v>66</v>
      </c>
      <c r="J162" s="68" t="str">
        <f t="shared" si="33"/>
        <v>10</v>
      </c>
      <c r="K162" s="68" t="str">
        <f t="shared" si="34"/>
        <v>02</v>
      </c>
      <c r="L162" s="68" t="str">
        <f t="shared" si="35"/>
        <v>00</v>
      </c>
      <c r="M162" s="68" t="str">
        <f t="shared" si="36"/>
        <v>00</v>
      </c>
      <c r="N162" s="68" t="str">
        <f t="shared" si="37"/>
        <v>00</v>
      </c>
      <c r="O162" s="81" t="str">
        <f t="shared" si="38"/>
        <v>Escavação, carga e transporte de material de 2ª categoria - DMT de 1.600 a 1.800 m - caminho de serviço em leito natural - com escavadeira e caminhão basculante de 14 m³ | Insumo principal: Caminhão basculante com capacidade de 14 m³ - 210 kW</v>
      </c>
    </row>
    <row r="163" spans="1:15" ht="93.75">
      <c r="A163" s="11"/>
      <c r="B163" s="79" t="s">
        <v>205</v>
      </c>
      <c r="C163" s="78" t="s">
        <v>434</v>
      </c>
      <c r="D163" s="66" t="str">
        <f>VLOOKUP(B163,CORRESPONDENCIA!$C$4:$F$2105,2,0)</f>
        <v>2.6.6</v>
      </c>
      <c r="E163" s="69" t="s">
        <v>651</v>
      </c>
      <c r="F163" s="70" t="s">
        <v>652</v>
      </c>
      <c r="G163" s="68" t="str">
        <f t="shared" si="30"/>
        <v>2Q  66  10  02  00  00  00</v>
      </c>
      <c r="H163" s="68" t="str">
        <f t="shared" si="31"/>
        <v>2Q</v>
      </c>
      <c r="I163" s="68">
        <f t="shared" si="32"/>
        <v>66</v>
      </c>
      <c r="J163" s="68" t="str">
        <f t="shared" si="33"/>
        <v>10</v>
      </c>
      <c r="K163" s="68" t="str">
        <f t="shared" si="34"/>
        <v>02</v>
      </c>
      <c r="L163" s="68" t="str">
        <f t="shared" si="35"/>
        <v>00</v>
      </c>
      <c r="M163" s="68" t="str">
        <f t="shared" si="36"/>
        <v>00</v>
      </c>
      <c r="N163" s="68" t="str">
        <f t="shared" si="37"/>
        <v>00</v>
      </c>
      <c r="O163" s="81" t="str">
        <f t="shared" si="38"/>
        <v>Escavação, carga e transporte de material de 2ª categoria - DMT de 1.600 a 1.800 m - caminho de serviço em revestimento primário - com escavadeira e caminhão basculante de 14 m³ | Insumo principal: Caminhão basculante com capacidade de 14 m³ - 210 kW</v>
      </c>
    </row>
    <row r="164" spans="1:15" ht="93.75">
      <c r="A164" s="11"/>
      <c r="B164" s="79" t="s">
        <v>206</v>
      </c>
      <c r="C164" s="78" t="s">
        <v>436</v>
      </c>
      <c r="D164" s="66" t="str">
        <f>VLOOKUP(B164,CORRESPONDENCIA!$C$4:$F$2105,2,0)</f>
        <v>2.6.6</v>
      </c>
      <c r="E164" s="69" t="s">
        <v>651</v>
      </c>
      <c r="F164" s="70" t="s">
        <v>652</v>
      </c>
      <c r="G164" s="68" t="str">
        <f t="shared" si="30"/>
        <v>2Q  66  10  02  00  00  00</v>
      </c>
      <c r="H164" s="68" t="str">
        <f t="shared" si="31"/>
        <v>2Q</v>
      </c>
      <c r="I164" s="68">
        <f t="shared" si="32"/>
        <v>66</v>
      </c>
      <c r="J164" s="68" t="str">
        <f t="shared" si="33"/>
        <v>10</v>
      </c>
      <c r="K164" s="68" t="str">
        <f t="shared" si="34"/>
        <v>02</v>
      </c>
      <c r="L164" s="68" t="str">
        <f t="shared" si="35"/>
        <v>00</v>
      </c>
      <c r="M164" s="68" t="str">
        <f t="shared" si="36"/>
        <v>00</v>
      </c>
      <c r="N164" s="68" t="str">
        <f t="shared" si="37"/>
        <v>00</v>
      </c>
      <c r="O164" s="81" t="str">
        <f t="shared" si="38"/>
        <v>Escavação, carga e transporte de material de 2ª categoria - DMT de 1.600 a 1.800 m - caminho de serviço pavimentado - com escavadeira e caminhão basculante de 14 m³ | Insumo principal: Caminhão basculante com capacidade de 14 m³ - 210 kW</v>
      </c>
    </row>
    <row r="165" spans="1:15" ht="93.75">
      <c r="A165" s="11"/>
      <c r="B165" s="79" t="s">
        <v>207</v>
      </c>
      <c r="C165" s="78" t="s">
        <v>438</v>
      </c>
      <c r="D165" s="66" t="str">
        <f>VLOOKUP(B165,CORRESPONDENCIA!$C$4:$F$2105,2,0)</f>
        <v>2.6.6</v>
      </c>
      <c r="E165" s="69" t="s">
        <v>651</v>
      </c>
      <c r="F165" s="70" t="s">
        <v>652</v>
      </c>
      <c r="G165" s="68" t="str">
        <f t="shared" si="30"/>
        <v>2Q  66  10  02  00  00  00</v>
      </c>
      <c r="H165" s="68" t="str">
        <f t="shared" si="31"/>
        <v>2Q</v>
      </c>
      <c r="I165" s="68">
        <f t="shared" si="32"/>
        <v>66</v>
      </c>
      <c r="J165" s="68" t="str">
        <f t="shared" si="33"/>
        <v>10</v>
      </c>
      <c r="K165" s="68" t="str">
        <f t="shared" si="34"/>
        <v>02</v>
      </c>
      <c r="L165" s="68" t="str">
        <f t="shared" si="35"/>
        <v>00</v>
      </c>
      <c r="M165" s="68" t="str">
        <f t="shared" si="36"/>
        <v>00</v>
      </c>
      <c r="N165" s="68" t="str">
        <f t="shared" si="37"/>
        <v>00</v>
      </c>
      <c r="O165" s="81" t="str">
        <f t="shared" si="38"/>
        <v>Escavação, carga e transporte de material de 2ª categoria - DMT de 1.800 a 2.000 m - caminho de serviço em leito natural - com escavadeira e caminhão basculante de 14 m³ | Insumo principal: Caminhão basculante com capacidade de 14 m³ - 210 kW</v>
      </c>
    </row>
    <row r="166" spans="1:15" ht="93.75">
      <c r="A166" s="11"/>
      <c r="B166" s="79" t="s">
        <v>208</v>
      </c>
      <c r="C166" s="78" t="s">
        <v>440</v>
      </c>
      <c r="D166" s="66" t="str">
        <f>VLOOKUP(B166,CORRESPONDENCIA!$C$4:$F$2105,2,0)</f>
        <v>2.6.6</v>
      </c>
      <c r="E166" s="69" t="s">
        <v>651</v>
      </c>
      <c r="F166" s="70" t="s">
        <v>652</v>
      </c>
      <c r="G166" s="68" t="str">
        <f t="shared" si="30"/>
        <v>2Q  66  10  02  00  00  00</v>
      </c>
      <c r="H166" s="68" t="str">
        <f t="shared" si="31"/>
        <v>2Q</v>
      </c>
      <c r="I166" s="68">
        <f t="shared" si="32"/>
        <v>66</v>
      </c>
      <c r="J166" s="68" t="str">
        <f t="shared" si="33"/>
        <v>10</v>
      </c>
      <c r="K166" s="68" t="str">
        <f t="shared" si="34"/>
        <v>02</v>
      </c>
      <c r="L166" s="68" t="str">
        <f t="shared" si="35"/>
        <v>00</v>
      </c>
      <c r="M166" s="68" t="str">
        <f t="shared" si="36"/>
        <v>00</v>
      </c>
      <c r="N166" s="68" t="str">
        <f t="shared" si="37"/>
        <v>00</v>
      </c>
      <c r="O166" s="81" t="str">
        <f t="shared" si="38"/>
        <v>Escavação, carga e transporte de material de 2ª categoria - DMT de 1.800 a 2.000 m - caminho de serviço em revestimento primário - com escavadeira e caminhão basculante de 14 m³ | Insumo principal: Caminhão basculante com capacidade de 14 m³ - 210 kW</v>
      </c>
    </row>
    <row r="167" spans="1:15" ht="93.75">
      <c r="A167" s="11"/>
      <c r="B167" s="79" t="s">
        <v>209</v>
      </c>
      <c r="C167" s="78" t="s">
        <v>442</v>
      </c>
      <c r="D167" s="66" t="str">
        <f>VLOOKUP(B167,CORRESPONDENCIA!$C$4:$F$2105,2,0)</f>
        <v>2.6.6</v>
      </c>
      <c r="E167" s="69" t="s">
        <v>651</v>
      </c>
      <c r="F167" s="70" t="s">
        <v>652</v>
      </c>
      <c r="G167" s="68" t="str">
        <f t="shared" si="30"/>
        <v>2Q  66  10  02  00  00  00</v>
      </c>
      <c r="H167" s="68" t="str">
        <f t="shared" si="31"/>
        <v>2Q</v>
      </c>
      <c r="I167" s="68">
        <f t="shared" si="32"/>
        <v>66</v>
      </c>
      <c r="J167" s="68" t="str">
        <f t="shared" si="33"/>
        <v>10</v>
      </c>
      <c r="K167" s="68" t="str">
        <f t="shared" si="34"/>
        <v>02</v>
      </c>
      <c r="L167" s="68" t="str">
        <f t="shared" si="35"/>
        <v>00</v>
      </c>
      <c r="M167" s="68" t="str">
        <f t="shared" si="36"/>
        <v>00</v>
      </c>
      <c r="N167" s="68" t="str">
        <f t="shared" si="37"/>
        <v>00</v>
      </c>
      <c r="O167" s="81" t="str">
        <f t="shared" si="38"/>
        <v>Escavação, carga e transporte de material de 2ª categoria - DMT de 1.800 a 2.000 m - caminho de serviço pavimentado - com escavadeira e caminhão basculante de 14 m³ | Insumo principal: Caminhão basculante com capacidade de 14 m³ - 210 kW</v>
      </c>
    </row>
    <row r="168" spans="1:15" ht="93.75">
      <c r="A168" s="11"/>
      <c r="B168" s="79" t="s">
        <v>210</v>
      </c>
      <c r="C168" s="78" t="s">
        <v>444</v>
      </c>
      <c r="D168" s="66" t="str">
        <f>VLOOKUP(B168,CORRESPONDENCIA!$C$4:$F$2105,2,0)</f>
        <v>2.6.6</v>
      </c>
      <c r="E168" s="69" t="s">
        <v>651</v>
      </c>
      <c r="F168" s="70" t="s">
        <v>652</v>
      </c>
      <c r="G168" s="68" t="str">
        <f t="shared" si="30"/>
        <v>2Q  66  10  02  00  00  00</v>
      </c>
      <c r="H168" s="68" t="str">
        <f t="shared" si="31"/>
        <v>2Q</v>
      </c>
      <c r="I168" s="68">
        <f t="shared" si="32"/>
        <v>66</v>
      </c>
      <c r="J168" s="68" t="str">
        <f t="shared" si="33"/>
        <v>10</v>
      </c>
      <c r="K168" s="68" t="str">
        <f t="shared" si="34"/>
        <v>02</v>
      </c>
      <c r="L168" s="68" t="str">
        <f t="shared" si="35"/>
        <v>00</v>
      </c>
      <c r="M168" s="68" t="str">
        <f t="shared" si="36"/>
        <v>00</v>
      </c>
      <c r="N168" s="68" t="str">
        <f t="shared" si="37"/>
        <v>00</v>
      </c>
      <c r="O168" s="81" t="str">
        <f t="shared" si="38"/>
        <v>Escavação, carga e transporte de material de 2ª categoria - DMT de 2.000 a 2.500 m - caminho de serviço em leito natural - com escavadeira e caminhão basculante de 14 m³ | Insumo principal: Caminhão basculante com capacidade de 14 m³ - 210 kW</v>
      </c>
    </row>
    <row r="169" spans="1:15" ht="93.75">
      <c r="A169" s="11"/>
      <c r="B169" s="79" t="s">
        <v>211</v>
      </c>
      <c r="C169" s="78" t="s">
        <v>446</v>
      </c>
      <c r="D169" s="66" t="str">
        <f>VLOOKUP(B169,CORRESPONDENCIA!$C$4:$F$2105,2,0)</f>
        <v>2.6.6</v>
      </c>
      <c r="E169" s="69" t="s">
        <v>651</v>
      </c>
      <c r="F169" s="70" t="s">
        <v>652</v>
      </c>
      <c r="G169" s="68" t="str">
        <f t="shared" si="30"/>
        <v>2Q  66  10  02  00  00  00</v>
      </c>
      <c r="H169" s="68" t="str">
        <f t="shared" si="31"/>
        <v>2Q</v>
      </c>
      <c r="I169" s="68">
        <f t="shared" si="32"/>
        <v>66</v>
      </c>
      <c r="J169" s="68" t="str">
        <f t="shared" si="33"/>
        <v>10</v>
      </c>
      <c r="K169" s="68" t="str">
        <f t="shared" si="34"/>
        <v>02</v>
      </c>
      <c r="L169" s="68" t="str">
        <f t="shared" si="35"/>
        <v>00</v>
      </c>
      <c r="M169" s="68" t="str">
        <f t="shared" si="36"/>
        <v>00</v>
      </c>
      <c r="N169" s="68" t="str">
        <f t="shared" si="37"/>
        <v>00</v>
      </c>
      <c r="O169" s="81" t="str">
        <f t="shared" si="38"/>
        <v>Escavação, carga e transporte de material de 2ª categoria - DMT de 2.000 a 2.500 m - caminho de serviço em revestimento primário - com escavadeira e caminhão basculante de 14 m³ | Insumo principal: Caminhão basculante com capacidade de 14 m³ - 210 kW</v>
      </c>
    </row>
    <row r="170" spans="1:15" ht="93.75">
      <c r="A170" s="11"/>
      <c r="B170" s="79" t="s">
        <v>212</v>
      </c>
      <c r="C170" s="78" t="s">
        <v>448</v>
      </c>
      <c r="D170" s="66" t="str">
        <f>VLOOKUP(B170,CORRESPONDENCIA!$C$4:$F$2105,2,0)</f>
        <v>2.6.6</v>
      </c>
      <c r="E170" s="69" t="s">
        <v>651</v>
      </c>
      <c r="F170" s="70" t="s">
        <v>652</v>
      </c>
      <c r="G170" s="68" t="str">
        <f t="shared" si="30"/>
        <v>2Q  66  10  02  00  00  00</v>
      </c>
      <c r="H170" s="68" t="str">
        <f t="shared" si="31"/>
        <v>2Q</v>
      </c>
      <c r="I170" s="68">
        <f t="shared" si="32"/>
        <v>66</v>
      </c>
      <c r="J170" s="68" t="str">
        <f t="shared" si="33"/>
        <v>10</v>
      </c>
      <c r="K170" s="68" t="str">
        <f t="shared" si="34"/>
        <v>02</v>
      </c>
      <c r="L170" s="68" t="str">
        <f t="shared" si="35"/>
        <v>00</v>
      </c>
      <c r="M170" s="68" t="str">
        <f t="shared" si="36"/>
        <v>00</v>
      </c>
      <c r="N170" s="68" t="str">
        <f t="shared" si="37"/>
        <v>00</v>
      </c>
      <c r="O170" s="81" t="str">
        <f t="shared" si="38"/>
        <v>Escavação, carga e transporte de material de 2ª categoria - DMT de 2.000 a 2.500 m - caminho de serviço pavimentado - com escavadeira e caminhão basculante de 14 m³ | Insumo principal: Caminhão basculante com capacidade de 14 m³ - 210 kW</v>
      </c>
    </row>
    <row r="171" spans="1:15" ht="93.75">
      <c r="A171" s="11"/>
      <c r="B171" s="79" t="s">
        <v>213</v>
      </c>
      <c r="C171" s="78" t="s">
        <v>450</v>
      </c>
      <c r="D171" s="66" t="str">
        <f>VLOOKUP(B171,CORRESPONDENCIA!$C$4:$F$2105,2,0)</f>
        <v>2.6.6</v>
      </c>
      <c r="E171" s="69" t="s">
        <v>651</v>
      </c>
      <c r="F171" s="70" t="s">
        <v>652</v>
      </c>
      <c r="G171" s="68" t="str">
        <f t="shared" si="30"/>
        <v>2Q  66  10  02  00  00  00</v>
      </c>
      <c r="H171" s="68" t="str">
        <f t="shared" si="31"/>
        <v>2Q</v>
      </c>
      <c r="I171" s="68">
        <f t="shared" si="32"/>
        <v>66</v>
      </c>
      <c r="J171" s="68" t="str">
        <f t="shared" si="33"/>
        <v>10</v>
      </c>
      <c r="K171" s="68" t="str">
        <f t="shared" si="34"/>
        <v>02</v>
      </c>
      <c r="L171" s="68" t="str">
        <f t="shared" si="35"/>
        <v>00</v>
      </c>
      <c r="M171" s="68" t="str">
        <f t="shared" si="36"/>
        <v>00</v>
      </c>
      <c r="N171" s="68" t="str">
        <f t="shared" si="37"/>
        <v>00</v>
      </c>
      <c r="O171" s="81" t="str">
        <f t="shared" si="38"/>
        <v>Escavação, carga e transporte de material de 2ª categoria - DMT de 2.500 a 3.000 m - caminho de serviço em leito natural - com escavadeira e caminhão basculante de 14 m³ | Insumo principal: Caminhão basculante com capacidade de 14 m³ - 210 kW</v>
      </c>
    </row>
    <row r="172" spans="1:15" ht="93.75">
      <c r="A172" s="11"/>
      <c r="B172" s="79" t="s">
        <v>214</v>
      </c>
      <c r="C172" s="78" t="s">
        <v>452</v>
      </c>
      <c r="D172" s="66" t="str">
        <f>VLOOKUP(B172,CORRESPONDENCIA!$C$4:$F$2105,2,0)</f>
        <v>2.6.6</v>
      </c>
      <c r="E172" s="69" t="s">
        <v>651</v>
      </c>
      <c r="F172" s="70" t="s">
        <v>652</v>
      </c>
      <c r="G172" s="68" t="str">
        <f t="shared" ref="G172:G191" si="39">G171</f>
        <v>2Q  66  10  02  00  00  00</v>
      </c>
      <c r="H172" s="68" t="str">
        <f t="shared" si="31"/>
        <v>2Q</v>
      </c>
      <c r="I172" s="68">
        <f t="shared" si="32"/>
        <v>66</v>
      </c>
      <c r="J172" s="68" t="str">
        <f t="shared" si="33"/>
        <v>10</v>
      </c>
      <c r="K172" s="68" t="str">
        <f t="shared" si="34"/>
        <v>02</v>
      </c>
      <c r="L172" s="68" t="str">
        <f t="shared" si="35"/>
        <v>00</v>
      </c>
      <c r="M172" s="68" t="str">
        <f t="shared" si="36"/>
        <v>00</v>
      </c>
      <c r="N172" s="68" t="str">
        <f t="shared" si="37"/>
        <v>00</v>
      </c>
      <c r="O172" s="81" t="str">
        <f t="shared" si="38"/>
        <v>Escavação, carga e transporte de material de 2ª categoria - DMT de 2.500 a 3.000 m - caminho de serviço em revestimento primário - com escavadeira e caminhão basculante de 14 m³ | Insumo principal: Caminhão basculante com capacidade de 14 m³ - 210 kW</v>
      </c>
    </row>
    <row r="173" spans="1:15" ht="93.75">
      <c r="A173" s="11"/>
      <c r="B173" s="79" t="s">
        <v>215</v>
      </c>
      <c r="C173" s="78" t="s">
        <v>454</v>
      </c>
      <c r="D173" s="66" t="str">
        <f>VLOOKUP(B173,CORRESPONDENCIA!$C$4:$F$2105,2,0)</f>
        <v>2.6.6</v>
      </c>
      <c r="E173" s="69" t="s">
        <v>651</v>
      </c>
      <c r="F173" s="70" t="s">
        <v>652</v>
      </c>
      <c r="G173" s="68" t="str">
        <f t="shared" si="39"/>
        <v>2Q  66  10  02  00  00  00</v>
      </c>
      <c r="H173" s="68" t="str">
        <f t="shared" si="31"/>
        <v>2Q</v>
      </c>
      <c r="I173" s="68">
        <f t="shared" si="32"/>
        <v>66</v>
      </c>
      <c r="J173" s="68" t="str">
        <f t="shared" si="33"/>
        <v>10</v>
      </c>
      <c r="K173" s="68" t="str">
        <f t="shared" si="34"/>
        <v>02</v>
      </c>
      <c r="L173" s="68" t="str">
        <f t="shared" si="35"/>
        <v>00</v>
      </c>
      <c r="M173" s="68" t="str">
        <f t="shared" si="36"/>
        <v>00</v>
      </c>
      <c r="N173" s="68" t="str">
        <f t="shared" si="37"/>
        <v>00</v>
      </c>
      <c r="O173" s="81" t="str">
        <f t="shared" si="38"/>
        <v>Escavação, carga e transporte de material de 2ª categoria - DMT de 2.500 a 3.000 m - caminho de serviço pavimentado - com escavadeira e caminhão basculante de 14 m³ | Insumo principal: Caminhão basculante com capacidade de 14 m³ - 210 kW</v>
      </c>
    </row>
    <row r="174" spans="1:15" ht="93.75">
      <c r="A174" s="11"/>
      <c r="B174" s="79" t="s">
        <v>216</v>
      </c>
      <c r="C174" s="78" t="s">
        <v>456</v>
      </c>
      <c r="D174" s="66" t="str">
        <f>VLOOKUP(B174,CORRESPONDENCIA!$C$4:$F$2105,2,0)</f>
        <v>2.6.6</v>
      </c>
      <c r="E174" s="69" t="s">
        <v>651</v>
      </c>
      <c r="F174" s="70" t="s">
        <v>652</v>
      </c>
      <c r="G174" s="68" t="str">
        <f t="shared" si="39"/>
        <v>2Q  66  10  02  00  00  00</v>
      </c>
      <c r="H174" s="68" t="str">
        <f t="shared" si="31"/>
        <v>2Q</v>
      </c>
      <c r="I174" s="68">
        <f t="shared" si="32"/>
        <v>66</v>
      </c>
      <c r="J174" s="68" t="str">
        <f t="shared" si="33"/>
        <v>10</v>
      </c>
      <c r="K174" s="68" t="str">
        <f t="shared" si="34"/>
        <v>02</v>
      </c>
      <c r="L174" s="68" t="str">
        <f t="shared" si="35"/>
        <v>00</v>
      </c>
      <c r="M174" s="68" t="str">
        <f t="shared" si="36"/>
        <v>00</v>
      </c>
      <c r="N174" s="68" t="str">
        <f t="shared" si="37"/>
        <v>00</v>
      </c>
      <c r="O174" s="81" t="str">
        <f t="shared" si="38"/>
        <v>Escavação, carga e transporte de material de 2ª categoria - DMT de 200 a 400 m - caminho de serviço em leito natural - com escavadeira e caminhão basculante de 14 m³ | Insumo principal: Caminhão basculante com capacidade de 14 m³ - 210 kW</v>
      </c>
    </row>
    <row r="175" spans="1:15" ht="93.75">
      <c r="A175" s="11"/>
      <c r="B175" s="79" t="s">
        <v>217</v>
      </c>
      <c r="C175" s="78" t="s">
        <v>458</v>
      </c>
      <c r="D175" s="66" t="str">
        <f>VLOOKUP(B175,CORRESPONDENCIA!$C$4:$F$2105,2,0)</f>
        <v>2.6.6</v>
      </c>
      <c r="E175" s="69" t="s">
        <v>651</v>
      </c>
      <c r="F175" s="70" t="s">
        <v>652</v>
      </c>
      <c r="G175" s="68" t="str">
        <f t="shared" si="39"/>
        <v>2Q  66  10  02  00  00  00</v>
      </c>
      <c r="H175" s="68" t="str">
        <f t="shared" si="31"/>
        <v>2Q</v>
      </c>
      <c r="I175" s="68">
        <f t="shared" si="32"/>
        <v>66</v>
      </c>
      <c r="J175" s="68" t="str">
        <f t="shared" si="33"/>
        <v>10</v>
      </c>
      <c r="K175" s="68" t="str">
        <f t="shared" si="34"/>
        <v>02</v>
      </c>
      <c r="L175" s="68" t="str">
        <f t="shared" si="35"/>
        <v>00</v>
      </c>
      <c r="M175" s="68" t="str">
        <f t="shared" si="36"/>
        <v>00</v>
      </c>
      <c r="N175" s="68" t="str">
        <f t="shared" si="37"/>
        <v>00</v>
      </c>
      <c r="O175" s="81" t="str">
        <f t="shared" si="38"/>
        <v>Escavação, carga e transporte de material de 2ª categoria - DMT de 200 a 400 m - caminho de serviço em revestimento primário - com escavadeira e caminhão basculante de 14 m³ | Insumo principal: Caminhão basculante com capacidade de 14 m³ - 210 kW</v>
      </c>
    </row>
    <row r="176" spans="1:15" ht="93.75">
      <c r="A176" s="11"/>
      <c r="B176" s="79" t="s">
        <v>218</v>
      </c>
      <c r="C176" s="78" t="s">
        <v>460</v>
      </c>
      <c r="D176" s="66" t="str">
        <f>VLOOKUP(B176,CORRESPONDENCIA!$C$4:$F$2105,2,0)</f>
        <v>2.6.6</v>
      </c>
      <c r="E176" s="69" t="s">
        <v>651</v>
      </c>
      <c r="F176" s="70" t="s">
        <v>652</v>
      </c>
      <c r="G176" s="68" t="str">
        <f t="shared" si="39"/>
        <v>2Q  66  10  02  00  00  00</v>
      </c>
      <c r="H176" s="68" t="str">
        <f t="shared" si="31"/>
        <v>2Q</v>
      </c>
      <c r="I176" s="68">
        <f t="shared" si="32"/>
        <v>66</v>
      </c>
      <c r="J176" s="68" t="str">
        <f t="shared" si="33"/>
        <v>10</v>
      </c>
      <c r="K176" s="68" t="str">
        <f t="shared" si="34"/>
        <v>02</v>
      </c>
      <c r="L176" s="68" t="str">
        <f t="shared" si="35"/>
        <v>00</v>
      </c>
      <c r="M176" s="68" t="str">
        <f t="shared" si="36"/>
        <v>00</v>
      </c>
      <c r="N176" s="68" t="str">
        <f t="shared" si="37"/>
        <v>00</v>
      </c>
      <c r="O176" s="81" t="str">
        <f t="shared" si="38"/>
        <v>Escavação, carga e transporte de material de 2ª categoria - DMT de 200 a 400 m - caminho de serviço pavimentado - com escavadeira e caminhão basculante de 14 m³ | Insumo principal: Caminhão basculante com capacidade de 14 m³ - 210 kW</v>
      </c>
    </row>
    <row r="177" spans="1:15" ht="93.75">
      <c r="A177" s="11"/>
      <c r="B177" s="79" t="s">
        <v>219</v>
      </c>
      <c r="C177" s="78" t="s">
        <v>462</v>
      </c>
      <c r="D177" s="66" t="str">
        <f>VLOOKUP(B177,CORRESPONDENCIA!$C$4:$F$2105,2,0)</f>
        <v>2.6.6</v>
      </c>
      <c r="E177" s="69" t="s">
        <v>651</v>
      </c>
      <c r="F177" s="70" t="s">
        <v>652</v>
      </c>
      <c r="G177" s="68" t="str">
        <f t="shared" si="39"/>
        <v>2Q  66  10  02  00  00  00</v>
      </c>
      <c r="H177" s="68" t="str">
        <f t="shared" si="31"/>
        <v>2Q</v>
      </c>
      <c r="I177" s="68">
        <f t="shared" si="32"/>
        <v>66</v>
      </c>
      <c r="J177" s="68" t="str">
        <f t="shared" si="33"/>
        <v>10</v>
      </c>
      <c r="K177" s="68" t="str">
        <f t="shared" si="34"/>
        <v>02</v>
      </c>
      <c r="L177" s="68" t="str">
        <f t="shared" si="35"/>
        <v>00</v>
      </c>
      <c r="M177" s="68" t="str">
        <f t="shared" si="36"/>
        <v>00</v>
      </c>
      <c r="N177" s="68" t="str">
        <f t="shared" si="37"/>
        <v>00</v>
      </c>
      <c r="O177" s="81" t="str">
        <f t="shared" si="38"/>
        <v>Escavação, carga e transporte de material de 2ª categoria - DMT de 400 a 600 m - caminho de serviço em leito natural - com escavadeira e caminhão basculante de 14 m³ | Insumo principal: Caminhão basculante com capacidade de 14 m³ - 210 kW</v>
      </c>
    </row>
    <row r="178" spans="1:15" ht="93.75">
      <c r="A178" s="11"/>
      <c r="B178" s="79" t="s">
        <v>220</v>
      </c>
      <c r="C178" s="78" t="s">
        <v>464</v>
      </c>
      <c r="D178" s="66" t="str">
        <f>VLOOKUP(B178,CORRESPONDENCIA!$C$4:$F$2105,2,0)</f>
        <v>2.6.6</v>
      </c>
      <c r="E178" s="69" t="s">
        <v>651</v>
      </c>
      <c r="F178" s="70" t="s">
        <v>652</v>
      </c>
      <c r="G178" s="68" t="str">
        <f t="shared" si="39"/>
        <v>2Q  66  10  02  00  00  00</v>
      </c>
      <c r="H178" s="68" t="str">
        <f t="shared" si="31"/>
        <v>2Q</v>
      </c>
      <c r="I178" s="68">
        <f t="shared" si="32"/>
        <v>66</v>
      </c>
      <c r="J178" s="68" t="str">
        <f t="shared" si="33"/>
        <v>10</v>
      </c>
      <c r="K178" s="68" t="str">
        <f t="shared" si="34"/>
        <v>02</v>
      </c>
      <c r="L178" s="68" t="str">
        <f t="shared" si="35"/>
        <v>00</v>
      </c>
      <c r="M178" s="68" t="str">
        <f t="shared" si="36"/>
        <v>00</v>
      </c>
      <c r="N178" s="68" t="str">
        <f t="shared" si="37"/>
        <v>00</v>
      </c>
      <c r="O178" s="81" t="str">
        <f t="shared" si="38"/>
        <v>Escavação, carga e transporte de material de 2ª categoria - DMT de 400 a 600 m - caminho de serviço em revestimento primário - com escavadeira e caminhão basculante de 14 m³ | Insumo principal: Caminhão basculante com capacidade de 14 m³ - 210 kW</v>
      </c>
    </row>
    <row r="179" spans="1:15" ht="93.75">
      <c r="A179" s="11"/>
      <c r="B179" s="79" t="s">
        <v>221</v>
      </c>
      <c r="C179" s="78" t="s">
        <v>466</v>
      </c>
      <c r="D179" s="66" t="str">
        <f>VLOOKUP(B179,CORRESPONDENCIA!$C$4:$F$2105,2,0)</f>
        <v>2.6.6</v>
      </c>
      <c r="E179" s="69" t="s">
        <v>651</v>
      </c>
      <c r="F179" s="70" t="s">
        <v>652</v>
      </c>
      <c r="G179" s="68" t="str">
        <f t="shared" si="39"/>
        <v>2Q  66  10  02  00  00  00</v>
      </c>
      <c r="H179" s="68" t="str">
        <f t="shared" si="31"/>
        <v>2Q</v>
      </c>
      <c r="I179" s="68">
        <f t="shared" si="32"/>
        <v>66</v>
      </c>
      <c r="J179" s="68" t="str">
        <f t="shared" si="33"/>
        <v>10</v>
      </c>
      <c r="K179" s="68" t="str">
        <f t="shared" si="34"/>
        <v>02</v>
      </c>
      <c r="L179" s="68" t="str">
        <f t="shared" si="35"/>
        <v>00</v>
      </c>
      <c r="M179" s="68" t="str">
        <f t="shared" si="36"/>
        <v>00</v>
      </c>
      <c r="N179" s="68" t="str">
        <f t="shared" si="37"/>
        <v>00</v>
      </c>
      <c r="O179" s="81" t="str">
        <f t="shared" si="38"/>
        <v>Escavação, carga e transporte de material de 2ª categoria - DMT de 400 a 600 m - caminho de serviço pavimentado - com escavadeira e caminhão basculante de 14 m³ | Insumo principal: Caminhão basculante com capacidade de 14 m³ - 210 kW</v>
      </c>
    </row>
    <row r="180" spans="1:15" ht="93.75">
      <c r="A180" s="11"/>
      <c r="B180" s="79" t="s">
        <v>222</v>
      </c>
      <c r="C180" s="78" t="s">
        <v>468</v>
      </c>
      <c r="D180" s="66" t="str">
        <f>VLOOKUP(B180,CORRESPONDENCIA!$C$4:$F$2105,2,0)</f>
        <v>2.6.6</v>
      </c>
      <c r="E180" s="69" t="s">
        <v>651</v>
      </c>
      <c r="F180" s="70" t="s">
        <v>652</v>
      </c>
      <c r="G180" s="68" t="str">
        <f t="shared" si="39"/>
        <v>2Q  66  10  02  00  00  00</v>
      </c>
      <c r="H180" s="68" t="str">
        <f t="shared" si="31"/>
        <v>2Q</v>
      </c>
      <c r="I180" s="68">
        <f t="shared" si="32"/>
        <v>66</v>
      </c>
      <c r="J180" s="68" t="str">
        <f t="shared" si="33"/>
        <v>10</v>
      </c>
      <c r="K180" s="68" t="str">
        <f t="shared" si="34"/>
        <v>02</v>
      </c>
      <c r="L180" s="68" t="str">
        <f t="shared" si="35"/>
        <v>00</v>
      </c>
      <c r="M180" s="68" t="str">
        <f t="shared" si="36"/>
        <v>00</v>
      </c>
      <c r="N180" s="68" t="str">
        <f t="shared" si="37"/>
        <v>00</v>
      </c>
      <c r="O180" s="81" t="str">
        <f t="shared" si="38"/>
        <v>Escavação, carga e transporte de material de 2ª categoria - DMT de 50 a 200 m - caminho de serviço em leito natural - com escavadeira e caminhão basculante de 14 m³ | Insumo principal: Caminhão basculante com capacidade de 14 m³ - 210 kW</v>
      </c>
    </row>
    <row r="181" spans="1:15" ht="93.75">
      <c r="A181" s="11"/>
      <c r="B181" s="79" t="s">
        <v>223</v>
      </c>
      <c r="C181" s="78" t="s">
        <v>470</v>
      </c>
      <c r="D181" s="66" t="str">
        <f>VLOOKUP(B181,CORRESPONDENCIA!$C$4:$F$2105,2,0)</f>
        <v>2.6.6</v>
      </c>
      <c r="E181" s="69" t="s">
        <v>651</v>
      </c>
      <c r="F181" s="70" t="s">
        <v>652</v>
      </c>
      <c r="G181" s="68" t="str">
        <f t="shared" si="39"/>
        <v>2Q  66  10  02  00  00  00</v>
      </c>
      <c r="H181" s="68" t="str">
        <f t="shared" si="31"/>
        <v>2Q</v>
      </c>
      <c r="I181" s="68">
        <f t="shared" si="32"/>
        <v>66</v>
      </c>
      <c r="J181" s="68" t="str">
        <f t="shared" si="33"/>
        <v>10</v>
      </c>
      <c r="K181" s="68" t="str">
        <f t="shared" si="34"/>
        <v>02</v>
      </c>
      <c r="L181" s="68" t="str">
        <f t="shared" si="35"/>
        <v>00</v>
      </c>
      <c r="M181" s="68" t="str">
        <f t="shared" si="36"/>
        <v>00</v>
      </c>
      <c r="N181" s="68" t="str">
        <f t="shared" si="37"/>
        <v>00</v>
      </c>
      <c r="O181" s="81" t="str">
        <f t="shared" si="38"/>
        <v>Escavação, carga e transporte de material de 2ª categoria - DMT de 50 a 200 m - caminho de serviço em revestimento primário - com escavadeira e caminhão basculante de 14 m³ | Insumo principal: Caminhão basculante com capacidade de 14 m³ - 210 kW</v>
      </c>
    </row>
    <row r="182" spans="1:15" ht="93.75">
      <c r="A182" s="11"/>
      <c r="B182" s="79" t="s">
        <v>224</v>
      </c>
      <c r="C182" s="78" t="s">
        <v>472</v>
      </c>
      <c r="D182" s="66" t="str">
        <f>VLOOKUP(B182,CORRESPONDENCIA!$C$4:$F$2105,2,0)</f>
        <v>2.6.6</v>
      </c>
      <c r="E182" s="69" t="s">
        <v>651</v>
      </c>
      <c r="F182" s="70" t="s">
        <v>652</v>
      </c>
      <c r="G182" s="68" t="str">
        <f t="shared" si="39"/>
        <v>2Q  66  10  02  00  00  00</v>
      </c>
      <c r="H182" s="68" t="str">
        <f t="shared" si="31"/>
        <v>2Q</v>
      </c>
      <c r="I182" s="68">
        <f t="shared" si="32"/>
        <v>66</v>
      </c>
      <c r="J182" s="68" t="str">
        <f t="shared" si="33"/>
        <v>10</v>
      </c>
      <c r="K182" s="68" t="str">
        <f t="shared" si="34"/>
        <v>02</v>
      </c>
      <c r="L182" s="68" t="str">
        <f t="shared" si="35"/>
        <v>00</v>
      </c>
      <c r="M182" s="68" t="str">
        <f t="shared" si="36"/>
        <v>00</v>
      </c>
      <c r="N182" s="68" t="str">
        <f t="shared" si="37"/>
        <v>00</v>
      </c>
      <c r="O182" s="81" t="str">
        <f t="shared" si="38"/>
        <v>Escavação, carga e transporte de material de 2ª categoria - DMT de 50 a 200 m - caminho de serviço pavimentado - com escavadeira e caminhão basculante de 14 m³ | Insumo principal: Caminhão basculante com capacidade de 14 m³ - 210 kW</v>
      </c>
    </row>
    <row r="183" spans="1:15" ht="93.75">
      <c r="A183" s="11"/>
      <c r="B183" s="79" t="s">
        <v>225</v>
      </c>
      <c r="C183" s="78" t="s">
        <v>475</v>
      </c>
      <c r="D183" s="66" t="str">
        <f>VLOOKUP(B183,CORRESPONDENCIA!$C$4:$F$2105,2,0)</f>
        <v>2.6.6</v>
      </c>
      <c r="E183" s="69" t="s">
        <v>651</v>
      </c>
      <c r="F183" s="70" t="s">
        <v>652</v>
      </c>
      <c r="G183" s="68" t="str">
        <f t="shared" si="39"/>
        <v>2Q  66  10  02  00  00  00</v>
      </c>
      <c r="H183" s="68" t="str">
        <f t="shared" si="31"/>
        <v>2Q</v>
      </c>
      <c r="I183" s="68">
        <f t="shared" si="32"/>
        <v>66</v>
      </c>
      <c r="J183" s="68" t="str">
        <f t="shared" si="33"/>
        <v>10</v>
      </c>
      <c r="K183" s="68" t="str">
        <f t="shared" si="34"/>
        <v>02</v>
      </c>
      <c r="L183" s="68" t="str">
        <f t="shared" si="35"/>
        <v>00</v>
      </c>
      <c r="M183" s="68" t="str">
        <f t="shared" si="36"/>
        <v>00</v>
      </c>
      <c r="N183" s="68" t="str">
        <f t="shared" si="37"/>
        <v>00</v>
      </c>
      <c r="O183" s="81" t="str">
        <f t="shared" si="38"/>
        <v>Escavação, carga e transporte de material de 2ª categoria - DMT de 600 a 800 m - caminho de serviço em leito natural - com escavadeira e caminhão basculante de 14 m³ | Insumo principal: Caminhão basculante com capacidade de 14 m³ - 210 kW</v>
      </c>
    </row>
    <row r="184" spans="1:15" ht="93.75">
      <c r="A184" s="11"/>
      <c r="B184" s="79" t="s">
        <v>226</v>
      </c>
      <c r="C184" s="78" t="s">
        <v>477</v>
      </c>
      <c r="D184" s="66" t="str">
        <f>VLOOKUP(B184,CORRESPONDENCIA!$C$4:$F$2105,2,0)</f>
        <v>2.6.6</v>
      </c>
      <c r="E184" s="69" t="s">
        <v>651</v>
      </c>
      <c r="F184" s="70" t="s">
        <v>652</v>
      </c>
      <c r="G184" s="68" t="str">
        <f t="shared" si="39"/>
        <v>2Q  66  10  02  00  00  00</v>
      </c>
      <c r="H184" s="68" t="str">
        <f t="shared" si="31"/>
        <v>2Q</v>
      </c>
      <c r="I184" s="68">
        <f t="shared" si="32"/>
        <v>66</v>
      </c>
      <c r="J184" s="68" t="str">
        <f t="shared" si="33"/>
        <v>10</v>
      </c>
      <c r="K184" s="68" t="str">
        <f t="shared" si="34"/>
        <v>02</v>
      </c>
      <c r="L184" s="68" t="str">
        <f t="shared" si="35"/>
        <v>00</v>
      </c>
      <c r="M184" s="68" t="str">
        <f t="shared" si="36"/>
        <v>00</v>
      </c>
      <c r="N184" s="68" t="str">
        <f t="shared" si="37"/>
        <v>00</v>
      </c>
      <c r="O184" s="81" t="str">
        <f t="shared" si="38"/>
        <v>Escavação, carga e transporte de material de 2ª categoria - DMT de 600 a 800 m - caminho de serviço em revestimento primário - com escavadeira e caminhão basculante de 14 m³ | Insumo principal: Caminhão basculante com capacidade de 14 m³ - 210 kW</v>
      </c>
    </row>
    <row r="185" spans="1:15" ht="93.75">
      <c r="A185" s="11"/>
      <c r="B185" s="79" t="s">
        <v>227</v>
      </c>
      <c r="C185" s="78" t="s">
        <v>479</v>
      </c>
      <c r="D185" s="66" t="str">
        <f>VLOOKUP(B185,CORRESPONDENCIA!$C$4:$F$2105,2,0)</f>
        <v>2.6.6</v>
      </c>
      <c r="E185" s="69" t="s">
        <v>651</v>
      </c>
      <c r="F185" s="70" t="s">
        <v>652</v>
      </c>
      <c r="G185" s="68" t="str">
        <f t="shared" si="39"/>
        <v>2Q  66  10  02  00  00  00</v>
      </c>
      <c r="H185" s="68" t="str">
        <f t="shared" si="31"/>
        <v>2Q</v>
      </c>
      <c r="I185" s="68">
        <f t="shared" si="32"/>
        <v>66</v>
      </c>
      <c r="J185" s="68" t="str">
        <f t="shared" si="33"/>
        <v>10</v>
      </c>
      <c r="K185" s="68" t="str">
        <f t="shared" si="34"/>
        <v>02</v>
      </c>
      <c r="L185" s="68" t="str">
        <f t="shared" si="35"/>
        <v>00</v>
      </c>
      <c r="M185" s="68" t="str">
        <f t="shared" si="36"/>
        <v>00</v>
      </c>
      <c r="N185" s="68" t="str">
        <f t="shared" si="37"/>
        <v>00</v>
      </c>
      <c r="O185" s="81" t="str">
        <f t="shared" si="38"/>
        <v>Escavação, carga e transporte de material de 2ª categoria - DMT de 600 a 800 m - caminho de serviço pavimentado - com escavadeira e caminhão basculante de 14 m³ | Insumo principal: Caminhão basculante com capacidade de 14 m³ - 210 kW</v>
      </c>
    </row>
    <row r="186" spans="1:15" ht="93.75">
      <c r="A186" s="11"/>
      <c r="B186" s="79" t="s">
        <v>228</v>
      </c>
      <c r="C186" s="78" t="s">
        <v>481</v>
      </c>
      <c r="D186" s="66" t="str">
        <f>VLOOKUP(B186,CORRESPONDENCIA!$C$4:$F$2105,2,0)</f>
        <v>2.6.6</v>
      </c>
      <c r="E186" s="69" t="s">
        <v>651</v>
      </c>
      <c r="F186" s="70" t="s">
        <v>652</v>
      </c>
      <c r="G186" s="68" t="str">
        <f t="shared" si="39"/>
        <v>2Q  66  10  02  00  00  00</v>
      </c>
      <c r="H186" s="68" t="str">
        <f t="shared" si="31"/>
        <v>2Q</v>
      </c>
      <c r="I186" s="68">
        <f t="shared" si="32"/>
        <v>66</v>
      </c>
      <c r="J186" s="68" t="str">
        <f t="shared" si="33"/>
        <v>10</v>
      </c>
      <c r="K186" s="68" t="str">
        <f t="shared" si="34"/>
        <v>02</v>
      </c>
      <c r="L186" s="68" t="str">
        <f t="shared" si="35"/>
        <v>00</v>
      </c>
      <c r="M186" s="68" t="str">
        <f t="shared" si="36"/>
        <v>00</v>
      </c>
      <c r="N186" s="68" t="str">
        <f t="shared" si="37"/>
        <v>00</v>
      </c>
      <c r="O186" s="81" t="str">
        <f t="shared" si="38"/>
        <v>Escavação, carga e transporte de material de 2ª categoria - DMT de 800 a 1.000 m - caminho de serviço em leito natural - com escavadeira e caminhão basculante de 14 m³ | Insumo principal: Caminhão basculante com capacidade de 14 m³ - 210 kW</v>
      </c>
    </row>
    <row r="187" spans="1:15" ht="93.75">
      <c r="A187" s="11"/>
      <c r="B187" s="79" t="s">
        <v>229</v>
      </c>
      <c r="C187" s="78" t="s">
        <v>483</v>
      </c>
      <c r="D187" s="66" t="str">
        <f>VLOOKUP(B187,CORRESPONDENCIA!$C$4:$F$2105,2,0)</f>
        <v>2.6.6</v>
      </c>
      <c r="E187" s="69" t="s">
        <v>651</v>
      </c>
      <c r="F187" s="70" t="s">
        <v>652</v>
      </c>
      <c r="G187" s="68" t="str">
        <f t="shared" si="39"/>
        <v>2Q  66  10  02  00  00  00</v>
      </c>
      <c r="H187" s="68" t="str">
        <f t="shared" ref="H187:N191" si="40">H186</f>
        <v>2Q</v>
      </c>
      <c r="I187" s="68">
        <f t="shared" si="40"/>
        <v>66</v>
      </c>
      <c r="J187" s="68" t="str">
        <f t="shared" si="40"/>
        <v>10</v>
      </c>
      <c r="K187" s="68" t="str">
        <f t="shared" si="40"/>
        <v>02</v>
      </c>
      <c r="L187" s="68" t="str">
        <f t="shared" si="40"/>
        <v>00</v>
      </c>
      <c r="M187" s="68" t="str">
        <f t="shared" si="40"/>
        <v>00</v>
      </c>
      <c r="N187" s="68" t="str">
        <f t="shared" si="40"/>
        <v>00</v>
      </c>
      <c r="O187" s="81" t="str">
        <f t="shared" si="38"/>
        <v>Escavação, carga e transporte de material de 2ª categoria - DMT de 800 a 1.000 m - caminho de serviço em revestimento primário - com escavadeira e caminhão basculante de 14 m³ | Insumo principal: Caminhão basculante com capacidade de 14 m³ - 210 kW</v>
      </c>
    </row>
    <row r="188" spans="1:15" ht="93.75">
      <c r="A188" s="11"/>
      <c r="B188" s="79" t="s">
        <v>230</v>
      </c>
      <c r="C188" s="78" t="s">
        <v>485</v>
      </c>
      <c r="D188" s="66" t="str">
        <f>VLOOKUP(B188,CORRESPONDENCIA!$C$4:$F$2105,2,0)</f>
        <v>2.6.6</v>
      </c>
      <c r="E188" s="69" t="s">
        <v>651</v>
      </c>
      <c r="F188" s="70" t="s">
        <v>652</v>
      </c>
      <c r="G188" s="68" t="str">
        <f t="shared" si="39"/>
        <v>2Q  66  10  02  00  00  00</v>
      </c>
      <c r="H188" s="68" t="str">
        <f t="shared" si="40"/>
        <v>2Q</v>
      </c>
      <c r="I188" s="68">
        <f t="shared" si="40"/>
        <v>66</v>
      </c>
      <c r="J188" s="68" t="str">
        <f t="shared" si="40"/>
        <v>10</v>
      </c>
      <c r="K188" s="68" t="str">
        <f t="shared" si="40"/>
        <v>02</v>
      </c>
      <c r="L188" s="68" t="str">
        <f t="shared" si="40"/>
        <v>00</v>
      </c>
      <c r="M188" s="68" t="str">
        <f t="shared" si="40"/>
        <v>00</v>
      </c>
      <c r="N188" s="68" t="str">
        <f t="shared" si="40"/>
        <v>00</v>
      </c>
      <c r="O188" s="81" t="str">
        <f t="shared" si="38"/>
        <v>Escavação, carga e transporte de material de 2ª categoria - DMT de 800 a 1.000 m - caminho de serviço pavimentado - com escavadeira e caminhão basculante de 14 m³ | Insumo principal: Caminhão basculante com capacidade de 14 m³ - 210 kW</v>
      </c>
    </row>
    <row r="189" spans="1:15" ht="93.75">
      <c r="A189" s="11"/>
      <c r="B189" s="79" t="s">
        <v>231</v>
      </c>
      <c r="C189" s="78" t="s">
        <v>486</v>
      </c>
      <c r="D189" s="66" t="str">
        <f>VLOOKUP(B189,CORRESPONDENCIA!$C$4:$F$2105,2,0)</f>
        <v>2.6.6</v>
      </c>
      <c r="E189" s="69" t="s">
        <v>651</v>
      </c>
      <c r="F189" s="70" t="s">
        <v>652</v>
      </c>
      <c r="G189" s="68" t="str">
        <f t="shared" si="39"/>
        <v>2Q  66  10  02  00  00  00</v>
      </c>
      <c r="H189" s="68" t="str">
        <f t="shared" si="40"/>
        <v>2Q</v>
      </c>
      <c r="I189" s="68">
        <f t="shared" si="40"/>
        <v>66</v>
      </c>
      <c r="J189" s="68" t="str">
        <f t="shared" si="40"/>
        <v>10</v>
      </c>
      <c r="K189" s="68" t="str">
        <f t="shared" si="40"/>
        <v>02</v>
      </c>
      <c r="L189" s="68" t="str">
        <f t="shared" si="40"/>
        <v>00</v>
      </c>
      <c r="M189" s="68" t="str">
        <f t="shared" si="40"/>
        <v>00</v>
      </c>
      <c r="N189" s="68" t="str">
        <f t="shared" si="40"/>
        <v>00</v>
      </c>
      <c r="O189" s="81" t="str">
        <f t="shared" si="38"/>
        <v>Escavação, carga e transporte de material de 2ª categoria na distância de 3.000 m - caminho de serviço em leito natural - com escavadeira e caminhão basculante de 14 m³ | Insumo principal: Caminhão basculante com capacidade de 14 m³ - 210 kW</v>
      </c>
    </row>
    <row r="190" spans="1:15" ht="93.75">
      <c r="A190" s="11"/>
      <c r="B190" s="79" t="s">
        <v>232</v>
      </c>
      <c r="C190" s="78" t="s">
        <v>488</v>
      </c>
      <c r="D190" s="66" t="str">
        <f>VLOOKUP(B190,CORRESPONDENCIA!$C$4:$F$2105,2,0)</f>
        <v>2.6.6</v>
      </c>
      <c r="E190" s="69" t="s">
        <v>651</v>
      </c>
      <c r="F190" s="70" t="s">
        <v>652</v>
      </c>
      <c r="G190" s="68" t="str">
        <f t="shared" si="39"/>
        <v>2Q  66  10  02  00  00  00</v>
      </c>
      <c r="H190" s="68" t="str">
        <f t="shared" si="40"/>
        <v>2Q</v>
      </c>
      <c r="I190" s="68">
        <f t="shared" si="40"/>
        <v>66</v>
      </c>
      <c r="J190" s="68" t="str">
        <f t="shared" si="40"/>
        <v>10</v>
      </c>
      <c r="K190" s="68" t="str">
        <f t="shared" si="40"/>
        <v>02</v>
      </c>
      <c r="L190" s="68" t="str">
        <f t="shared" si="40"/>
        <v>00</v>
      </c>
      <c r="M190" s="68" t="str">
        <f t="shared" si="40"/>
        <v>00</v>
      </c>
      <c r="N190" s="68" t="str">
        <f t="shared" si="40"/>
        <v>00</v>
      </c>
      <c r="O190" s="81" t="str">
        <f t="shared" si="38"/>
        <v>Escavação, carga e transporte de material de 2ª categoria na distância de 3.000 m - caminho de serviço em revestimento primário - com escavadeira e caminhão basculante de 14 m³ | Insumo principal: Caminhão basculante com capacidade de 14 m³ - 210 kW</v>
      </c>
    </row>
    <row r="191" spans="1:15" ht="93.75">
      <c r="A191" s="11"/>
      <c r="B191" s="79" t="s">
        <v>233</v>
      </c>
      <c r="C191" s="78" t="s">
        <v>490</v>
      </c>
      <c r="D191" s="66" t="str">
        <f>VLOOKUP(B191,CORRESPONDENCIA!$C$4:$F$2105,2,0)</f>
        <v>2.6.6</v>
      </c>
      <c r="E191" s="69" t="s">
        <v>651</v>
      </c>
      <c r="F191" s="70" t="s">
        <v>652</v>
      </c>
      <c r="G191" s="68" t="str">
        <f t="shared" si="39"/>
        <v>2Q  66  10  02  00  00  00</v>
      </c>
      <c r="H191" s="68" t="str">
        <f t="shared" si="40"/>
        <v>2Q</v>
      </c>
      <c r="I191" s="68">
        <f t="shared" si="40"/>
        <v>66</v>
      </c>
      <c r="J191" s="68" t="str">
        <f t="shared" si="40"/>
        <v>10</v>
      </c>
      <c r="K191" s="68" t="str">
        <f t="shared" si="40"/>
        <v>02</v>
      </c>
      <c r="L191" s="68" t="str">
        <f t="shared" si="40"/>
        <v>00</v>
      </c>
      <c r="M191" s="68" t="str">
        <f t="shared" si="40"/>
        <v>00</v>
      </c>
      <c r="N191" s="68" t="str">
        <f t="shared" si="40"/>
        <v>00</v>
      </c>
      <c r="O191" s="81" t="str">
        <f t="shared" si="38"/>
        <v>Escavação, carga e transporte de material de 2ª categoria na distância de 3.000 m - caminho de serviço pavimentado - com escavadeira e caminhão basculante de 14 m³ | Insumo principal: Caminhão basculante com capacidade de 14 m³ - 210 kW</v>
      </c>
    </row>
    <row r="192" spans="1:15" ht="56.25">
      <c r="A192" s="11"/>
      <c r="B192" s="79" t="s">
        <v>328</v>
      </c>
      <c r="C192" s="78" t="s">
        <v>19</v>
      </c>
      <c r="D192" s="66" t="str">
        <f>VLOOKUP(B192,CORRESPONDENCIA!$C$4:$F$2105,2,0)</f>
        <v>2.6.7</v>
      </c>
      <c r="E192" s="69" t="s">
        <v>605</v>
      </c>
      <c r="F192" s="70" t="s">
        <v>606</v>
      </c>
      <c r="G192" s="68" t="str">
        <f>'insumos terrapl'!D3</f>
        <v>2Q  62  30  02  14  00  00</v>
      </c>
      <c r="H192" s="68" t="str">
        <f>'insumos terrapl'!E3</f>
        <v>2Q</v>
      </c>
      <c r="I192" s="68">
        <f>'insumos terrapl'!F3</f>
        <v>62</v>
      </c>
      <c r="J192" s="68">
        <f>'insumos terrapl'!G3</f>
        <v>30</v>
      </c>
      <c r="K192" s="68" t="str">
        <f>'insumos terrapl'!H3</f>
        <v>02</v>
      </c>
      <c r="L192" s="68" t="str">
        <f>'insumos terrapl'!I3</f>
        <v>14</v>
      </c>
      <c r="M192" s="68" t="str">
        <f>'insumos terrapl'!J3</f>
        <v>00</v>
      </c>
      <c r="N192" s="68" t="str">
        <f>'insumos terrapl'!K3</f>
        <v>00</v>
      </c>
      <c r="O192" s="81" t="str">
        <f t="shared" si="38"/>
        <v>Escavação e transporte de material de 3ª categoria - DMT de até 50 m | Insumo principal: Trator sobre esteiras com lâmina - 259 kW</v>
      </c>
    </row>
    <row r="193" spans="1:15" ht="93.75">
      <c r="A193" s="11"/>
      <c r="B193" s="79" t="s">
        <v>234</v>
      </c>
      <c r="C193" s="78" t="s">
        <v>492</v>
      </c>
      <c r="D193" s="66" t="str">
        <f>VLOOKUP(B193,CORRESPONDENCIA!$C$4:$F$2105,2,0)</f>
        <v>2.6.8</v>
      </c>
      <c r="E193" s="69" t="s">
        <v>659</v>
      </c>
      <c r="F193" s="70" t="s">
        <v>700</v>
      </c>
      <c r="G193" s="68" t="str">
        <f>'insumos terrapl'!D37</f>
        <v>2Q  66  10  02  00  00  00</v>
      </c>
      <c r="H193" s="68" t="str">
        <f>'insumos terrapl'!E37</f>
        <v>2Q</v>
      </c>
      <c r="I193" s="68">
        <f>'insumos terrapl'!F37</f>
        <v>66</v>
      </c>
      <c r="J193" s="68" t="str">
        <f>'insumos terrapl'!G37</f>
        <v>10</v>
      </c>
      <c r="K193" s="68" t="str">
        <f>'insumos terrapl'!H37</f>
        <v>02</v>
      </c>
      <c r="L193" s="68" t="str">
        <f>'insumos terrapl'!I37</f>
        <v>00</v>
      </c>
      <c r="M193" s="68" t="str">
        <f>'insumos terrapl'!J37</f>
        <v>00</v>
      </c>
      <c r="N193" s="68" t="str">
        <f>'insumos terrapl'!K37</f>
        <v>00</v>
      </c>
      <c r="O193" s="81" t="str">
        <f t="shared" si="38"/>
        <v>Escavação, carga e transporte de material de 3ª categoria - DMT de 1.000 a 1.200 m - caminho de serviço em leito natural com caminhão basculante de 12 m³ | Insumo principal: Caminhão basculante para rocha com capacidade de 12 m³ - 210 kW</v>
      </c>
    </row>
    <row r="194" spans="1:15" ht="93.75">
      <c r="A194" s="11"/>
      <c r="B194" s="79" t="s">
        <v>235</v>
      </c>
      <c r="C194" s="78" t="s">
        <v>493</v>
      </c>
      <c r="D194" s="66" t="str">
        <f>VLOOKUP(B194,CORRESPONDENCIA!$C$4:$F$2105,2,0)</f>
        <v>2.6.8</v>
      </c>
      <c r="E194" s="69" t="s">
        <v>659</v>
      </c>
      <c r="F194" s="70" t="s">
        <v>700</v>
      </c>
      <c r="G194" s="68" t="str">
        <f>G193</f>
        <v>2Q  66  10  02  00  00  00</v>
      </c>
      <c r="H194" s="68" t="str">
        <f t="shared" ref="H194:N209" si="41">H193</f>
        <v>2Q</v>
      </c>
      <c r="I194" s="68">
        <f t="shared" si="41"/>
        <v>66</v>
      </c>
      <c r="J194" s="68" t="str">
        <f t="shared" si="41"/>
        <v>10</v>
      </c>
      <c r="K194" s="68" t="str">
        <f t="shared" si="41"/>
        <v>02</v>
      </c>
      <c r="L194" s="68" t="str">
        <f t="shared" si="41"/>
        <v>00</v>
      </c>
      <c r="M194" s="68" t="str">
        <f t="shared" si="41"/>
        <v>00</v>
      </c>
      <c r="N194" s="68" t="str">
        <f t="shared" si="41"/>
        <v>00</v>
      </c>
      <c r="O194" s="81" t="str">
        <f t="shared" si="38"/>
        <v>Escavação, carga e transporte de material de 3ª categoria - DMT de 1.000 a 1.200 m - caminho de serviço em revestimento primário - com caminhão basculante de 12 m³ | Insumo principal: Caminhão basculante para rocha com capacidade de 12 m³ - 210 kW</v>
      </c>
    </row>
    <row r="195" spans="1:15" ht="93.75">
      <c r="A195" s="11"/>
      <c r="B195" s="79" t="s">
        <v>236</v>
      </c>
      <c r="C195" s="78" t="s">
        <v>494</v>
      </c>
      <c r="D195" s="66" t="str">
        <f>VLOOKUP(B195,CORRESPONDENCIA!$C$4:$F$2105,2,0)</f>
        <v>2.6.8</v>
      </c>
      <c r="E195" s="69" t="s">
        <v>659</v>
      </c>
      <c r="F195" s="70" t="s">
        <v>700</v>
      </c>
      <c r="G195" s="68" t="str">
        <f t="shared" ref="G195:G231" si="42">G194</f>
        <v>2Q  66  10  02  00  00  00</v>
      </c>
      <c r="H195" s="68" t="str">
        <f t="shared" si="41"/>
        <v>2Q</v>
      </c>
      <c r="I195" s="68">
        <f t="shared" si="41"/>
        <v>66</v>
      </c>
      <c r="J195" s="68" t="str">
        <f t="shared" si="41"/>
        <v>10</v>
      </c>
      <c r="K195" s="68" t="str">
        <f t="shared" si="41"/>
        <v>02</v>
      </c>
      <c r="L195" s="68" t="str">
        <f t="shared" si="41"/>
        <v>00</v>
      </c>
      <c r="M195" s="68" t="str">
        <f t="shared" si="41"/>
        <v>00</v>
      </c>
      <c r="N195" s="68" t="str">
        <f t="shared" si="41"/>
        <v>00</v>
      </c>
      <c r="O195" s="81" t="str">
        <f t="shared" si="38"/>
        <v>Escavação, carga e transporte de material de 3ª categoria - DMT de 1.000 a 1.200 m - caminho de serviço pavimentado - com caminhão basculante de 12 m³ | Insumo principal: Caminhão basculante para rocha com capacidade de 12 m³ - 210 kW</v>
      </c>
    </row>
    <row r="196" spans="1:15" ht="93.75">
      <c r="A196" s="11"/>
      <c r="B196" s="79" t="s">
        <v>237</v>
      </c>
      <c r="C196" s="78" t="s">
        <v>495</v>
      </c>
      <c r="D196" s="66" t="str">
        <f>VLOOKUP(B196,CORRESPONDENCIA!$C$4:$F$2105,2,0)</f>
        <v>2.6.8</v>
      </c>
      <c r="E196" s="69" t="s">
        <v>659</v>
      </c>
      <c r="F196" s="70" t="s">
        <v>700</v>
      </c>
      <c r="G196" s="68" t="str">
        <f t="shared" si="42"/>
        <v>2Q  66  10  02  00  00  00</v>
      </c>
      <c r="H196" s="68" t="str">
        <f t="shared" si="41"/>
        <v>2Q</v>
      </c>
      <c r="I196" s="68">
        <f t="shared" si="41"/>
        <v>66</v>
      </c>
      <c r="J196" s="68" t="str">
        <f t="shared" si="41"/>
        <v>10</v>
      </c>
      <c r="K196" s="68" t="str">
        <f t="shared" si="41"/>
        <v>02</v>
      </c>
      <c r="L196" s="68" t="str">
        <f t="shared" si="41"/>
        <v>00</v>
      </c>
      <c r="M196" s="68" t="str">
        <f t="shared" si="41"/>
        <v>00</v>
      </c>
      <c r="N196" s="68" t="str">
        <f t="shared" si="41"/>
        <v>00</v>
      </c>
      <c r="O196" s="81" t="str">
        <f t="shared" si="38"/>
        <v>Escavação, carga e transporte de material de 3ª categoria - DMT de 1.200 a 1.400 m - caminho de serviço em leito natural com caminhão basculante de 12 m³ | Insumo principal: Caminhão basculante para rocha com capacidade de 12 m³ - 210 kW</v>
      </c>
    </row>
    <row r="197" spans="1:15" ht="93.75">
      <c r="A197" s="11"/>
      <c r="B197" s="79" t="s">
        <v>238</v>
      </c>
      <c r="C197" s="78" t="s">
        <v>496</v>
      </c>
      <c r="D197" s="66" t="str">
        <f>VLOOKUP(B197,CORRESPONDENCIA!$C$4:$F$2105,2,0)</f>
        <v>2.6.8</v>
      </c>
      <c r="E197" s="69" t="s">
        <v>659</v>
      </c>
      <c r="F197" s="70" t="s">
        <v>700</v>
      </c>
      <c r="G197" s="68" t="str">
        <f t="shared" si="42"/>
        <v>2Q  66  10  02  00  00  00</v>
      </c>
      <c r="H197" s="68" t="str">
        <f t="shared" si="41"/>
        <v>2Q</v>
      </c>
      <c r="I197" s="68">
        <f t="shared" si="41"/>
        <v>66</v>
      </c>
      <c r="J197" s="68" t="str">
        <f t="shared" si="41"/>
        <v>10</v>
      </c>
      <c r="K197" s="68" t="str">
        <f t="shared" si="41"/>
        <v>02</v>
      </c>
      <c r="L197" s="68" t="str">
        <f t="shared" si="41"/>
        <v>00</v>
      </c>
      <c r="M197" s="68" t="str">
        <f t="shared" si="41"/>
        <v>00</v>
      </c>
      <c r="N197" s="68" t="str">
        <f t="shared" si="41"/>
        <v>00</v>
      </c>
      <c r="O197" s="81" t="str">
        <f t="shared" ref="O197:O260" si="43" xml:space="preserve"> C197 &amp; " | Insumo principal: " &amp; F197</f>
        <v>Escavação, carga e transporte de material de 3ª categoria - DMT de 1.200 a 1.400 m - caminho de serviço em revestimento primário - com caminhão basculante de 12 m³ | Insumo principal: Caminhão basculante para rocha com capacidade de 12 m³ - 210 kW</v>
      </c>
    </row>
    <row r="198" spans="1:15" ht="93.75">
      <c r="A198" s="11"/>
      <c r="B198" s="79" t="s">
        <v>239</v>
      </c>
      <c r="C198" s="78" t="s">
        <v>497</v>
      </c>
      <c r="D198" s="66" t="str">
        <f>VLOOKUP(B198,CORRESPONDENCIA!$C$4:$F$2105,2,0)</f>
        <v>2.6.8</v>
      </c>
      <c r="E198" s="69" t="s">
        <v>659</v>
      </c>
      <c r="F198" s="70" t="s">
        <v>700</v>
      </c>
      <c r="G198" s="68" t="str">
        <f t="shared" si="42"/>
        <v>2Q  66  10  02  00  00  00</v>
      </c>
      <c r="H198" s="68" t="str">
        <f t="shared" si="41"/>
        <v>2Q</v>
      </c>
      <c r="I198" s="68">
        <f t="shared" si="41"/>
        <v>66</v>
      </c>
      <c r="J198" s="68" t="str">
        <f t="shared" si="41"/>
        <v>10</v>
      </c>
      <c r="K198" s="68" t="str">
        <f t="shared" si="41"/>
        <v>02</v>
      </c>
      <c r="L198" s="68" t="str">
        <f t="shared" si="41"/>
        <v>00</v>
      </c>
      <c r="M198" s="68" t="str">
        <f t="shared" si="41"/>
        <v>00</v>
      </c>
      <c r="N198" s="68" t="str">
        <f t="shared" si="41"/>
        <v>00</v>
      </c>
      <c r="O198" s="81" t="str">
        <f t="shared" si="43"/>
        <v>Escavação, carga e transporte de material de 3ª categoria - DMT de 1.200 a 1.400 m - caminho de serviço pavimentado - com caminhão basculante de 12 m³ | Insumo principal: Caminhão basculante para rocha com capacidade de 12 m³ - 210 kW</v>
      </c>
    </row>
    <row r="199" spans="1:15" ht="93.75">
      <c r="A199" s="11"/>
      <c r="B199" s="79" t="s">
        <v>240</v>
      </c>
      <c r="C199" s="78" t="s">
        <v>498</v>
      </c>
      <c r="D199" s="66" t="str">
        <f>VLOOKUP(B199,CORRESPONDENCIA!$C$4:$F$2105,2,0)</f>
        <v>2.6.8</v>
      </c>
      <c r="E199" s="69" t="s">
        <v>659</v>
      </c>
      <c r="F199" s="70" t="s">
        <v>700</v>
      </c>
      <c r="G199" s="68" t="str">
        <f t="shared" si="42"/>
        <v>2Q  66  10  02  00  00  00</v>
      </c>
      <c r="H199" s="68" t="str">
        <f t="shared" si="41"/>
        <v>2Q</v>
      </c>
      <c r="I199" s="68">
        <f t="shared" si="41"/>
        <v>66</v>
      </c>
      <c r="J199" s="68" t="str">
        <f t="shared" si="41"/>
        <v>10</v>
      </c>
      <c r="K199" s="68" t="str">
        <f t="shared" si="41"/>
        <v>02</v>
      </c>
      <c r="L199" s="68" t="str">
        <f t="shared" si="41"/>
        <v>00</v>
      </c>
      <c r="M199" s="68" t="str">
        <f t="shared" si="41"/>
        <v>00</v>
      </c>
      <c r="N199" s="68" t="str">
        <f t="shared" si="41"/>
        <v>00</v>
      </c>
      <c r="O199" s="81" t="str">
        <f t="shared" si="43"/>
        <v>Escavação, carga e transporte de material de 3ª categoria - DMT de 1.400 a 1.600 m - caminho de serviço em leito natural com caminhão basculante de 12 m³ | Insumo principal: Caminhão basculante para rocha com capacidade de 12 m³ - 210 kW</v>
      </c>
    </row>
    <row r="200" spans="1:15" ht="93.75">
      <c r="A200" s="11"/>
      <c r="B200" s="79" t="s">
        <v>241</v>
      </c>
      <c r="C200" s="78" t="s">
        <v>499</v>
      </c>
      <c r="D200" s="66" t="str">
        <f>VLOOKUP(B200,CORRESPONDENCIA!$C$4:$F$2105,2,0)</f>
        <v>2.6.8</v>
      </c>
      <c r="E200" s="69" t="s">
        <v>659</v>
      </c>
      <c r="F200" s="70" t="s">
        <v>700</v>
      </c>
      <c r="G200" s="68" t="str">
        <f t="shared" si="42"/>
        <v>2Q  66  10  02  00  00  00</v>
      </c>
      <c r="H200" s="68" t="str">
        <f t="shared" si="41"/>
        <v>2Q</v>
      </c>
      <c r="I200" s="68">
        <f t="shared" si="41"/>
        <v>66</v>
      </c>
      <c r="J200" s="68" t="str">
        <f t="shared" si="41"/>
        <v>10</v>
      </c>
      <c r="K200" s="68" t="str">
        <f t="shared" si="41"/>
        <v>02</v>
      </c>
      <c r="L200" s="68" t="str">
        <f t="shared" si="41"/>
        <v>00</v>
      </c>
      <c r="M200" s="68" t="str">
        <f t="shared" si="41"/>
        <v>00</v>
      </c>
      <c r="N200" s="68" t="str">
        <f t="shared" si="41"/>
        <v>00</v>
      </c>
      <c r="O200" s="81" t="str">
        <f t="shared" si="43"/>
        <v>Escavação, carga e transporte de material de 3ª categoria - DMT de 1.400 a 1.600 m - caminho de serviço em revestimento primário - com caminhão basculante de 12 m³ | Insumo principal: Caminhão basculante para rocha com capacidade de 12 m³ - 210 kW</v>
      </c>
    </row>
    <row r="201" spans="1:15" ht="93.75">
      <c r="A201" s="11"/>
      <c r="B201" s="79" t="s">
        <v>242</v>
      </c>
      <c r="C201" s="78" t="s">
        <v>500</v>
      </c>
      <c r="D201" s="66" t="str">
        <f>VLOOKUP(B201,CORRESPONDENCIA!$C$4:$F$2105,2,0)</f>
        <v>2.6.8</v>
      </c>
      <c r="E201" s="69" t="s">
        <v>659</v>
      </c>
      <c r="F201" s="70" t="s">
        <v>700</v>
      </c>
      <c r="G201" s="68" t="str">
        <f t="shared" si="42"/>
        <v>2Q  66  10  02  00  00  00</v>
      </c>
      <c r="H201" s="68" t="str">
        <f t="shared" si="41"/>
        <v>2Q</v>
      </c>
      <c r="I201" s="68">
        <f t="shared" si="41"/>
        <v>66</v>
      </c>
      <c r="J201" s="68" t="str">
        <f t="shared" si="41"/>
        <v>10</v>
      </c>
      <c r="K201" s="68" t="str">
        <f t="shared" si="41"/>
        <v>02</v>
      </c>
      <c r="L201" s="68" t="str">
        <f t="shared" si="41"/>
        <v>00</v>
      </c>
      <c r="M201" s="68" t="str">
        <f t="shared" si="41"/>
        <v>00</v>
      </c>
      <c r="N201" s="68" t="str">
        <f t="shared" si="41"/>
        <v>00</v>
      </c>
      <c r="O201" s="81" t="str">
        <f t="shared" si="43"/>
        <v>Escavação, carga e transporte de material de 3ª categoria - DMT de 1.400 a 1.600 m - caminho de serviço pavimentado - com caminhão basculante de 12 m³ | Insumo principal: Caminhão basculante para rocha com capacidade de 12 m³ - 210 kW</v>
      </c>
    </row>
    <row r="202" spans="1:15" ht="93.75">
      <c r="A202" s="11"/>
      <c r="B202" s="79" t="s">
        <v>243</v>
      </c>
      <c r="C202" s="78" t="s">
        <v>501</v>
      </c>
      <c r="D202" s="66" t="str">
        <f>VLOOKUP(B202,CORRESPONDENCIA!$C$4:$F$2105,2,0)</f>
        <v>2.6.8</v>
      </c>
      <c r="E202" s="69" t="s">
        <v>659</v>
      </c>
      <c r="F202" s="70" t="s">
        <v>700</v>
      </c>
      <c r="G202" s="68" t="str">
        <f t="shared" si="42"/>
        <v>2Q  66  10  02  00  00  00</v>
      </c>
      <c r="H202" s="68" t="str">
        <f t="shared" si="41"/>
        <v>2Q</v>
      </c>
      <c r="I202" s="68">
        <f t="shared" si="41"/>
        <v>66</v>
      </c>
      <c r="J202" s="68" t="str">
        <f t="shared" si="41"/>
        <v>10</v>
      </c>
      <c r="K202" s="68" t="str">
        <f t="shared" si="41"/>
        <v>02</v>
      </c>
      <c r="L202" s="68" t="str">
        <f t="shared" si="41"/>
        <v>00</v>
      </c>
      <c r="M202" s="68" t="str">
        <f t="shared" si="41"/>
        <v>00</v>
      </c>
      <c r="N202" s="68" t="str">
        <f t="shared" si="41"/>
        <v>00</v>
      </c>
      <c r="O202" s="81" t="str">
        <f t="shared" si="43"/>
        <v>Escavação, carga e transporte de material de 3ª categoria - DMT de 1.600 a 1.800 m - caminho de serviço em leito natural com caminhão basculante de 12 m³ | Insumo principal: Caminhão basculante para rocha com capacidade de 12 m³ - 210 kW</v>
      </c>
    </row>
    <row r="203" spans="1:15" ht="93.75">
      <c r="A203" s="11"/>
      <c r="B203" s="79" t="s">
        <v>244</v>
      </c>
      <c r="C203" s="78" t="s">
        <v>502</v>
      </c>
      <c r="D203" s="66" t="str">
        <f>VLOOKUP(B203,CORRESPONDENCIA!$C$4:$F$2105,2,0)</f>
        <v>2.6.8</v>
      </c>
      <c r="E203" s="69" t="s">
        <v>659</v>
      </c>
      <c r="F203" s="70" t="s">
        <v>700</v>
      </c>
      <c r="G203" s="68" t="str">
        <f t="shared" si="42"/>
        <v>2Q  66  10  02  00  00  00</v>
      </c>
      <c r="H203" s="68" t="str">
        <f t="shared" si="41"/>
        <v>2Q</v>
      </c>
      <c r="I203" s="68">
        <f t="shared" si="41"/>
        <v>66</v>
      </c>
      <c r="J203" s="68" t="str">
        <f t="shared" si="41"/>
        <v>10</v>
      </c>
      <c r="K203" s="68" t="str">
        <f t="shared" si="41"/>
        <v>02</v>
      </c>
      <c r="L203" s="68" t="str">
        <f t="shared" si="41"/>
        <v>00</v>
      </c>
      <c r="M203" s="68" t="str">
        <f t="shared" si="41"/>
        <v>00</v>
      </c>
      <c r="N203" s="68" t="str">
        <f t="shared" si="41"/>
        <v>00</v>
      </c>
      <c r="O203" s="81" t="str">
        <f t="shared" si="43"/>
        <v>Escavação, carga e transporte de material de 3ª categoria - DMT de 1.600 a 1.800 m - caminho de serviço em revestimento primário - com caminhão basculante de 12 m³ | Insumo principal: Caminhão basculante para rocha com capacidade de 12 m³ - 210 kW</v>
      </c>
    </row>
    <row r="204" spans="1:15" ht="93.75">
      <c r="A204" s="11"/>
      <c r="B204" s="79" t="s">
        <v>245</v>
      </c>
      <c r="C204" s="78" t="s">
        <v>503</v>
      </c>
      <c r="D204" s="66" t="str">
        <f>VLOOKUP(B204,CORRESPONDENCIA!$C$4:$F$2105,2,0)</f>
        <v>2.6.8</v>
      </c>
      <c r="E204" s="69" t="s">
        <v>659</v>
      </c>
      <c r="F204" s="70" t="s">
        <v>700</v>
      </c>
      <c r="G204" s="68" t="str">
        <f t="shared" si="42"/>
        <v>2Q  66  10  02  00  00  00</v>
      </c>
      <c r="H204" s="68" t="str">
        <f t="shared" si="41"/>
        <v>2Q</v>
      </c>
      <c r="I204" s="68">
        <f t="shared" si="41"/>
        <v>66</v>
      </c>
      <c r="J204" s="68" t="str">
        <f t="shared" si="41"/>
        <v>10</v>
      </c>
      <c r="K204" s="68" t="str">
        <f t="shared" si="41"/>
        <v>02</v>
      </c>
      <c r="L204" s="68" t="str">
        <f t="shared" si="41"/>
        <v>00</v>
      </c>
      <c r="M204" s="68" t="str">
        <f t="shared" si="41"/>
        <v>00</v>
      </c>
      <c r="N204" s="68" t="str">
        <f t="shared" si="41"/>
        <v>00</v>
      </c>
      <c r="O204" s="81" t="str">
        <f t="shared" si="43"/>
        <v>Escavação, carga e transporte de material de 3ª categoria - DMT de 1.600 a 1.800 m - caminho de serviço pavimentado - com caminhão basculante de 12 m³ | Insumo principal: Caminhão basculante para rocha com capacidade de 12 m³ - 210 kW</v>
      </c>
    </row>
    <row r="205" spans="1:15" ht="93.75">
      <c r="A205" s="11"/>
      <c r="B205" s="79" t="s">
        <v>246</v>
      </c>
      <c r="C205" s="78" t="s">
        <v>504</v>
      </c>
      <c r="D205" s="66" t="str">
        <f>VLOOKUP(B205,CORRESPONDENCIA!$C$4:$F$2105,2,0)</f>
        <v>2.6.8</v>
      </c>
      <c r="E205" s="69" t="s">
        <v>659</v>
      </c>
      <c r="F205" s="70" t="s">
        <v>700</v>
      </c>
      <c r="G205" s="68" t="str">
        <f t="shared" si="42"/>
        <v>2Q  66  10  02  00  00  00</v>
      </c>
      <c r="H205" s="68" t="str">
        <f t="shared" si="41"/>
        <v>2Q</v>
      </c>
      <c r="I205" s="68">
        <f t="shared" si="41"/>
        <v>66</v>
      </c>
      <c r="J205" s="68" t="str">
        <f t="shared" si="41"/>
        <v>10</v>
      </c>
      <c r="K205" s="68" t="str">
        <f t="shared" si="41"/>
        <v>02</v>
      </c>
      <c r="L205" s="68" t="str">
        <f t="shared" si="41"/>
        <v>00</v>
      </c>
      <c r="M205" s="68" t="str">
        <f t="shared" si="41"/>
        <v>00</v>
      </c>
      <c r="N205" s="68" t="str">
        <f t="shared" si="41"/>
        <v>00</v>
      </c>
      <c r="O205" s="81" t="str">
        <f t="shared" si="43"/>
        <v>Escavação, carga e transporte de material de 3ª categoria - DMT de 1.800 a 2.000 m - caminho de serviço em leito natural com caminhão basculante de 12 m³ | Insumo principal: Caminhão basculante para rocha com capacidade de 12 m³ - 210 kW</v>
      </c>
    </row>
    <row r="206" spans="1:15" ht="93.75">
      <c r="A206" s="11"/>
      <c r="B206" s="79" t="s">
        <v>247</v>
      </c>
      <c r="C206" s="78" t="s">
        <v>505</v>
      </c>
      <c r="D206" s="66" t="str">
        <f>VLOOKUP(B206,CORRESPONDENCIA!$C$4:$F$2105,2,0)</f>
        <v>2.6.8</v>
      </c>
      <c r="E206" s="69" t="s">
        <v>659</v>
      </c>
      <c r="F206" s="70" t="s">
        <v>700</v>
      </c>
      <c r="G206" s="68" t="str">
        <f t="shared" si="42"/>
        <v>2Q  66  10  02  00  00  00</v>
      </c>
      <c r="H206" s="68" t="str">
        <f t="shared" si="41"/>
        <v>2Q</v>
      </c>
      <c r="I206" s="68">
        <f t="shared" si="41"/>
        <v>66</v>
      </c>
      <c r="J206" s="68" t="str">
        <f t="shared" si="41"/>
        <v>10</v>
      </c>
      <c r="K206" s="68" t="str">
        <f t="shared" si="41"/>
        <v>02</v>
      </c>
      <c r="L206" s="68" t="str">
        <f t="shared" si="41"/>
        <v>00</v>
      </c>
      <c r="M206" s="68" t="str">
        <f t="shared" si="41"/>
        <v>00</v>
      </c>
      <c r="N206" s="68" t="str">
        <f t="shared" si="41"/>
        <v>00</v>
      </c>
      <c r="O206" s="81" t="str">
        <f t="shared" si="43"/>
        <v>Escavação, carga e transporte de material de 3ª categoria - DMT de 1.800 a 2.000 m - caminho de serviço em revestimento primário - com caminhão basculante de 12 m³ | Insumo principal: Caminhão basculante para rocha com capacidade de 12 m³ - 210 kW</v>
      </c>
    </row>
    <row r="207" spans="1:15" ht="93.75">
      <c r="A207" s="11"/>
      <c r="B207" s="79" t="s">
        <v>248</v>
      </c>
      <c r="C207" s="78" t="s">
        <v>506</v>
      </c>
      <c r="D207" s="66" t="str">
        <f>VLOOKUP(B207,CORRESPONDENCIA!$C$4:$F$2105,2,0)</f>
        <v>2.6.8</v>
      </c>
      <c r="E207" s="69" t="s">
        <v>659</v>
      </c>
      <c r="F207" s="70" t="s">
        <v>700</v>
      </c>
      <c r="G207" s="68" t="str">
        <f t="shared" si="42"/>
        <v>2Q  66  10  02  00  00  00</v>
      </c>
      <c r="H207" s="68" t="str">
        <f t="shared" si="41"/>
        <v>2Q</v>
      </c>
      <c r="I207" s="68">
        <f t="shared" si="41"/>
        <v>66</v>
      </c>
      <c r="J207" s="68" t="str">
        <f t="shared" si="41"/>
        <v>10</v>
      </c>
      <c r="K207" s="68" t="str">
        <f t="shared" si="41"/>
        <v>02</v>
      </c>
      <c r="L207" s="68" t="str">
        <f t="shared" si="41"/>
        <v>00</v>
      </c>
      <c r="M207" s="68" t="str">
        <f t="shared" si="41"/>
        <v>00</v>
      </c>
      <c r="N207" s="68" t="str">
        <f t="shared" si="41"/>
        <v>00</v>
      </c>
      <c r="O207" s="81" t="str">
        <f t="shared" si="43"/>
        <v>Escavação, carga e transporte de material de 3ª categoria - DMT de 1.800 a 2.000 m - caminho de serviço pavimentado - com caminhão basculante de 12 m³ | Insumo principal: Caminhão basculante para rocha com capacidade de 12 m³ - 210 kW</v>
      </c>
    </row>
    <row r="208" spans="1:15" ht="93.75">
      <c r="A208" s="11"/>
      <c r="B208" s="79" t="s">
        <v>249</v>
      </c>
      <c r="C208" s="78" t="s">
        <v>507</v>
      </c>
      <c r="D208" s="66" t="str">
        <f>VLOOKUP(B208,CORRESPONDENCIA!$C$4:$F$2105,2,0)</f>
        <v>2.6.8</v>
      </c>
      <c r="E208" s="69" t="s">
        <v>659</v>
      </c>
      <c r="F208" s="70" t="s">
        <v>700</v>
      </c>
      <c r="G208" s="68" t="str">
        <f t="shared" si="42"/>
        <v>2Q  66  10  02  00  00  00</v>
      </c>
      <c r="H208" s="68" t="str">
        <f t="shared" si="41"/>
        <v>2Q</v>
      </c>
      <c r="I208" s="68">
        <f t="shared" si="41"/>
        <v>66</v>
      </c>
      <c r="J208" s="68" t="str">
        <f t="shared" si="41"/>
        <v>10</v>
      </c>
      <c r="K208" s="68" t="str">
        <f t="shared" si="41"/>
        <v>02</v>
      </c>
      <c r="L208" s="68" t="str">
        <f t="shared" si="41"/>
        <v>00</v>
      </c>
      <c r="M208" s="68" t="str">
        <f t="shared" si="41"/>
        <v>00</v>
      </c>
      <c r="N208" s="68" t="str">
        <f t="shared" si="41"/>
        <v>00</v>
      </c>
      <c r="O208" s="81" t="str">
        <f t="shared" si="43"/>
        <v>Escavação, carga e transporte de material de 3ª categoria - DMT de 2.000 a 2.500 m - caminho de serviço em leito natural com caminhão basculante de 12 m³ | Insumo principal: Caminhão basculante para rocha com capacidade de 12 m³ - 210 kW</v>
      </c>
    </row>
    <row r="209" spans="1:15" ht="93.75">
      <c r="A209" s="11"/>
      <c r="B209" s="79" t="s">
        <v>250</v>
      </c>
      <c r="C209" s="78" t="s">
        <v>508</v>
      </c>
      <c r="D209" s="66" t="str">
        <f>VLOOKUP(B209,CORRESPONDENCIA!$C$4:$F$2105,2,0)</f>
        <v>2.6.8</v>
      </c>
      <c r="E209" s="69" t="s">
        <v>659</v>
      </c>
      <c r="F209" s="70" t="s">
        <v>700</v>
      </c>
      <c r="G209" s="68" t="str">
        <f t="shared" si="42"/>
        <v>2Q  66  10  02  00  00  00</v>
      </c>
      <c r="H209" s="68" t="str">
        <f t="shared" si="41"/>
        <v>2Q</v>
      </c>
      <c r="I209" s="68">
        <f t="shared" si="41"/>
        <v>66</v>
      </c>
      <c r="J209" s="68" t="str">
        <f t="shared" si="41"/>
        <v>10</v>
      </c>
      <c r="K209" s="68" t="str">
        <f t="shared" si="41"/>
        <v>02</v>
      </c>
      <c r="L209" s="68" t="str">
        <f t="shared" si="41"/>
        <v>00</v>
      </c>
      <c r="M209" s="68" t="str">
        <f t="shared" si="41"/>
        <v>00</v>
      </c>
      <c r="N209" s="68" t="str">
        <f t="shared" si="41"/>
        <v>00</v>
      </c>
      <c r="O209" s="81" t="str">
        <f t="shared" si="43"/>
        <v>Escavação, carga e transporte de material de 3ª categoria - DMT de 2.000 a 2.500 m - caminho de serviço em revestimento primário - com caminhão basculante de 12 m³ | Insumo principal: Caminhão basculante para rocha com capacidade de 12 m³ - 210 kW</v>
      </c>
    </row>
    <row r="210" spans="1:15" ht="93.75">
      <c r="A210" s="11"/>
      <c r="B210" s="79" t="s">
        <v>251</v>
      </c>
      <c r="C210" s="78" t="s">
        <v>509</v>
      </c>
      <c r="D210" s="66" t="str">
        <f>VLOOKUP(B210,CORRESPONDENCIA!$C$4:$F$2105,2,0)</f>
        <v>2.6.8</v>
      </c>
      <c r="E210" s="69" t="s">
        <v>659</v>
      </c>
      <c r="F210" s="70" t="s">
        <v>700</v>
      </c>
      <c r="G210" s="68" t="str">
        <f t="shared" si="42"/>
        <v>2Q  66  10  02  00  00  00</v>
      </c>
      <c r="H210" s="68" t="str">
        <f t="shared" ref="H210:H231" si="44">H209</f>
        <v>2Q</v>
      </c>
      <c r="I210" s="68">
        <f t="shared" ref="I210:I231" si="45">I209</f>
        <v>66</v>
      </c>
      <c r="J210" s="68" t="str">
        <f t="shared" ref="J210:J231" si="46">J209</f>
        <v>10</v>
      </c>
      <c r="K210" s="68" t="str">
        <f t="shared" ref="K210:K231" si="47">K209</f>
        <v>02</v>
      </c>
      <c r="L210" s="68" t="str">
        <f t="shared" ref="L210:L231" si="48">L209</f>
        <v>00</v>
      </c>
      <c r="M210" s="68" t="str">
        <f t="shared" ref="M210:M231" si="49">M209</f>
        <v>00</v>
      </c>
      <c r="N210" s="68" t="str">
        <f t="shared" ref="N210:N231" si="50">N209</f>
        <v>00</v>
      </c>
      <c r="O210" s="81" t="str">
        <f t="shared" si="43"/>
        <v>Escavação, carga e transporte de material de 3ª categoria - DMT de 2.000 a 2.500 m - caminho de serviço pavimentado - com caminhão basculante de 12 m³ | Insumo principal: Caminhão basculante para rocha com capacidade de 12 m³ - 210 kW</v>
      </c>
    </row>
    <row r="211" spans="1:15" ht="93.75">
      <c r="A211" s="11"/>
      <c r="B211" s="79" t="s">
        <v>252</v>
      </c>
      <c r="C211" s="78" t="s">
        <v>510</v>
      </c>
      <c r="D211" s="66" t="str">
        <f>VLOOKUP(B211,CORRESPONDENCIA!$C$4:$F$2105,2,0)</f>
        <v>2.6.8</v>
      </c>
      <c r="E211" s="69" t="s">
        <v>659</v>
      </c>
      <c r="F211" s="70" t="s">
        <v>700</v>
      </c>
      <c r="G211" s="68" t="str">
        <f t="shared" si="42"/>
        <v>2Q  66  10  02  00  00  00</v>
      </c>
      <c r="H211" s="68" t="str">
        <f t="shared" si="44"/>
        <v>2Q</v>
      </c>
      <c r="I211" s="68">
        <f t="shared" si="45"/>
        <v>66</v>
      </c>
      <c r="J211" s="68" t="str">
        <f t="shared" si="46"/>
        <v>10</v>
      </c>
      <c r="K211" s="68" t="str">
        <f t="shared" si="47"/>
        <v>02</v>
      </c>
      <c r="L211" s="68" t="str">
        <f t="shared" si="48"/>
        <v>00</v>
      </c>
      <c r="M211" s="68" t="str">
        <f t="shared" si="49"/>
        <v>00</v>
      </c>
      <c r="N211" s="68" t="str">
        <f t="shared" si="50"/>
        <v>00</v>
      </c>
      <c r="O211" s="81" t="str">
        <f t="shared" si="43"/>
        <v>Escavação, carga e transporte de material de 3ª categoria - DMT de 2.500 a 3.000 m - caminho de serviço em leito natural com caminhão basculante de 12 m³ | Insumo principal: Caminhão basculante para rocha com capacidade de 12 m³ - 210 kW</v>
      </c>
    </row>
    <row r="212" spans="1:15" ht="93.75">
      <c r="A212" s="11"/>
      <c r="B212" s="79" t="s">
        <v>253</v>
      </c>
      <c r="C212" s="78" t="s">
        <v>511</v>
      </c>
      <c r="D212" s="66" t="str">
        <f>VLOOKUP(B212,CORRESPONDENCIA!$C$4:$F$2105,2,0)</f>
        <v>2.6.8</v>
      </c>
      <c r="E212" s="69" t="s">
        <v>659</v>
      </c>
      <c r="F212" s="70" t="s">
        <v>700</v>
      </c>
      <c r="G212" s="68" t="str">
        <f t="shared" si="42"/>
        <v>2Q  66  10  02  00  00  00</v>
      </c>
      <c r="H212" s="68" t="str">
        <f t="shared" si="44"/>
        <v>2Q</v>
      </c>
      <c r="I212" s="68">
        <f t="shared" si="45"/>
        <v>66</v>
      </c>
      <c r="J212" s="68" t="str">
        <f t="shared" si="46"/>
        <v>10</v>
      </c>
      <c r="K212" s="68" t="str">
        <f t="shared" si="47"/>
        <v>02</v>
      </c>
      <c r="L212" s="68" t="str">
        <f t="shared" si="48"/>
        <v>00</v>
      </c>
      <c r="M212" s="68" t="str">
        <f t="shared" si="49"/>
        <v>00</v>
      </c>
      <c r="N212" s="68" t="str">
        <f t="shared" si="50"/>
        <v>00</v>
      </c>
      <c r="O212" s="81" t="str">
        <f t="shared" si="43"/>
        <v>Escavação, carga e transporte de material de 3ª categoria - DMT de 2.500 a 3.000 m - caminho de serviço em revestimento primário - com caminhão basculante de 12 m³ | Insumo principal: Caminhão basculante para rocha com capacidade de 12 m³ - 210 kW</v>
      </c>
    </row>
    <row r="213" spans="1:15" ht="93.75">
      <c r="A213" s="11"/>
      <c r="B213" s="79" t="s">
        <v>254</v>
      </c>
      <c r="C213" s="78" t="s">
        <v>512</v>
      </c>
      <c r="D213" s="66" t="str">
        <f>VLOOKUP(B213,CORRESPONDENCIA!$C$4:$F$2105,2,0)</f>
        <v>2.6.8</v>
      </c>
      <c r="E213" s="69" t="s">
        <v>659</v>
      </c>
      <c r="F213" s="70" t="s">
        <v>700</v>
      </c>
      <c r="G213" s="68" t="str">
        <f t="shared" si="42"/>
        <v>2Q  66  10  02  00  00  00</v>
      </c>
      <c r="H213" s="68" t="str">
        <f t="shared" si="44"/>
        <v>2Q</v>
      </c>
      <c r="I213" s="68">
        <f t="shared" si="45"/>
        <v>66</v>
      </c>
      <c r="J213" s="68" t="str">
        <f t="shared" si="46"/>
        <v>10</v>
      </c>
      <c r="K213" s="68" t="str">
        <f t="shared" si="47"/>
        <v>02</v>
      </c>
      <c r="L213" s="68" t="str">
        <f t="shared" si="48"/>
        <v>00</v>
      </c>
      <c r="M213" s="68" t="str">
        <f t="shared" si="49"/>
        <v>00</v>
      </c>
      <c r="N213" s="68" t="str">
        <f t="shared" si="50"/>
        <v>00</v>
      </c>
      <c r="O213" s="81" t="str">
        <f t="shared" si="43"/>
        <v>Escavação, carga e transporte de material de 3ª categoria - DMT de 2.500 a 3.000 m - caminho de serviço pavimentado - com caminhão basculante de 12 m³ | Insumo principal: Caminhão basculante para rocha com capacidade de 12 m³ - 210 kW</v>
      </c>
    </row>
    <row r="214" spans="1:15" ht="93.75">
      <c r="A214" s="11"/>
      <c r="B214" s="79" t="s">
        <v>255</v>
      </c>
      <c r="C214" s="78" t="s">
        <v>513</v>
      </c>
      <c r="D214" s="66" t="str">
        <f>VLOOKUP(B214,CORRESPONDENCIA!$C$4:$F$2105,2,0)</f>
        <v>2.6.8</v>
      </c>
      <c r="E214" s="69" t="s">
        <v>659</v>
      </c>
      <c r="F214" s="70" t="s">
        <v>700</v>
      </c>
      <c r="G214" s="68" t="str">
        <f t="shared" si="42"/>
        <v>2Q  66  10  02  00  00  00</v>
      </c>
      <c r="H214" s="68" t="str">
        <f t="shared" si="44"/>
        <v>2Q</v>
      </c>
      <c r="I214" s="68">
        <f t="shared" si="45"/>
        <v>66</v>
      </c>
      <c r="J214" s="68" t="str">
        <f t="shared" si="46"/>
        <v>10</v>
      </c>
      <c r="K214" s="68" t="str">
        <f t="shared" si="47"/>
        <v>02</v>
      </c>
      <c r="L214" s="68" t="str">
        <f t="shared" si="48"/>
        <v>00</v>
      </c>
      <c r="M214" s="68" t="str">
        <f t="shared" si="49"/>
        <v>00</v>
      </c>
      <c r="N214" s="68" t="str">
        <f t="shared" si="50"/>
        <v>00</v>
      </c>
      <c r="O214" s="81" t="str">
        <f t="shared" si="43"/>
        <v>Escavação, carga e transporte de material de 3ª categoria - DMT de 200 a 400 m - caminho de serviço em leito natural com caminhão basculante de 12 m³ | Insumo principal: Caminhão basculante para rocha com capacidade de 12 m³ - 210 kW</v>
      </c>
    </row>
    <row r="215" spans="1:15" ht="93.75">
      <c r="A215" s="11"/>
      <c r="B215" s="79" t="s">
        <v>256</v>
      </c>
      <c r="C215" s="78" t="s">
        <v>514</v>
      </c>
      <c r="D215" s="66" t="str">
        <f>VLOOKUP(B215,CORRESPONDENCIA!$C$4:$F$2105,2,0)</f>
        <v>2.6.8</v>
      </c>
      <c r="E215" s="69" t="s">
        <v>659</v>
      </c>
      <c r="F215" s="70" t="s">
        <v>700</v>
      </c>
      <c r="G215" s="68" t="str">
        <f t="shared" si="42"/>
        <v>2Q  66  10  02  00  00  00</v>
      </c>
      <c r="H215" s="68" t="str">
        <f t="shared" si="44"/>
        <v>2Q</v>
      </c>
      <c r="I215" s="68">
        <f t="shared" si="45"/>
        <v>66</v>
      </c>
      <c r="J215" s="68" t="str">
        <f t="shared" si="46"/>
        <v>10</v>
      </c>
      <c r="K215" s="68" t="str">
        <f t="shared" si="47"/>
        <v>02</v>
      </c>
      <c r="L215" s="68" t="str">
        <f t="shared" si="48"/>
        <v>00</v>
      </c>
      <c r="M215" s="68" t="str">
        <f t="shared" si="49"/>
        <v>00</v>
      </c>
      <c r="N215" s="68" t="str">
        <f t="shared" si="50"/>
        <v>00</v>
      </c>
      <c r="O215" s="81" t="str">
        <f t="shared" si="43"/>
        <v>Escavação, carga e transporte de material de 3ª categoria - DMT de 200 a 400 m - caminho de serviço em revestimento primário - com caminhão basculante de 12 m³ | Insumo principal: Caminhão basculante para rocha com capacidade de 12 m³ - 210 kW</v>
      </c>
    </row>
    <row r="216" spans="1:15" ht="75">
      <c r="A216" s="11"/>
      <c r="B216" s="79" t="s">
        <v>257</v>
      </c>
      <c r="C216" s="78" t="s">
        <v>515</v>
      </c>
      <c r="D216" s="66" t="str">
        <f>VLOOKUP(B216,CORRESPONDENCIA!$C$4:$F$2105,2,0)</f>
        <v>2.6.8</v>
      </c>
      <c r="E216" s="69" t="s">
        <v>659</v>
      </c>
      <c r="F216" s="70" t="s">
        <v>700</v>
      </c>
      <c r="G216" s="68" t="str">
        <f t="shared" si="42"/>
        <v>2Q  66  10  02  00  00  00</v>
      </c>
      <c r="H216" s="68" t="str">
        <f t="shared" si="44"/>
        <v>2Q</v>
      </c>
      <c r="I216" s="68">
        <f t="shared" si="45"/>
        <v>66</v>
      </c>
      <c r="J216" s="68" t="str">
        <f t="shared" si="46"/>
        <v>10</v>
      </c>
      <c r="K216" s="68" t="str">
        <f t="shared" si="47"/>
        <v>02</v>
      </c>
      <c r="L216" s="68" t="str">
        <f t="shared" si="48"/>
        <v>00</v>
      </c>
      <c r="M216" s="68" t="str">
        <f t="shared" si="49"/>
        <v>00</v>
      </c>
      <c r="N216" s="68" t="str">
        <f t="shared" si="50"/>
        <v>00</v>
      </c>
      <c r="O216" s="81" t="str">
        <f t="shared" si="43"/>
        <v>Escavação, carga e transporte de material de 3ª categoria - DMT de 200 a 400 m - caminho de serviço pavimentado - com caminhão basculante de 12 m³ | Insumo principal: Caminhão basculante para rocha com capacidade de 12 m³ - 210 kW</v>
      </c>
    </row>
    <row r="217" spans="1:15" ht="93.75">
      <c r="A217" s="11"/>
      <c r="B217" s="79" t="s">
        <v>258</v>
      </c>
      <c r="C217" s="78" t="s">
        <v>516</v>
      </c>
      <c r="D217" s="66" t="str">
        <f>VLOOKUP(B217,CORRESPONDENCIA!$C$4:$F$2105,2,0)</f>
        <v>2.6.8</v>
      </c>
      <c r="E217" s="69" t="s">
        <v>659</v>
      </c>
      <c r="F217" s="70" t="s">
        <v>700</v>
      </c>
      <c r="G217" s="68" t="str">
        <f t="shared" si="42"/>
        <v>2Q  66  10  02  00  00  00</v>
      </c>
      <c r="H217" s="68" t="str">
        <f t="shared" si="44"/>
        <v>2Q</v>
      </c>
      <c r="I217" s="68">
        <f t="shared" si="45"/>
        <v>66</v>
      </c>
      <c r="J217" s="68" t="str">
        <f t="shared" si="46"/>
        <v>10</v>
      </c>
      <c r="K217" s="68" t="str">
        <f t="shared" si="47"/>
        <v>02</v>
      </c>
      <c r="L217" s="68" t="str">
        <f t="shared" si="48"/>
        <v>00</v>
      </c>
      <c r="M217" s="68" t="str">
        <f t="shared" si="49"/>
        <v>00</v>
      </c>
      <c r="N217" s="68" t="str">
        <f t="shared" si="50"/>
        <v>00</v>
      </c>
      <c r="O217" s="81" t="str">
        <f t="shared" si="43"/>
        <v>Escavação, carga e transporte de material de 3ª categoria - DMT de 400 a 600 m - caminho de serviço em leito natural com caminhão basculante de 12 m³ | Insumo principal: Caminhão basculante para rocha com capacidade de 12 m³ - 210 kW</v>
      </c>
    </row>
    <row r="218" spans="1:15" ht="93.75">
      <c r="A218" s="11"/>
      <c r="B218" s="79" t="s">
        <v>259</v>
      </c>
      <c r="C218" s="78" t="s">
        <v>517</v>
      </c>
      <c r="D218" s="66" t="str">
        <f>VLOOKUP(B218,CORRESPONDENCIA!$C$4:$F$2105,2,0)</f>
        <v>2.6.8</v>
      </c>
      <c r="E218" s="69" t="s">
        <v>659</v>
      </c>
      <c r="F218" s="70" t="s">
        <v>700</v>
      </c>
      <c r="G218" s="68" t="str">
        <f t="shared" si="42"/>
        <v>2Q  66  10  02  00  00  00</v>
      </c>
      <c r="H218" s="68" t="str">
        <f t="shared" si="44"/>
        <v>2Q</v>
      </c>
      <c r="I218" s="68">
        <f t="shared" si="45"/>
        <v>66</v>
      </c>
      <c r="J218" s="68" t="str">
        <f t="shared" si="46"/>
        <v>10</v>
      </c>
      <c r="K218" s="68" t="str">
        <f t="shared" si="47"/>
        <v>02</v>
      </c>
      <c r="L218" s="68" t="str">
        <f t="shared" si="48"/>
        <v>00</v>
      </c>
      <c r="M218" s="68" t="str">
        <f t="shared" si="49"/>
        <v>00</v>
      </c>
      <c r="N218" s="68" t="str">
        <f t="shared" si="50"/>
        <v>00</v>
      </c>
      <c r="O218" s="81" t="str">
        <f t="shared" si="43"/>
        <v>Escavação, carga e transporte de material de 3ª categoria - DMT de 400 a 600 m - caminho de serviço em revestimento primário - com caminhão basculante de 12 m³ | Insumo principal: Caminhão basculante para rocha com capacidade de 12 m³ - 210 kW</v>
      </c>
    </row>
    <row r="219" spans="1:15" ht="75">
      <c r="A219" s="11"/>
      <c r="B219" s="79" t="s">
        <v>260</v>
      </c>
      <c r="C219" s="78" t="s">
        <v>518</v>
      </c>
      <c r="D219" s="66" t="str">
        <f>VLOOKUP(B219,CORRESPONDENCIA!$C$4:$F$2105,2,0)</f>
        <v>2.6.8</v>
      </c>
      <c r="E219" s="69" t="s">
        <v>659</v>
      </c>
      <c r="F219" s="70" t="s">
        <v>700</v>
      </c>
      <c r="G219" s="68" t="str">
        <f t="shared" si="42"/>
        <v>2Q  66  10  02  00  00  00</v>
      </c>
      <c r="H219" s="68" t="str">
        <f t="shared" si="44"/>
        <v>2Q</v>
      </c>
      <c r="I219" s="68">
        <f t="shared" si="45"/>
        <v>66</v>
      </c>
      <c r="J219" s="68" t="str">
        <f t="shared" si="46"/>
        <v>10</v>
      </c>
      <c r="K219" s="68" t="str">
        <f t="shared" si="47"/>
        <v>02</v>
      </c>
      <c r="L219" s="68" t="str">
        <f t="shared" si="48"/>
        <v>00</v>
      </c>
      <c r="M219" s="68" t="str">
        <f t="shared" si="49"/>
        <v>00</v>
      </c>
      <c r="N219" s="68" t="str">
        <f t="shared" si="50"/>
        <v>00</v>
      </c>
      <c r="O219" s="81" t="str">
        <f t="shared" si="43"/>
        <v>Escavação, carga e transporte de material de 3ª categoria - DMT de 400 a 600 m - caminho de serviço pavimentado - com caminhão basculante de 12 m³ | Insumo principal: Caminhão basculante para rocha com capacidade de 12 m³ - 210 kW</v>
      </c>
    </row>
    <row r="220" spans="1:15" ht="93.75">
      <c r="A220" s="11"/>
      <c r="B220" s="79" t="s">
        <v>261</v>
      </c>
      <c r="C220" s="78" t="s">
        <v>519</v>
      </c>
      <c r="D220" s="66" t="str">
        <f>VLOOKUP(B220,CORRESPONDENCIA!$C$4:$F$2105,2,0)</f>
        <v>2.6.8</v>
      </c>
      <c r="E220" s="69" t="s">
        <v>659</v>
      </c>
      <c r="F220" s="70" t="s">
        <v>700</v>
      </c>
      <c r="G220" s="68" t="str">
        <f t="shared" si="42"/>
        <v>2Q  66  10  02  00  00  00</v>
      </c>
      <c r="H220" s="68" t="str">
        <f t="shared" si="44"/>
        <v>2Q</v>
      </c>
      <c r="I220" s="68">
        <f t="shared" si="45"/>
        <v>66</v>
      </c>
      <c r="J220" s="68" t="str">
        <f t="shared" si="46"/>
        <v>10</v>
      </c>
      <c r="K220" s="68" t="str">
        <f t="shared" si="47"/>
        <v>02</v>
      </c>
      <c r="L220" s="68" t="str">
        <f t="shared" si="48"/>
        <v>00</v>
      </c>
      <c r="M220" s="68" t="str">
        <f t="shared" si="49"/>
        <v>00</v>
      </c>
      <c r="N220" s="68" t="str">
        <f t="shared" si="50"/>
        <v>00</v>
      </c>
      <c r="O220" s="81" t="str">
        <f t="shared" si="43"/>
        <v>Escavação, carga e transporte de material de 3ª categoria - DMT de 50 a 200 m - caminho de serviço em leito natural com caminhão basculante de 12 m³ | Insumo principal: Caminhão basculante para rocha com capacidade de 12 m³ - 210 kW</v>
      </c>
    </row>
    <row r="221" spans="1:15" ht="93.75">
      <c r="A221" s="11"/>
      <c r="B221" s="79" t="s">
        <v>262</v>
      </c>
      <c r="C221" s="78" t="s">
        <v>520</v>
      </c>
      <c r="D221" s="66" t="str">
        <f>VLOOKUP(B221,CORRESPONDENCIA!$C$4:$F$2105,2,0)</f>
        <v>2.6.8</v>
      </c>
      <c r="E221" s="69" t="s">
        <v>659</v>
      </c>
      <c r="F221" s="70" t="s">
        <v>700</v>
      </c>
      <c r="G221" s="68" t="str">
        <f t="shared" si="42"/>
        <v>2Q  66  10  02  00  00  00</v>
      </c>
      <c r="H221" s="68" t="str">
        <f t="shared" si="44"/>
        <v>2Q</v>
      </c>
      <c r="I221" s="68">
        <f t="shared" si="45"/>
        <v>66</v>
      </c>
      <c r="J221" s="68" t="str">
        <f t="shared" si="46"/>
        <v>10</v>
      </c>
      <c r="K221" s="68" t="str">
        <f t="shared" si="47"/>
        <v>02</v>
      </c>
      <c r="L221" s="68" t="str">
        <f t="shared" si="48"/>
        <v>00</v>
      </c>
      <c r="M221" s="68" t="str">
        <f t="shared" si="49"/>
        <v>00</v>
      </c>
      <c r="N221" s="68" t="str">
        <f t="shared" si="50"/>
        <v>00</v>
      </c>
      <c r="O221" s="81" t="str">
        <f t="shared" si="43"/>
        <v>Escavação, carga e transporte de material de 3ª categoria - DMT de 50 a 200 m - caminho de serviço em revestimento primário - com caminhão basculante de 12 m³ | Insumo principal: Caminhão basculante para rocha com capacidade de 12 m³ - 210 kW</v>
      </c>
    </row>
    <row r="222" spans="1:15" ht="75">
      <c r="A222" s="11"/>
      <c r="B222" s="79" t="s">
        <v>263</v>
      </c>
      <c r="C222" s="78" t="s">
        <v>521</v>
      </c>
      <c r="D222" s="66" t="str">
        <f>VLOOKUP(B222,CORRESPONDENCIA!$C$4:$F$2105,2,0)</f>
        <v>2.6.8</v>
      </c>
      <c r="E222" s="69" t="s">
        <v>659</v>
      </c>
      <c r="F222" s="70" t="s">
        <v>700</v>
      </c>
      <c r="G222" s="68" t="str">
        <f t="shared" si="42"/>
        <v>2Q  66  10  02  00  00  00</v>
      </c>
      <c r="H222" s="68" t="str">
        <f t="shared" si="44"/>
        <v>2Q</v>
      </c>
      <c r="I222" s="68">
        <f t="shared" si="45"/>
        <v>66</v>
      </c>
      <c r="J222" s="68" t="str">
        <f t="shared" si="46"/>
        <v>10</v>
      </c>
      <c r="K222" s="68" t="str">
        <f t="shared" si="47"/>
        <v>02</v>
      </c>
      <c r="L222" s="68" t="str">
        <f t="shared" si="48"/>
        <v>00</v>
      </c>
      <c r="M222" s="68" t="str">
        <f t="shared" si="49"/>
        <v>00</v>
      </c>
      <c r="N222" s="68" t="str">
        <f t="shared" si="50"/>
        <v>00</v>
      </c>
      <c r="O222" s="81" t="str">
        <f t="shared" si="43"/>
        <v>Escavação, carga e transporte de material de 3ª categoria - DMT de 50 a 200 m - caminho de serviço pavimentado - com caminhão basculante de 12 m³ | Insumo principal: Caminhão basculante para rocha com capacidade de 12 m³ - 210 kW</v>
      </c>
    </row>
    <row r="223" spans="1:15" ht="93.75">
      <c r="A223" s="11"/>
      <c r="B223" s="79" t="s">
        <v>264</v>
      </c>
      <c r="C223" s="78" t="s">
        <v>522</v>
      </c>
      <c r="D223" s="66" t="str">
        <f>VLOOKUP(B223,CORRESPONDENCIA!$C$4:$F$2105,2,0)</f>
        <v>2.6.8</v>
      </c>
      <c r="E223" s="69" t="s">
        <v>659</v>
      </c>
      <c r="F223" s="70" t="s">
        <v>700</v>
      </c>
      <c r="G223" s="68" t="str">
        <f t="shared" si="42"/>
        <v>2Q  66  10  02  00  00  00</v>
      </c>
      <c r="H223" s="68" t="str">
        <f t="shared" si="44"/>
        <v>2Q</v>
      </c>
      <c r="I223" s="68">
        <f t="shared" si="45"/>
        <v>66</v>
      </c>
      <c r="J223" s="68" t="str">
        <f t="shared" si="46"/>
        <v>10</v>
      </c>
      <c r="K223" s="68" t="str">
        <f t="shared" si="47"/>
        <v>02</v>
      </c>
      <c r="L223" s="68" t="str">
        <f t="shared" si="48"/>
        <v>00</v>
      </c>
      <c r="M223" s="68" t="str">
        <f t="shared" si="49"/>
        <v>00</v>
      </c>
      <c r="N223" s="68" t="str">
        <f t="shared" si="50"/>
        <v>00</v>
      </c>
      <c r="O223" s="81" t="str">
        <f t="shared" si="43"/>
        <v>Escavação, carga e transporte de material de 3ª categoria - DMT de 600 a 800 m - caminho de serviço em leito natural com caminhão basculante de 12 m³ | Insumo principal: Caminhão basculante para rocha com capacidade de 12 m³ - 210 kW</v>
      </c>
    </row>
    <row r="224" spans="1:15" ht="93.75">
      <c r="A224" s="11"/>
      <c r="B224" s="79" t="s">
        <v>265</v>
      </c>
      <c r="C224" s="78" t="s">
        <v>523</v>
      </c>
      <c r="D224" s="66" t="str">
        <f>VLOOKUP(B224,CORRESPONDENCIA!$C$4:$F$2105,2,0)</f>
        <v>2.6.8</v>
      </c>
      <c r="E224" s="69" t="s">
        <v>659</v>
      </c>
      <c r="F224" s="70" t="s">
        <v>700</v>
      </c>
      <c r="G224" s="68" t="str">
        <f t="shared" si="42"/>
        <v>2Q  66  10  02  00  00  00</v>
      </c>
      <c r="H224" s="68" t="str">
        <f t="shared" si="44"/>
        <v>2Q</v>
      </c>
      <c r="I224" s="68">
        <f t="shared" si="45"/>
        <v>66</v>
      </c>
      <c r="J224" s="68" t="str">
        <f t="shared" si="46"/>
        <v>10</v>
      </c>
      <c r="K224" s="68" t="str">
        <f t="shared" si="47"/>
        <v>02</v>
      </c>
      <c r="L224" s="68" t="str">
        <f t="shared" si="48"/>
        <v>00</v>
      </c>
      <c r="M224" s="68" t="str">
        <f t="shared" si="49"/>
        <v>00</v>
      </c>
      <c r="N224" s="68" t="str">
        <f t="shared" si="50"/>
        <v>00</v>
      </c>
      <c r="O224" s="81" t="str">
        <f t="shared" si="43"/>
        <v>Escavação, carga e transporte de material de 3ª categoria - DMT de 600 a 800 m - caminho de serviço em revestimento primário - com caminhão basculante de 12 m³ | Insumo principal: Caminhão basculante para rocha com capacidade de 12 m³ - 210 kW</v>
      </c>
    </row>
    <row r="225" spans="1:15" ht="75">
      <c r="A225" s="11"/>
      <c r="B225" s="79" t="s">
        <v>266</v>
      </c>
      <c r="C225" s="78" t="s">
        <v>524</v>
      </c>
      <c r="D225" s="66" t="str">
        <f>VLOOKUP(B225,CORRESPONDENCIA!$C$4:$F$2105,2,0)</f>
        <v>2.6.8</v>
      </c>
      <c r="E225" s="69" t="s">
        <v>659</v>
      </c>
      <c r="F225" s="70" t="s">
        <v>700</v>
      </c>
      <c r="G225" s="68" t="str">
        <f t="shared" si="42"/>
        <v>2Q  66  10  02  00  00  00</v>
      </c>
      <c r="H225" s="68" t="str">
        <f t="shared" si="44"/>
        <v>2Q</v>
      </c>
      <c r="I225" s="68">
        <f t="shared" si="45"/>
        <v>66</v>
      </c>
      <c r="J225" s="68" t="str">
        <f t="shared" si="46"/>
        <v>10</v>
      </c>
      <c r="K225" s="68" t="str">
        <f t="shared" si="47"/>
        <v>02</v>
      </c>
      <c r="L225" s="68" t="str">
        <f t="shared" si="48"/>
        <v>00</v>
      </c>
      <c r="M225" s="68" t="str">
        <f t="shared" si="49"/>
        <v>00</v>
      </c>
      <c r="N225" s="68" t="str">
        <f t="shared" si="50"/>
        <v>00</v>
      </c>
      <c r="O225" s="81" t="str">
        <f t="shared" si="43"/>
        <v>Escavação, carga e transporte de material de 3ª categoria - DMT de 600 a 800 m - caminho de serviço pavimentado - com caminhão basculante de 12 m³ | Insumo principal: Caminhão basculante para rocha com capacidade de 12 m³ - 210 kW</v>
      </c>
    </row>
    <row r="226" spans="1:15" ht="93.75">
      <c r="A226" s="11"/>
      <c r="B226" s="79" t="s">
        <v>267</v>
      </c>
      <c r="C226" s="78" t="s">
        <v>525</v>
      </c>
      <c r="D226" s="66" t="str">
        <f>VLOOKUP(B226,CORRESPONDENCIA!$C$4:$F$2105,2,0)</f>
        <v>2.6.8</v>
      </c>
      <c r="E226" s="69" t="s">
        <v>659</v>
      </c>
      <c r="F226" s="70" t="s">
        <v>700</v>
      </c>
      <c r="G226" s="68" t="str">
        <f t="shared" si="42"/>
        <v>2Q  66  10  02  00  00  00</v>
      </c>
      <c r="H226" s="68" t="str">
        <f t="shared" si="44"/>
        <v>2Q</v>
      </c>
      <c r="I226" s="68">
        <f t="shared" si="45"/>
        <v>66</v>
      </c>
      <c r="J226" s="68" t="str">
        <f t="shared" si="46"/>
        <v>10</v>
      </c>
      <c r="K226" s="68" t="str">
        <f t="shared" si="47"/>
        <v>02</v>
      </c>
      <c r="L226" s="68" t="str">
        <f t="shared" si="48"/>
        <v>00</v>
      </c>
      <c r="M226" s="68" t="str">
        <f t="shared" si="49"/>
        <v>00</v>
      </c>
      <c r="N226" s="68" t="str">
        <f t="shared" si="50"/>
        <v>00</v>
      </c>
      <c r="O226" s="81" t="str">
        <f t="shared" si="43"/>
        <v>Escavação, carga e transporte de material de 3ª categoria - DMT de 800 a 1.000 m - caminho de serviço em leito natural com caminhão basculante de 12 m³ | Insumo principal: Caminhão basculante para rocha com capacidade de 12 m³ - 210 kW</v>
      </c>
    </row>
    <row r="227" spans="1:15" ht="93.75">
      <c r="A227" s="11"/>
      <c r="B227" s="79" t="s">
        <v>268</v>
      </c>
      <c r="C227" s="78" t="s">
        <v>526</v>
      </c>
      <c r="D227" s="66" t="str">
        <f>VLOOKUP(B227,CORRESPONDENCIA!$C$4:$F$2105,2,0)</f>
        <v>2.6.8</v>
      </c>
      <c r="E227" s="69" t="s">
        <v>659</v>
      </c>
      <c r="F227" s="70" t="s">
        <v>700</v>
      </c>
      <c r="G227" s="68" t="str">
        <f t="shared" si="42"/>
        <v>2Q  66  10  02  00  00  00</v>
      </c>
      <c r="H227" s="68" t="str">
        <f t="shared" si="44"/>
        <v>2Q</v>
      </c>
      <c r="I227" s="68">
        <f t="shared" si="45"/>
        <v>66</v>
      </c>
      <c r="J227" s="68" t="str">
        <f t="shared" si="46"/>
        <v>10</v>
      </c>
      <c r="K227" s="68" t="str">
        <f t="shared" si="47"/>
        <v>02</v>
      </c>
      <c r="L227" s="68" t="str">
        <f t="shared" si="48"/>
        <v>00</v>
      </c>
      <c r="M227" s="68" t="str">
        <f t="shared" si="49"/>
        <v>00</v>
      </c>
      <c r="N227" s="68" t="str">
        <f t="shared" si="50"/>
        <v>00</v>
      </c>
      <c r="O227" s="81" t="str">
        <f t="shared" si="43"/>
        <v>Escavação, carga e transporte de material de 3ª categoria - DMT de 800 a 1.000 m - caminho de serviço em revestimento primário - com caminhão basculante de 12 m³ | Insumo principal: Caminhão basculante para rocha com capacidade de 12 m³ - 210 kW</v>
      </c>
    </row>
    <row r="228" spans="1:15" ht="93.75">
      <c r="A228" s="11"/>
      <c r="B228" s="79" t="s">
        <v>269</v>
      </c>
      <c r="C228" s="78" t="s">
        <v>527</v>
      </c>
      <c r="D228" s="66" t="str">
        <f>VLOOKUP(B228,CORRESPONDENCIA!$C$4:$F$2105,2,0)</f>
        <v>2.6.8</v>
      </c>
      <c r="E228" s="69" t="s">
        <v>659</v>
      </c>
      <c r="F228" s="70" t="s">
        <v>700</v>
      </c>
      <c r="G228" s="68" t="str">
        <f t="shared" si="42"/>
        <v>2Q  66  10  02  00  00  00</v>
      </c>
      <c r="H228" s="68" t="str">
        <f t="shared" si="44"/>
        <v>2Q</v>
      </c>
      <c r="I228" s="68">
        <f t="shared" si="45"/>
        <v>66</v>
      </c>
      <c r="J228" s="68" t="str">
        <f t="shared" si="46"/>
        <v>10</v>
      </c>
      <c r="K228" s="68" t="str">
        <f t="shared" si="47"/>
        <v>02</v>
      </c>
      <c r="L228" s="68" t="str">
        <f t="shared" si="48"/>
        <v>00</v>
      </c>
      <c r="M228" s="68" t="str">
        <f t="shared" si="49"/>
        <v>00</v>
      </c>
      <c r="N228" s="68" t="str">
        <f t="shared" si="50"/>
        <v>00</v>
      </c>
      <c r="O228" s="81" t="str">
        <f t="shared" si="43"/>
        <v>Escavação, carga e transporte de material de 3ª categoria - DMT de 800 a 1.000 m - caminho de serviço pavimentado - com caminhão basculante de 12 m³ | Insumo principal: Caminhão basculante para rocha com capacidade de 12 m³ - 210 kW</v>
      </c>
    </row>
    <row r="229" spans="1:15" ht="93.75">
      <c r="A229" s="11"/>
      <c r="B229" s="79" t="s">
        <v>270</v>
      </c>
      <c r="C229" s="78" t="s">
        <v>528</v>
      </c>
      <c r="D229" s="66" t="str">
        <f>VLOOKUP(B229,CORRESPONDENCIA!$C$4:$F$2105,2,0)</f>
        <v>2.6.8</v>
      </c>
      <c r="E229" s="69" t="s">
        <v>659</v>
      </c>
      <c r="F229" s="70" t="s">
        <v>700</v>
      </c>
      <c r="G229" s="68" t="str">
        <f t="shared" si="42"/>
        <v>2Q  66  10  02  00  00  00</v>
      </c>
      <c r="H229" s="68" t="str">
        <f t="shared" si="44"/>
        <v>2Q</v>
      </c>
      <c r="I229" s="68">
        <f t="shared" si="45"/>
        <v>66</v>
      </c>
      <c r="J229" s="68" t="str">
        <f t="shared" si="46"/>
        <v>10</v>
      </c>
      <c r="K229" s="68" t="str">
        <f t="shared" si="47"/>
        <v>02</v>
      </c>
      <c r="L229" s="68" t="str">
        <f t="shared" si="48"/>
        <v>00</v>
      </c>
      <c r="M229" s="68" t="str">
        <f t="shared" si="49"/>
        <v>00</v>
      </c>
      <c r="N229" s="68" t="str">
        <f t="shared" si="50"/>
        <v>00</v>
      </c>
      <c r="O229" s="81" t="str">
        <f t="shared" si="43"/>
        <v>Escavação, carga e transporte de material de 3ª categoria na distância de 3.000 m - caminho de serviço em leito natural com caminhão basculante de 12 m³ | Insumo principal: Caminhão basculante para rocha com capacidade de 12 m³ - 210 kW</v>
      </c>
    </row>
    <row r="230" spans="1:15" ht="93.75">
      <c r="A230" s="11"/>
      <c r="B230" s="79" t="s">
        <v>271</v>
      </c>
      <c r="C230" s="78" t="s">
        <v>529</v>
      </c>
      <c r="D230" s="66" t="str">
        <f>VLOOKUP(B230,CORRESPONDENCIA!$C$4:$F$2105,2,0)</f>
        <v>2.6.8</v>
      </c>
      <c r="E230" s="69" t="s">
        <v>659</v>
      </c>
      <c r="F230" s="70" t="s">
        <v>700</v>
      </c>
      <c r="G230" s="68" t="str">
        <f t="shared" si="42"/>
        <v>2Q  66  10  02  00  00  00</v>
      </c>
      <c r="H230" s="68" t="str">
        <f t="shared" si="44"/>
        <v>2Q</v>
      </c>
      <c r="I230" s="68">
        <f t="shared" si="45"/>
        <v>66</v>
      </c>
      <c r="J230" s="68" t="str">
        <f t="shared" si="46"/>
        <v>10</v>
      </c>
      <c r="K230" s="68" t="str">
        <f t="shared" si="47"/>
        <v>02</v>
      </c>
      <c r="L230" s="68" t="str">
        <f t="shared" si="48"/>
        <v>00</v>
      </c>
      <c r="M230" s="68" t="str">
        <f t="shared" si="49"/>
        <v>00</v>
      </c>
      <c r="N230" s="68" t="str">
        <f t="shared" si="50"/>
        <v>00</v>
      </c>
      <c r="O230" s="81" t="str">
        <f t="shared" si="43"/>
        <v>Escavação, carga e transporte de material de 3ª categoria na distância de 3.000 m - caminho de serviço em revestimento primário - com caminhão basculante de 12 m³ | Insumo principal: Caminhão basculante para rocha com capacidade de 12 m³ - 210 kW</v>
      </c>
    </row>
    <row r="231" spans="1:15" ht="93.75">
      <c r="A231" s="11"/>
      <c r="B231" s="79" t="s">
        <v>272</v>
      </c>
      <c r="C231" s="78" t="s">
        <v>530</v>
      </c>
      <c r="D231" s="66" t="str">
        <f>VLOOKUP(B231,CORRESPONDENCIA!$C$4:$F$2105,2,0)</f>
        <v>2.6.8</v>
      </c>
      <c r="E231" s="69" t="s">
        <v>659</v>
      </c>
      <c r="F231" s="70" t="s">
        <v>700</v>
      </c>
      <c r="G231" s="68" t="str">
        <f t="shared" si="42"/>
        <v>2Q  66  10  02  00  00  00</v>
      </c>
      <c r="H231" s="68" t="str">
        <f t="shared" si="44"/>
        <v>2Q</v>
      </c>
      <c r="I231" s="68">
        <f t="shared" si="45"/>
        <v>66</v>
      </c>
      <c r="J231" s="68" t="str">
        <f t="shared" si="46"/>
        <v>10</v>
      </c>
      <c r="K231" s="68" t="str">
        <f t="shared" si="47"/>
        <v>02</v>
      </c>
      <c r="L231" s="68" t="str">
        <f t="shared" si="48"/>
        <v>00</v>
      </c>
      <c r="M231" s="68" t="str">
        <f t="shared" si="49"/>
        <v>00</v>
      </c>
      <c r="N231" s="68" t="str">
        <f t="shared" si="50"/>
        <v>00</v>
      </c>
      <c r="O231" s="81" t="str">
        <f t="shared" si="43"/>
        <v>Escavação, carga e transporte de material de 3ª categoria na distância de 3.000 m - caminho de serviço pavimentado - com caminhão basculante de 12 m³ | Insumo principal: Caminhão basculante para rocha com capacidade de 12 m³ - 210 kW</v>
      </c>
    </row>
    <row r="232" spans="1:15" ht="56.25">
      <c r="A232" s="11"/>
      <c r="B232" s="79" t="s">
        <v>273</v>
      </c>
      <c r="C232" s="78" t="s">
        <v>531</v>
      </c>
      <c r="D232" s="66" t="str">
        <f>VLOOKUP(B232,CORRESPONDENCIA!$C$4:$F$2105,2,0)</f>
        <v>2.6.9</v>
      </c>
      <c r="E232" s="69" t="s">
        <v>663</v>
      </c>
      <c r="F232" s="70" t="s">
        <v>664</v>
      </c>
      <c r="G232" s="68" t="str">
        <f>'insumos terrapl'!D40</f>
        <v>2Q  62  02  18  00  00  00</v>
      </c>
      <c r="H232" s="68" t="str">
        <f>'insumos terrapl'!E40</f>
        <v>2Q</v>
      </c>
      <c r="I232" s="68">
        <f>'insumos terrapl'!F40</f>
        <v>62</v>
      </c>
      <c r="J232" s="68" t="str">
        <f>'insumos terrapl'!G40</f>
        <v>02</v>
      </c>
      <c r="K232" s="68" t="str">
        <f>'insumos terrapl'!H40</f>
        <v>18</v>
      </c>
      <c r="L232" s="68" t="str">
        <f>'insumos terrapl'!I40</f>
        <v>00</v>
      </c>
      <c r="M232" s="68" t="str">
        <f>'insumos terrapl'!J40</f>
        <v>00</v>
      </c>
      <c r="N232" s="68" t="str">
        <f>'insumos terrapl'!K40</f>
        <v>00</v>
      </c>
      <c r="O232" s="81" t="str">
        <f t="shared" si="43"/>
        <v>Escavação, carga e transporte de solos moles - DMT de 0 a 50 m | Insumo principal: Escavadeira hidráulica de longo alcance sobre esteiras - 103 kW</v>
      </c>
    </row>
    <row r="233" spans="1:15" ht="93.75">
      <c r="A233" s="11"/>
      <c r="B233" s="79" t="s">
        <v>274</v>
      </c>
      <c r="C233" s="78" t="s">
        <v>532</v>
      </c>
      <c r="D233" s="66" t="str">
        <f>VLOOKUP(B233,CORRESPONDENCIA!$C$4:$F$2105,2,0)</f>
        <v>2.6.9</v>
      </c>
      <c r="E233" s="69" t="s">
        <v>665</v>
      </c>
      <c r="F233" s="70" t="s">
        <v>666</v>
      </c>
      <c r="G233" s="68" t="str">
        <f>'insumos terrapl'!D41</f>
        <v>2Q  66  10  02  00  00  00</v>
      </c>
      <c r="H233" s="68" t="str">
        <f>'insumos terrapl'!E41</f>
        <v>2Q</v>
      </c>
      <c r="I233" s="68">
        <f>'insumos terrapl'!F41</f>
        <v>66</v>
      </c>
      <c r="J233" s="68" t="str">
        <f>'insumos terrapl'!G41</f>
        <v>10</v>
      </c>
      <c r="K233" s="68" t="str">
        <f>'insumos terrapl'!H41</f>
        <v>02</v>
      </c>
      <c r="L233" s="68" t="str">
        <f>'insumos terrapl'!I41</f>
        <v>00</v>
      </c>
      <c r="M233" s="68" t="str">
        <f>'insumos terrapl'!J41</f>
        <v>00</v>
      </c>
      <c r="N233" s="68" t="str">
        <f>'insumos terrapl'!K41</f>
        <v>00</v>
      </c>
      <c r="O233" s="81" t="str">
        <f t="shared" si="43"/>
        <v>Escavação, carga e transporte de solos moles - DMT de 1.000 a 1.200 m - caminho de serviço em leito natural - com caminhão basculante de 14 m³ | Insumo principal: Caminhão basculante com caçamba estanque com capacidade de 14 m³ - 210 kW</v>
      </c>
    </row>
    <row r="234" spans="1:15" ht="93.75">
      <c r="A234" s="11"/>
      <c r="B234" s="79" t="s">
        <v>275</v>
      </c>
      <c r="C234" s="78" t="s">
        <v>533</v>
      </c>
      <c r="D234" s="66" t="str">
        <f>VLOOKUP(B234,CORRESPONDENCIA!$C$4:$F$2105,2,0)</f>
        <v>2.6.9</v>
      </c>
      <c r="E234" s="69" t="s">
        <v>665</v>
      </c>
      <c r="F234" s="70" t="s">
        <v>666</v>
      </c>
      <c r="G234" s="68" t="str">
        <f>G233</f>
        <v>2Q  66  10  02  00  00  00</v>
      </c>
      <c r="H234" s="68" t="str">
        <f t="shared" ref="H234:N249" si="51">H233</f>
        <v>2Q</v>
      </c>
      <c r="I234" s="68">
        <f t="shared" si="51"/>
        <v>66</v>
      </c>
      <c r="J234" s="68" t="str">
        <f t="shared" si="51"/>
        <v>10</v>
      </c>
      <c r="K234" s="68" t="str">
        <f t="shared" si="51"/>
        <v>02</v>
      </c>
      <c r="L234" s="68" t="str">
        <f t="shared" si="51"/>
        <v>00</v>
      </c>
      <c r="M234" s="68" t="str">
        <f t="shared" si="51"/>
        <v>00</v>
      </c>
      <c r="N234" s="68" t="str">
        <f t="shared" si="51"/>
        <v>00</v>
      </c>
      <c r="O234" s="81" t="str">
        <f t="shared" si="43"/>
        <v>Escavação, carga e transporte de solos moles - DMT de 1.000 a 1.200 m - caminho de serviço em revestimento primário - com caminhão basculante de 14 m³ | Insumo principal: Caminhão basculante com caçamba estanque com capacidade de 14 m³ - 210 kW</v>
      </c>
    </row>
    <row r="235" spans="1:15" ht="93.75">
      <c r="A235" s="11"/>
      <c r="B235" s="79" t="s">
        <v>276</v>
      </c>
      <c r="C235" s="78" t="s">
        <v>534</v>
      </c>
      <c r="D235" s="66" t="str">
        <f>VLOOKUP(B235,CORRESPONDENCIA!$C$4:$F$2105,2,0)</f>
        <v>2.6.9</v>
      </c>
      <c r="E235" s="69" t="s">
        <v>665</v>
      </c>
      <c r="F235" s="70" t="s">
        <v>666</v>
      </c>
      <c r="G235" s="68" t="str">
        <f t="shared" ref="G235:G251" si="52">G234</f>
        <v>2Q  66  10  02  00  00  00</v>
      </c>
      <c r="H235" s="68" t="str">
        <f t="shared" si="51"/>
        <v>2Q</v>
      </c>
      <c r="I235" s="68">
        <f t="shared" si="51"/>
        <v>66</v>
      </c>
      <c r="J235" s="68" t="str">
        <f t="shared" si="51"/>
        <v>10</v>
      </c>
      <c r="K235" s="68" t="str">
        <f t="shared" si="51"/>
        <v>02</v>
      </c>
      <c r="L235" s="68" t="str">
        <f t="shared" si="51"/>
        <v>00</v>
      </c>
      <c r="M235" s="68" t="str">
        <f t="shared" si="51"/>
        <v>00</v>
      </c>
      <c r="N235" s="68" t="str">
        <f t="shared" si="51"/>
        <v>00</v>
      </c>
      <c r="O235" s="81" t="str">
        <f t="shared" si="43"/>
        <v>Escavação, carga e transporte de solos moles - DMT de 1.000 a 1.200 m - caminho de serviço pavimentado - com caminhão basculante de 14 m³ | Insumo principal: Caminhão basculante com caçamba estanque com capacidade de 14 m³ - 210 kW</v>
      </c>
    </row>
    <row r="236" spans="1:15" ht="93.75">
      <c r="A236" s="11"/>
      <c r="B236" s="79" t="s">
        <v>277</v>
      </c>
      <c r="C236" s="78" t="s">
        <v>535</v>
      </c>
      <c r="D236" s="66" t="str">
        <f>VLOOKUP(B236,CORRESPONDENCIA!$C$4:$F$2105,2,0)</f>
        <v>2.6.9</v>
      </c>
      <c r="E236" s="69" t="s">
        <v>665</v>
      </c>
      <c r="F236" s="70" t="s">
        <v>666</v>
      </c>
      <c r="G236" s="68" t="str">
        <f t="shared" si="52"/>
        <v>2Q  66  10  02  00  00  00</v>
      </c>
      <c r="H236" s="68" t="str">
        <f t="shared" si="51"/>
        <v>2Q</v>
      </c>
      <c r="I236" s="68">
        <f t="shared" si="51"/>
        <v>66</v>
      </c>
      <c r="J236" s="68" t="str">
        <f t="shared" si="51"/>
        <v>10</v>
      </c>
      <c r="K236" s="68" t="str">
        <f t="shared" si="51"/>
        <v>02</v>
      </c>
      <c r="L236" s="68" t="str">
        <f t="shared" si="51"/>
        <v>00</v>
      </c>
      <c r="M236" s="68" t="str">
        <f t="shared" si="51"/>
        <v>00</v>
      </c>
      <c r="N236" s="68" t="str">
        <f t="shared" si="51"/>
        <v>00</v>
      </c>
      <c r="O236" s="81" t="str">
        <f t="shared" si="43"/>
        <v>Escavação, carga e transporte de solos moles - DMT de 1.200 a 1.400 m - caminho de serviço em leito natural - com caminhão basculante de 14 m³ | Insumo principal: Caminhão basculante com caçamba estanque com capacidade de 14 m³ - 210 kW</v>
      </c>
    </row>
    <row r="237" spans="1:15" ht="93.75">
      <c r="A237" s="11"/>
      <c r="B237" s="79" t="s">
        <v>278</v>
      </c>
      <c r="C237" s="78" t="s">
        <v>536</v>
      </c>
      <c r="D237" s="66" t="str">
        <f>VLOOKUP(B237,CORRESPONDENCIA!$C$4:$F$2105,2,0)</f>
        <v>2.6.9</v>
      </c>
      <c r="E237" s="69" t="s">
        <v>665</v>
      </c>
      <c r="F237" s="70" t="s">
        <v>666</v>
      </c>
      <c r="G237" s="68" t="str">
        <f t="shared" si="52"/>
        <v>2Q  66  10  02  00  00  00</v>
      </c>
      <c r="H237" s="68" t="str">
        <f t="shared" si="51"/>
        <v>2Q</v>
      </c>
      <c r="I237" s="68">
        <f t="shared" si="51"/>
        <v>66</v>
      </c>
      <c r="J237" s="68" t="str">
        <f t="shared" si="51"/>
        <v>10</v>
      </c>
      <c r="K237" s="68" t="str">
        <f t="shared" si="51"/>
        <v>02</v>
      </c>
      <c r="L237" s="68" t="str">
        <f t="shared" si="51"/>
        <v>00</v>
      </c>
      <c r="M237" s="68" t="str">
        <f t="shared" si="51"/>
        <v>00</v>
      </c>
      <c r="N237" s="68" t="str">
        <f t="shared" si="51"/>
        <v>00</v>
      </c>
      <c r="O237" s="81" t="str">
        <f t="shared" si="43"/>
        <v>Escavação, carga e transporte de solos moles - DMT de 1.200 a 1.400 m - caminho de serviço em revestimento primário - com caminhão basculante de 14 m³ | Insumo principal: Caminhão basculante com caçamba estanque com capacidade de 14 m³ - 210 kW</v>
      </c>
    </row>
    <row r="238" spans="1:15" ht="93.75">
      <c r="A238" s="11"/>
      <c r="B238" s="79" t="s">
        <v>279</v>
      </c>
      <c r="C238" s="78" t="s">
        <v>537</v>
      </c>
      <c r="D238" s="66" t="str">
        <f>VLOOKUP(B238,CORRESPONDENCIA!$C$4:$F$2105,2,0)</f>
        <v>2.6.9</v>
      </c>
      <c r="E238" s="69" t="s">
        <v>665</v>
      </c>
      <c r="F238" s="70" t="s">
        <v>666</v>
      </c>
      <c r="G238" s="68" t="str">
        <f t="shared" si="52"/>
        <v>2Q  66  10  02  00  00  00</v>
      </c>
      <c r="H238" s="68" t="str">
        <f t="shared" si="51"/>
        <v>2Q</v>
      </c>
      <c r="I238" s="68">
        <f t="shared" si="51"/>
        <v>66</v>
      </c>
      <c r="J238" s="68" t="str">
        <f t="shared" si="51"/>
        <v>10</v>
      </c>
      <c r="K238" s="68" t="str">
        <f t="shared" si="51"/>
        <v>02</v>
      </c>
      <c r="L238" s="68" t="str">
        <f t="shared" si="51"/>
        <v>00</v>
      </c>
      <c r="M238" s="68" t="str">
        <f t="shared" si="51"/>
        <v>00</v>
      </c>
      <c r="N238" s="68" t="str">
        <f t="shared" si="51"/>
        <v>00</v>
      </c>
      <c r="O238" s="81" t="str">
        <f t="shared" si="43"/>
        <v>Escavação, carga e transporte de solos moles - DMT de 1.200 a 1.400 m - caminho de serviço pavimentado - com caminhão basculante de 14 m³ | Insumo principal: Caminhão basculante com caçamba estanque com capacidade de 14 m³ - 210 kW</v>
      </c>
    </row>
    <row r="239" spans="1:15" ht="93.75">
      <c r="A239" s="11"/>
      <c r="B239" s="79" t="s">
        <v>280</v>
      </c>
      <c r="C239" s="78" t="s">
        <v>538</v>
      </c>
      <c r="D239" s="66" t="str">
        <f>VLOOKUP(B239,CORRESPONDENCIA!$C$4:$F$2105,2,0)</f>
        <v>2.6.9</v>
      </c>
      <c r="E239" s="69" t="s">
        <v>665</v>
      </c>
      <c r="F239" s="70" t="s">
        <v>666</v>
      </c>
      <c r="G239" s="68" t="str">
        <f t="shared" si="52"/>
        <v>2Q  66  10  02  00  00  00</v>
      </c>
      <c r="H239" s="68" t="str">
        <f t="shared" si="51"/>
        <v>2Q</v>
      </c>
      <c r="I239" s="68">
        <f t="shared" si="51"/>
        <v>66</v>
      </c>
      <c r="J239" s="68" t="str">
        <f t="shared" si="51"/>
        <v>10</v>
      </c>
      <c r="K239" s="68" t="str">
        <f t="shared" si="51"/>
        <v>02</v>
      </c>
      <c r="L239" s="68" t="str">
        <f t="shared" si="51"/>
        <v>00</v>
      </c>
      <c r="M239" s="68" t="str">
        <f t="shared" si="51"/>
        <v>00</v>
      </c>
      <c r="N239" s="68" t="str">
        <f t="shared" si="51"/>
        <v>00</v>
      </c>
      <c r="O239" s="81" t="str">
        <f t="shared" si="43"/>
        <v>Escavação, carga e transporte de solos moles - DMT de 1.400 a 1.600 m - caminho de serviço em leito natural - com caminhão basculante de 14 m³ | Insumo principal: Caminhão basculante com caçamba estanque com capacidade de 14 m³ - 210 kW</v>
      </c>
    </row>
    <row r="240" spans="1:15" ht="93.75">
      <c r="A240" s="11"/>
      <c r="B240" s="79" t="s">
        <v>281</v>
      </c>
      <c r="C240" s="78" t="s">
        <v>539</v>
      </c>
      <c r="D240" s="66" t="str">
        <f>VLOOKUP(B240,CORRESPONDENCIA!$C$4:$F$2105,2,0)</f>
        <v>2.6.9</v>
      </c>
      <c r="E240" s="69" t="s">
        <v>665</v>
      </c>
      <c r="F240" s="70" t="s">
        <v>666</v>
      </c>
      <c r="G240" s="68" t="str">
        <f t="shared" si="52"/>
        <v>2Q  66  10  02  00  00  00</v>
      </c>
      <c r="H240" s="68" t="str">
        <f t="shared" si="51"/>
        <v>2Q</v>
      </c>
      <c r="I240" s="68">
        <f t="shared" si="51"/>
        <v>66</v>
      </c>
      <c r="J240" s="68" t="str">
        <f t="shared" si="51"/>
        <v>10</v>
      </c>
      <c r="K240" s="68" t="str">
        <f t="shared" si="51"/>
        <v>02</v>
      </c>
      <c r="L240" s="68" t="str">
        <f t="shared" si="51"/>
        <v>00</v>
      </c>
      <c r="M240" s="68" t="str">
        <f t="shared" si="51"/>
        <v>00</v>
      </c>
      <c r="N240" s="68" t="str">
        <f t="shared" si="51"/>
        <v>00</v>
      </c>
      <c r="O240" s="81" t="str">
        <f t="shared" si="43"/>
        <v>Escavação, carga e transporte de solos moles - DMT de 1.400 a 1.600 m - caminho de serviço em revestimento primário - com caminhão basculante de 14 m³ | Insumo principal: Caminhão basculante com caçamba estanque com capacidade de 14 m³ - 210 kW</v>
      </c>
    </row>
    <row r="241" spans="1:15" ht="93.75">
      <c r="A241" s="11"/>
      <c r="B241" s="79" t="s">
        <v>282</v>
      </c>
      <c r="C241" s="78" t="s">
        <v>540</v>
      </c>
      <c r="D241" s="66" t="str">
        <f>VLOOKUP(B241,CORRESPONDENCIA!$C$4:$F$2105,2,0)</f>
        <v>2.6.9</v>
      </c>
      <c r="E241" s="69" t="s">
        <v>665</v>
      </c>
      <c r="F241" s="70" t="s">
        <v>666</v>
      </c>
      <c r="G241" s="68" t="str">
        <f t="shared" si="52"/>
        <v>2Q  66  10  02  00  00  00</v>
      </c>
      <c r="H241" s="68" t="str">
        <f t="shared" si="51"/>
        <v>2Q</v>
      </c>
      <c r="I241" s="68">
        <f t="shared" si="51"/>
        <v>66</v>
      </c>
      <c r="J241" s="68" t="str">
        <f t="shared" si="51"/>
        <v>10</v>
      </c>
      <c r="K241" s="68" t="str">
        <f t="shared" si="51"/>
        <v>02</v>
      </c>
      <c r="L241" s="68" t="str">
        <f t="shared" si="51"/>
        <v>00</v>
      </c>
      <c r="M241" s="68" t="str">
        <f t="shared" si="51"/>
        <v>00</v>
      </c>
      <c r="N241" s="68" t="str">
        <f t="shared" si="51"/>
        <v>00</v>
      </c>
      <c r="O241" s="81" t="str">
        <f t="shared" si="43"/>
        <v>Escavação, carga e transporte de solos moles - DMT de 1.400 a 1.600 m - caminho de serviço pavimentado - com caminhão basculante de 14 m³ | Insumo principal: Caminhão basculante com caçamba estanque com capacidade de 14 m³ - 210 kW</v>
      </c>
    </row>
    <row r="242" spans="1:15" ht="93.75">
      <c r="A242" s="11"/>
      <c r="B242" s="79" t="s">
        <v>283</v>
      </c>
      <c r="C242" s="78" t="s">
        <v>541</v>
      </c>
      <c r="D242" s="66" t="str">
        <f>VLOOKUP(B242,CORRESPONDENCIA!$C$4:$F$2105,2,0)</f>
        <v>2.6.9</v>
      </c>
      <c r="E242" s="69" t="s">
        <v>665</v>
      </c>
      <c r="F242" s="70" t="s">
        <v>666</v>
      </c>
      <c r="G242" s="68" t="str">
        <f t="shared" si="52"/>
        <v>2Q  66  10  02  00  00  00</v>
      </c>
      <c r="H242" s="68" t="str">
        <f t="shared" si="51"/>
        <v>2Q</v>
      </c>
      <c r="I242" s="68">
        <f t="shared" si="51"/>
        <v>66</v>
      </c>
      <c r="J242" s="68" t="str">
        <f t="shared" si="51"/>
        <v>10</v>
      </c>
      <c r="K242" s="68" t="str">
        <f t="shared" si="51"/>
        <v>02</v>
      </c>
      <c r="L242" s="68" t="str">
        <f t="shared" si="51"/>
        <v>00</v>
      </c>
      <c r="M242" s="68" t="str">
        <f t="shared" si="51"/>
        <v>00</v>
      </c>
      <c r="N242" s="68" t="str">
        <f t="shared" si="51"/>
        <v>00</v>
      </c>
      <c r="O242" s="81" t="str">
        <f t="shared" si="43"/>
        <v>Escavação, carga e transporte de solos moles - DMT de 1.600 a 1.800 m - caminho de serviço em leito natural - com caminhão basculante de 14 m³ | Insumo principal: Caminhão basculante com caçamba estanque com capacidade de 14 m³ - 210 kW</v>
      </c>
    </row>
    <row r="243" spans="1:15" ht="93.75">
      <c r="A243" s="11"/>
      <c r="B243" s="79" t="s">
        <v>284</v>
      </c>
      <c r="C243" s="78" t="s">
        <v>542</v>
      </c>
      <c r="D243" s="66" t="str">
        <f>VLOOKUP(B243,CORRESPONDENCIA!$C$4:$F$2105,2,0)</f>
        <v>2.6.9</v>
      </c>
      <c r="E243" s="69" t="s">
        <v>665</v>
      </c>
      <c r="F243" s="70" t="s">
        <v>666</v>
      </c>
      <c r="G243" s="68" t="str">
        <f t="shared" si="52"/>
        <v>2Q  66  10  02  00  00  00</v>
      </c>
      <c r="H243" s="68" t="str">
        <f t="shared" si="51"/>
        <v>2Q</v>
      </c>
      <c r="I243" s="68">
        <f t="shared" si="51"/>
        <v>66</v>
      </c>
      <c r="J243" s="68" t="str">
        <f t="shared" si="51"/>
        <v>10</v>
      </c>
      <c r="K243" s="68" t="str">
        <f t="shared" si="51"/>
        <v>02</v>
      </c>
      <c r="L243" s="68" t="str">
        <f t="shared" si="51"/>
        <v>00</v>
      </c>
      <c r="M243" s="68" t="str">
        <f t="shared" si="51"/>
        <v>00</v>
      </c>
      <c r="N243" s="68" t="str">
        <f t="shared" si="51"/>
        <v>00</v>
      </c>
      <c r="O243" s="81" t="str">
        <f t="shared" si="43"/>
        <v>Escavação, carga e transporte de solos moles - DMT de 1.600 a 1.800 m - caminho de serviço em revestimento primário - com caminhão basculante de 14 m³ | Insumo principal: Caminhão basculante com caçamba estanque com capacidade de 14 m³ - 210 kW</v>
      </c>
    </row>
    <row r="244" spans="1:15" ht="93.75">
      <c r="A244" s="11"/>
      <c r="B244" s="79" t="s">
        <v>285</v>
      </c>
      <c r="C244" s="78" t="s">
        <v>543</v>
      </c>
      <c r="D244" s="66" t="str">
        <f>VLOOKUP(B244,CORRESPONDENCIA!$C$4:$F$2105,2,0)</f>
        <v>2.6.9</v>
      </c>
      <c r="E244" s="69" t="s">
        <v>665</v>
      </c>
      <c r="F244" s="70" t="s">
        <v>666</v>
      </c>
      <c r="G244" s="68" t="str">
        <f t="shared" si="52"/>
        <v>2Q  66  10  02  00  00  00</v>
      </c>
      <c r="H244" s="68" t="str">
        <f t="shared" si="51"/>
        <v>2Q</v>
      </c>
      <c r="I244" s="68">
        <f t="shared" si="51"/>
        <v>66</v>
      </c>
      <c r="J244" s="68" t="str">
        <f t="shared" si="51"/>
        <v>10</v>
      </c>
      <c r="K244" s="68" t="str">
        <f t="shared" si="51"/>
        <v>02</v>
      </c>
      <c r="L244" s="68" t="str">
        <f t="shared" si="51"/>
        <v>00</v>
      </c>
      <c r="M244" s="68" t="str">
        <f t="shared" si="51"/>
        <v>00</v>
      </c>
      <c r="N244" s="68" t="str">
        <f t="shared" si="51"/>
        <v>00</v>
      </c>
      <c r="O244" s="81" t="str">
        <f t="shared" si="43"/>
        <v>Escavação, carga e transporte de solos moles - DMT de 1.600 a 1.800 m - caminho de serviço pavimentado - com caminhão basculante de 14 m³ | Insumo principal: Caminhão basculante com caçamba estanque com capacidade de 14 m³ - 210 kW</v>
      </c>
    </row>
    <row r="245" spans="1:15" ht="93.75">
      <c r="A245" s="11"/>
      <c r="B245" s="79" t="s">
        <v>286</v>
      </c>
      <c r="C245" s="78" t="s">
        <v>544</v>
      </c>
      <c r="D245" s="66" t="str">
        <f>VLOOKUP(B245,CORRESPONDENCIA!$C$4:$F$2105,2,0)</f>
        <v>2.6.9</v>
      </c>
      <c r="E245" s="69" t="s">
        <v>665</v>
      </c>
      <c r="F245" s="70" t="s">
        <v>666</v>
      </c>
      <c r="G245" s="68" t="str">
        <f>G244</f>
        <v>2Q  66  10  02  00  00  00</v>
      </c>
      <c r="H245" s="68" t="str">
        <f t="shared" si="51"/>
        <v>2Q</v>
      </c>
      <c r="I245" s="68">
        <f t="shared" si="51"/>
        <v>66</v>
      </c>
      <c r="J245" s="68" t="str">
        <f t="shared" si="51"/>
        <v>10</v>
      </c>
      <c r="K245" s="68" t="str">
        <f t="shared" si="51"/>
        <v>02</v>
      </c>
      <c r="L245" s="68" t="str">
        <f t="shared" si="51"/>
        <v>00</v>
      </c>
      <c r="M245" s="68" t="str">
        <f t="shared" si="51"/>
        <v>00</v>
      </c>
      <c r="N245" s="68" t="str">
        <f t="shared" si="51"/>
        <v>00</v>
      </c>
      <c r="O245" s="81" t="str">
        <f t="shared" si="43"/>
        <v>Escavação, carga e transporte de solos moles - DMT de 1.800 a 2.000 m - caminho de serviço em leito natural - com caminhão basculante de 14 m³ | Insumo principal: Caminhão basculante com caçamba estanque com capacidade de 14 m³ - 210 kW</v>
      </c>
    </row>
    <row r="246" spans="1:15" ht="93.75">
      <c r="A246" s="11"/>
      <c r="B246" s="79" t="s">
        <v>287</v>
      </c>
      <c r="C246" s="78" t="s">
        <v>545</v>
      </c>
      <c r="D246" s="66" t="str">
        <f>VLOOKUP(B246,CORRESPONDENCIA!$C$4:$F$2105,2,0)</f>
        <v>2.6.9</v>
      </c>
      <c r="E246" s="69" t="s">
        <v>665</v>
      </c>
      <c r="F246" s="70" t="s">
        <v>666</v>
      </c>
      <c r="G246" s="68" t="str">
        <f t="shared" si="52"/>
        <v>2Q  66  10  02  00  00  00</v>
      </c>
      <c r="H246" s="68" t="str">
        <f t="shared" si="51"/>
        <v>2Q</v>
      </c>
      <c r="I246" s="68">
        <f t="shared" si="51"/>
        <v>66</v>
      </c>
      <c r="J246" s="68" t="str">
        <f t="shared" si="51"/>
        <v>10</v>
      </c>
      <c r="K246" s="68" t="str">
        <f t="shared" si="51"/>
        <v>02</v>
      </c>
      <c r="L246" s="68" t="str">
        <f t="shared" si="51"/>
        <v>00</v>
      </c>
      <c r="M246" s="68" t="str">
        <f t="shared" si="51"/>
        <v>00</v>
      </c>
      <c r="N246" s="68" t="str">
        <f t="shared" si="51"/>
        <v>00</v>
      </c>
      <c r="O246" s="81" t="str">
        <f t="shared" si="43"/>
        <v>Escavação, carga e transporte de solos moles - DMT de 1.800 a 2.000 m - caminho de serviço em revestimento primário - com caminhão basculante de 14 m³ | Insumo principal: Caminhão basculante com caçamba estanque com capacidade de 14 m³ - 210 kW</v>
      </c>
    </row>
    <row r="247" spans="1:15" ht="93.75">
      <c r="A247" s="11"/>
      <c r="B247" s="79" t="s">
        <v>288</v>
      </c>
      <c r="C247" s="78" t="s">
        <v>546</v>
      </c>
      <c r="D247" s="66" t="str">
        <f>VLOOKUP(B247,CORRESPONDENCIA!$C$4:$F$2105,2,0)</f>
        <v>2.6.9</v>
      </c>
      <c r="E247" s="69" t="s">
        <v>665</v>
      </c>
      <c r="F247" s="70" t="s">
        <v>666</v>
      </c>
      <c r="G247" s="68" t="str">
        <f t="shared" si="52"/>
        <v>2Q  66  10  02  00  00  00</v>
      </c>
      <c r="H247" s="68" t="str">
        <f t="shared" si="51"/>
        <v>2Q</v>
      </c>
      <c r="I247" s="68">
        <f t="shared" si="51"/>
        <v>66</v>
      </c>
      <c r="J247" s="68" t="str">
        <f t="shared" si="51"/>
        <v>10</v>
      </c>
      <c r="K247" s="68" t="str">
        <f t="shared" si="51"/>
        <v>02</v>
      </c>
      <c r="L247" s="68" t="str">
        <f t="shared" si="51"/>
        <v>00</v>
      </c>
      <c r="M247" s="68" t="str">
        <f t="shared" si="51"/>
        <v>00</v>
      </c>
      <c r="N247" s="68" t="str">
        <f t="shared" si="51"/>
        <v>00</v>
      </c>
      <c r="O247" s="81" t="str">
        <f t="shared" si="43"/>
        <v>Escavação, carga e transporte de solos moles - DMT de 1.800 a 2.000 m - caminho de serviço pavimentado - com caminhão basculante de 14 m³ | Insumo principal: Caminhão basculante com caçamba estanque com capacidade de 14 m³ - 210 kW</v>
      </c>
    </row>
    <row r="248" spans="1:15" ht="93.75">
      <c r="A248" s="11"/>
      <c r="B248" s="79" t="s">
        <v>289</v>
      </c>
      <c r="C248" s="78" t="s">
        <v>547</v>
      </c>
      <c r="D248" s="66" t="str">
        <f>VLOOKUP(B248,CORRESPONDENCIA!$C$4:$F$2105,2,0)</f>
        <v>2.6.9</v>
      </c>
      <c r="E248" s="69" t="s">
        <v>665</v>
      </c>
      <c r="F248" s="70" t="s">
        <v>666</v>
      </c>
      <c r="G248" s="68" t="str">
        <f t="shared" si="52"/>
        <v>2Q  66  10  02  00  00  00</v>
      </c>
      <c r="H248" s="68" t="str">
        <f t="shared" si="51"/>
        <v>2Q</v>
      </c>
      <c r="I248" s="68">
        <f t="shared" si="51"/>
        <v>66</v>
      </c>
      <c r="J248" s="68" t="str">
        <f t="shared" si="51"/>
        <v>10</v>
      </c>
      <c r="K248" s="68" t="str">
        <f t="shared" si="51"/>
        <v>02</v>
      </c>
      <c r="L248" s="68" t="str">
        <f t="shared" si="51"/>
        <v>00</v>
      </c>
      <c r="M248" s="68" t="str">
        <f t="shared" si="51"/>
        <v>00</v>
      </c>
      <c r="N248" s="68" t="str">
        <f t="shared" si="51"/>
        <v>00</v>
      </c>
      <c r="O248" s="81" t="str">
        <f t="shared" si="43"/>
        <v>Escavação, carga e transporte de solos moles - DMT de 2.000 a 2.500 m - caminho de serviço em leito natural - com caminhão basculante de 14 m³ | Insumo principal: Caminhão basculante com caçamba estanque com capacidade de 14 m³ - 210 kW</v>
      </c>
    </row>
    <row r="249" spans="1:15" ht="93.75">
      <c r="A249" s="11"/>
      <c r="B249" s="79" t="s">
        <v>290</v>
      </c>
      <c r="C249" s="78" t="s">
        <v>548</v>
      </c>
      <c r="D249" s="66" t="str">
        <f>VLOOKUP(B249,CORRESPONDENCIA!$C$4:$F$2105,2,0)</f>
        <v>2.6.9</v>
      </c>
      <c r="E249" s="69" t="s">
        <v>665</v>
      </c>
      <c r="F249" s="70" t="s">
        <v>666</v>
      </c>
      <c r="G249" s="68" t="str">
        <f t="shared" si="52"/>
        <v>2Q  66  10  02  00  00  00</v>
      </c>
      <c r="H249" s="68" t="str">
        <f t="shared" si="51"/>
        <v>2Q</v>
      </c>
      <c r="I249" s="68">
        <f t="shared" si="51"/>
        <v>66</v>
      </c>
      <c r="J249" s="68" t="str">
        <f t="shared" si="51"/>
        <v>10</v>
      </c>
      <c r="K249" s="68" t="str">
        <f t="shared" si="51"/>
        <v>02</v>
      </c>
      <c r="L249" s="68" t="str">
        <f t="shared" si="51"/>
        <v>00</v>
      </c>
      <c r="M249" s="68" t="str">
        <f t="shared" si="51"/>
        <v>00</v>
      </c>
      <c r="N249" s="68" t="str">
        <f t="shared" si="51"/>
        <v>00</v>
      </c>
      <c r="O249" s="81" t="str">
        <f t="shared" si="43"/>
        <v>Escavação, carga e transporte de solos moles - DMT de 2.000 a 2.500 m - caminho de serviço em revestimento primário - com caminhão basculante de 14 m³ | Insumo principal: Caminhão basculante com caçamba estanque com capacidade de 14 m³ - 210 kW</v>
      </c>
    </row>
    <row r="250" spans="1:15" ht="93.75">
      <c r="A250" s="11"/>
      <c r="B250" s="79" t="s">
        <v>291</v>
      </c>
      <c r="C250" s="78" t="s">
        <v>549</v>
      </c>
      <c r="D250" s="66" t="str">
        <f>VLOOKUP(B250,CORRESPONDENCIA!$C$4:$F$2105,2,0)</f>
        <v>2.6.9</v>
      </c>
      <c r="E250" s="69" t="s">
        <v>665</v>
      </c>
      <c r="F250" s="70" t="s">
        <v>666</v>
      </c>
      <c r="G250" s="68" t="str">
        <f t="shared" si="52"/>
        <v>2Q  66  10  02  00  00  00</v>
      </c>
      <c r="H250" s="68" t="str">
        <f t="shared" ref="H250:N251" si="53">H249</f>
        <v>2Q</v>
      </c>
      <c r="I250" s="68">
        <f t="shared" si="53"/>
        <v>66</v>
      </c>
      <c r="J250" s="68" t="str">
        <f t="shared" si="53"/>
        <v>10</v>
      </c>
      <c r="K250" s="68" t="str">
        <f t="shared" si="53"/>
        <v>02</v>
      </c>
      <c r="L250" s="68" t="str">
        <f t="shared" si="53"/>
        <v>00</v>
      </c>
      <c r="M250" s="68" t="str">
        <f t="shared" si="53"/>
        <v>00</v>
      </c>
      <c r="N250" s="68" t="str">
        <f t="shared" si="53"/>
        <v>00</v>
      </c>
      <c r="O250" s="81" t="str">
        <f t="shared" si="43"/>
        <v>Escavação, carga e transporte de solos moles - DMT de 2.000 a 2.500 m - caminho de serviço pavimentado - com caminhão basculante de 14 m³ | Insumo principal: Caminhão basculante com caçamba estanque com capacidade de 14 m³ - 210 kW</v>
      </c>
    </row>
    <row r="251" spans="1:15" ht="93.75">
      <c r="A251" s="11"/>
      <c r="B251" s="79" t="s">
        <v>292</v>
      </c>
      <c r="C251" s="78" t="s">
        <v>550</v>
      </c>
      <c r="D251" s="66" t="str">
        <f>VLOOKUP(B251,CORRESPONDENCIA!$C$4:$F$2105,2,0)</f>
        <v>2.6.9</v>
      </c>
      <c r="E251" s="69" t="s">
        <v>665</v>
      </c>
      <c r="F251" s="70" t="s">
        <v>666</v>
      </c>
      <c r="G251" s="68" t="str">
        <f t="shared" si="52"/>
        <v>2Q  66  10  02  00  00  00</v>
      </c>
      <c r="H251" s="68" t="str">
        <f t="shared" si="53"/>
        <v>2Q</v>
      </c>
      <c r="I251" s="68">
        <f t="shared" si="53"/>
        <v>66</v>
      </c>
      <c r="J251" s="68" t="str">
        <f t="shared" si="53"/>
        <v>10</v>
      </c>
      <c r="K251" s="68" t="str">
        <f t="shared" si="53"/>
        <v>02</v>
      </c>
      <c r="L251" s="68" t="str">
        <f t="shared" si="53"/>
        <v>00</v>
      </c>
      <c r="M251" s="68" t="str">
        <f t="shared" si="53"/>
        <v>00</v>
      </c>
      <c r="N251" s="68" t="str">
        <f t="shared" si="53"/>
        <v>00</v>
      </c>
      <c r="O251" s="81" t="str">
        <f t="shared" si="43"/>
        <v>Escavação, carga e transporte de solos moles - DMT de 2.500 a 3.000 m - caminho de serviço em leito natural - com caminhão basculante de 14 m³ | Insumo principal: Caminhão basculante com caçamba estanque com capacidade de 14 m³ - 210 kW</v>
      </c>
    </row>
    <row r="252" spans="1:15" ht="93.75">
      <c r="A252" s="11"/>
      <c r="B252" s="79" t="s">
        <v>293</v>
      </c>
      <c r="C252" s="78" t="s">
        <v>551</v>
      </c>
      <c r="D252" s="66" t="str">
        <f>VLOOKUP(B252,CORRESPONDENCIA!$C$4:$F$2105,2,0)</f>
        <v>2.6.9</v>
      </c>
      <c r="E252" s="69" t="s">
        <v>665</v>
      </c>
      <c r="F252" s="70" t="s">
        <v>666</v>
      </c>
      <c r="G252" s="68" t="str">
        <f t="shared" ref="G252:G271" si="54">G251</f>
        <v>2Q  66  10  02  00  00  00</v>
      </c>
      <c r="H252" s="68" t="str">
        <f t="shared" ref="H252:H271" si="55">H251</f>
        <v>2Q</v>
      </c>
      <c r="I252" s="68">
        <f t="shared" ref="I252:I271" si="56">I251</f>
        <v>66</v>
      </c>
      <c r="J252" s="68" t="str">
        <f t="shared" ref="J252:J271" si="57">J251</f>
        <v>10</v>
      </c>
      <c r="K252" s="68" t="str">
        <f t="shared" ref="K252:K271" si="58">K251</f>
        <v>02</v>
      </c>
      <c r="L252" s="68" t="str">
        <f t="shared" ref="L252:L271" si="59">L251</f>
        <v>00</v>
      </c>
      <c r="M252" s="68" t="str">
        <f t="shared" ref="M252:M271" si="60">M251</f>
        <v>00</v>
      </c>
      <c r="N252" s="68" t="str">
        <f t="shared" ref="N252:N271" si="61">N251</f>
        <v>00</v>
      </c>
      <c r="O252" s="81" t="str">
        <f t="shared" si="43"/>
        <v>Escavação, carga e transporte de solos moles - DMT de 2.500 a 3.000 m - caminho de serviço em revestimento primário - com caminhão basculante de 14 m³ | Insumo principal: Caminhão basculante com caçamba estanque com capacidade de 14 m³ - 210 kW</v>
      </c>
    </row>
    <row r="253" spans="1:15" ht="93.75">
      <c r="A253" s="11"/>
      <c r="B253" s="79" t="s">
        <v>294</v>
      </c>
      <c r="C253" s="78" t="s">
        <v>552</v>
      </c>
      <c r="D253" s="66" t="str">
        <f>VLOOKUP(B253,CORRESPONDENCIA!$C$4:$F$2105,2,0)</f>
        <v>2.6.9</v>
      </c>
      <c r="E253" s="69" t="s">
        <v>665</v>
      </c>
      <c r="F253" s="70" t="s">
        <v>666</v>
      </c>
      <c r="G253" s="68" t="str">
        <f t="shared" si="54"/>
        <v>2Q  66  10  02  00  00  00</v>
      </c>
      <c r="H253" s="68" t="str">
        <f t="shared" si="55"/>
        <v>2Q</v>
      </c>
      <c r="I253" s="68">
        <f t="shared" si="56"/>
        <v>66</v>
      </c>
      <c r="J253" s="68" t="str">
        <f t="shared" si="57"/>
        <v>10</v>
      </c>
      <c r="K253" s="68" t="str">
        <f t="shared" si="58"/>
        <v>02</v>
      </c>
      <c r="L253" s="68" t="str">
        <f t="shared" si="59"/>
        <v>00</v>
      </c>
      <c r="M253" s="68" t="str">
        <f t="shared" si="60"/>
        <v>00</v>
      </c>
      <c r="N253" s="68" t="str">
        <f t="shared" si="61"/>
        <v>00</v>
      </c>
      <c r="O253" s="81" t="str">
        <f t="shared" si="43"/>
        <v>Escavação, carga e transporte de solos moles - DMT de 2.500 a 3.000 m - caminho de serviço pavimentado - com caminhão basculante de 14 m³ | Insumo principal: Caminhão basculante com caçamba estanque com capacidade de 14 m³ - 210 kW</v>
      </c>
    </row>
    <row r="254" spans="1:15" ht="93.75">
      <c r="A254" s="11"/>
      <c r="B254" s="79" t="s">
        <v>295</v>
      </c>
      <c r="C254" s="78" t="s">
        <v>553</v>
      </c>
      <c r="D254" s="66" t="str">
        <f>VLOOKUP(B254,CORRESPONDENCIA!$C$4:$F$2105,2,0)</f>
        <v>2.6.9</v>
      </c>
      <c r="E254" s="69" t="s">
        <v>665</v>
      </c>
      <c r="F254" s="70" t="s">
        <v>666</v>
      </c>
      <c r="G254" s="68" t="str">
        <f t="shared" si="54"/>
        <v>2Q  66  10  02  00  00  00</v>
      </c>
      <c r="H254" s="68" t="str">
        <f t="shared" si="55"/>
        <v>2Q</v>
      </c>
      <c r="I254" s="68">
        <f t="shared" si="56"/>
        <v>66</v>
      </c>
      <c r="J254" s="68" t="str">
        <f t="shared" si="57"/>
        <v>10</v>
      </c>
      <c r="K254" s="68" t="str">
        <f t="shared" si="58"/>
        <v>02</v>
      </c>
      <c r="L254" s="68" t="str">
        <f t="shared" si="59"/>
        <v>00</v>
      </c>
      <c r="M254" s="68" t="str">
        <f t="shared" si="60"/>
        <v>00</v>
      </c>
      <c r="N254" s="68" t="str">
        <f t="shared" si="61"/>
        <v>00</v>
      </c>
      <c r="O254" s="81" t="str">
        <f t="shared" si="43"/>
        <v>Escavação, carga e transporte de solos moles - DMT de 200 a 400 m - caminho de serviço em leito natural - com caminhão basculante de 14 m³ | Insumo principal: Caminhão basculante com caçamba estanque com capacidade de 14 m³ - 210 kW</v>
      </c>
    </row>
    <row r="255" spans="1:15" ht="93.75">
      <c r="A255" s="11"/>
      <c r="B255" s="79" t="s">
        <v>296</v>
      </c>
      <c r="C255" s="78" t="s">
        <v>554</v>
      </c>
      <c r="D255" s="66" t="str">
        <f>VLOOKUP(B255,CORRESPONDENCIA!$C$4:$F$2105,2,0)</f>
        <v>2.6.9</v>
      </c>
      <c r="E255" s="69" t="s">
        <v>665</v>
      </c>
      <c r="F255" s="70" t="s">
        <v>666</v>
      </c>
      <c r="G255" s="68" t="str">
        <f t="shared" si="54"/>
        <v>2Q  66  10  02  00  00  00</v>
      </c>
      <c r="H255" s="68" t="str">
        <f t="shared" si="55"/>
        <v>2Q</v>
      </c>
      <c r="I255" s="68">
        <f t="shared" si="56"/>
        <v>66</v>
      </c>
      <c r="J255" s="68" t="str">
        <f t="shared" si="57"/>
        <v>10</v>
      </c>
      <c r="K255" s="68" t="str">
        <f t="shared" si="58"/>
        <v>02</v>
      </c>
      <c r="L255" s="68" t="str">
        <f t="shared" si="59"/>
        <v>00</v>
      </c>
      <c r="M255" s="68" t="str">
        <f t="shared" si="60"/>
        <v>00</v>
      </c>
      <c r="N255" s="68" t="str">
        <f t="shared" si="61"/>
        <v>00</v>
      </c>
      <c r="O255" s="81" t="str">
        <f t="shared" si="43"/>
        <v>Escavação, carga e transporte de solos moles - DMT de 200 a 400 m - caminho de serviço em revestimento primário - com caminhão basculante de 14 m³ | Insumo principal: Caminhão basculante com caçamba estanque com capacidade de 14 m³ - 210 kW</v>
      </c>
    </row>
    <row r="256" spans="1:15" ht="93.75">
      <c r="A256" s="11"/>
      <c r="B256" s="79" t="s">
        <v>297</v>
      </c>
      <c r="C256" s="78" t="s">
        <v>555</v>
      </c>
      <c r="D256" s="66" t="str">
        <f>VLOOKUP(B256,CORRESPONDENCIA!$C$4:$F$2105,2,0)</f>
        <v>2.6.9</v>
      </c>
      <c r="E256" s="69" t="s">
        <v>665</v>
      </c>
      <c r="F256" s="70" t="s">
        <v>666</v>
      </c>
      <c r="G256" s="68" t="str">
        <f t="shared" si="54"/>
        <v>2Q  66  10  02  00  00  00</v>
      </c>
      <c r="H256" s="68" t="str">
        <f t="shared" si="55"/>
        <v>2Q</v>
      </c>
      <c r="I256" s="68">
        <f t="shared" si="56"/>
        <v>66</v>
      </c>
      <c r="J256" s="68" t="str">
        <f t="shared" si="57"/>
        <v>10</v>
      </c>
      <c r="K256" s="68" t="str">
        <f t="shared" si="58"/>
        <v>02</v>
      </c>
      <c r="L256" s="68" t="str">
        <f t="shared" si="59"/>
        <v>00</v>
      </c>
      <c r="M256" s="68" t="str">
        <f t="shared" si="60"/>
        <v>00</v>
      </c>
      <c r="N256" s="68" t="str">
        <f t="shared" si="61"/>
        <v>00</v>
      </c>
      <c r="O256" s="81" t="str">
        <f t="shared" si="43"/>
        <v>Escavação, carga e transporte de solos moles - DMT de 200 a 400 m - caminho de serviço pavimentado - com caminhão basculante de 14 m³ | Insumo principal: Caminhão basculante com caçamba estanque com capacidade de 14 m³ - 210 kW</v>
      </c>
    </row>
    <row r="257" spans="1:15" ht="93.75">
      <c r="A257" s="11"/>
      <c r="B257" s="79" t="s">
        <v>298</v>
      </c>
      <c r="C257" s="78" t="s">
        <v>556</v>
      </c>
      <c r="D257" s="66" t="str">
        <f>VLOOKUP(B257,CORRESPONDENCIA!$C$4:$F$2105,2,0)</f>
        <v>2.6.9</v>
      </c>
      <c r="E257" s="69" t="s">
        <v>665</v>
      </c>
      <c r="F257" s="70" t="s">
        <v>666</v>
      </c>
      <c r="G257" s="68" t="str">
        <f t="shared" si="54"/>
        <v>2Q  66  10  02  00  00  00</v>
      </c>
      <c r="H257" s="68" t="str">
        <f t="shared" si="55"/>
        <v>2Q</v>
      </c>
      <c r="I257" s="68">
        <f t="shared" si="56"/>
        <v>66</v>
      </c>
      <c r="J257" s="68" t="str">
        <f t="shared" si="57"/>
        <v>10</v>
      </c>
      <c r="K257" s="68" t="str">
        <f t="shared" si="58"/>
        <v>02</v>
      </c>
      <c r="L257" s="68" t="str">
        <f t="shared" si="59"/>
        <v>00</v>
      </c>
      <c r="M257" s="68" t="str">
        <f t="shared" si="60"/>
        <v>00</v>
      </c>
      <c r="N257" s="68" t="str">
        <f t="shared" si="61"/>
        <v>00</v>
      </c>
      <c r="O257" s="81" t="str">
        <f t="shared" si="43"/>
        <v>Escavação, carga e transporte de solos moles - DMT de 400 a 600 m - caminho de serviço em leito natural - com caminhão basculante de 14 m³ | Insumo principal: Caminhão basculante com caçamba estanque com capacidade de 14 m³ - 210 kW</v>
      </c>
    </row>
    <row r="258" spans="1:15" ht="93.75">
      <c r="A258" s="11"/>
      <c r="B258" s="79" t="s">
        <v>299</v>
      </c>
      <c r="C258" s="78" t="s">
        <v>557</v>
      </c>
      <c r="D258" s="66" t="str">
        <f>VLOOKUP(B258,CORRESPONDENCIA!$C$4:$F$2105,2,0)</f>
        <v>2.6.9</v>
      </c>
      <c r="E258" s="69" t="s">
        <v>665</v>
      </c>
      <c r="F258" s="70" t="s">
        <v>666</v>
      </c>
      <c r="G258" s="68" t="str">
        <f t="shared" si="54"/>
        <v>2Q  66  10  02  00  00  00</v>
      </c>
      <c r="H258" s="68" t="str">
        <f t="shared" si="55"/>
        <v>2Q</v>
      </c>
      <c r="I258" s="68">
        <f t="shared" si="56"/>
        <v>66</v>
      </c>
      <c r="J258" s="68" t="str">
        <f t="shared" si="57"/>
        <v>10</v>
      </c>
      <c r="K258" s="68" t="str">
        <f t="shared" si="58"/>
        <v>02</v>
      </c>
      <c r="L258" s="68" t="str">
        <f t="shared" si="59"/>
        <v>00</v>
      </c>
      <c r="M258" s="68" t="str">
        <f t="shared" si="60"/>
        <v>00</v>
      </c>
      <c r="N258" s="68" t="str">
        <f t="shared" si="61"/>
        <v>00</v>
      </c>
      <c r="O258" s="81" t="str">
        <f t="shared" si="43"/>
        <v>Escavação, carga e transporte de solos moles - DMT de 400 a 600 m - caminho de serviço em revestimento primário - com caminhão basculante de 14 m³ | Insumo principal: Caminhão basculante com caçamba estanque com capacidade de 14 m³ - 210 kW</v>
      </c>
    </row>
    <row r="259" spans="1:15" ht="93.75">
      <c r="A259" s="11"/>
      <c r="B259" s="79" t="s">
        <v>300</v>
      </c>
      <c r="C259" s="78" t="s">
        <v>558</v>
      </c>
      <c r="D259" s="66" t="str">
        <f>VLOOKUP(B259,CORRESPONDENCIA!$C$4:$F$2105,2,0)</f>
        <v>2.6.9</v>
      </c>
      <c r="E259" s="69" t="s">
        <v>665</v>
      </c>
      <c r="F259" s="70" t="s">
        <v>666</v>
      </c>
      <c r="G259" s="68" t="str">
        <f t="shared" si="54"/>
        <v>2Q  66  10  02  00  00  00</v>
      </c>
      <c r="H259" s="68" t="str">
        <f t="shared" si="55"/>
        <v>2Q</v>
      </c>
      <c r="I259" s="68">
        <f t="shared" si="56"/>
        <v>66</v>
      </c>
      <c r="J259" s="68" t="str">
        <f t="shared" si="57"/>
        <v>10</v>
      </c>
      <c r="K259" s="68" t="str">
        <f t="shared" si="58"/>
        <v>02</v>
      </c>
      <c r="L259" s="68" t="str">
        <f t="shared" si="59"/>
        <v>00</v>
      </c>
      <c r="M259" s="68" t="str">
        <f t="shared" si="60"/>
        <v>00</v>
      </c>
      <c r="N259" s="68" t="str">
        <f t="shared" si="61"/>
        <v>00</v>
      </c>
      <c r="O259" s="81" t="str">
        <f t="shared" si="43"/>
        <v>Escavação, carga e transporte de solos moles - DMT de 400 a 600 m - caminho de serviço pavimentado - com caminhão basculante de 14 m³ | Insumo principal: Caminhão basculante com caçamba estanque com capacidade de 14 m³ - 210 kW</v>
      </c>
    </row>
    <row r="260" spans="1:15" ht="93.75">
      <c r="A260" s="11"/>
      <c r="B260" s="79" t="s">
        <v>301</v>
      </c>
      <c r="C260" s="78" t="s">
        <v>559</v>
      </c>
      <c r="D260" s="66" t="str">
        <f>VLOOKUP(B260,CORRESPONDENCIA!$C$4:$F$2105,2,0)</f>
        <v>2.6.9</v>
      </c>
      <c r="E260" s="69" t="s">
        <v>665</v>
      </c>
      <c r="F260" s="70" t="s">
        <v>666</v>
      </c>
      <c r="G260" s="68" t="str">
        <f t="shared" si="54"/>
        <v>2Q  66  10  02  00  00  00</v>
      </c>
      <c r="H260" s="68" t="str">
        <f t="shared" si="55"/>
        <v>2Q</v>
      </c>
      <c r="I260" s="68">
        <f t="shared" si="56"/>
        <v>66</v>
      </c>
      <c r="J260" s="68" t="str">
        <f t="shared" si="57"/>
        <v>10</v>
      </c>
      <c r="K260" s="68" t="str">
        <f t="shared" si="58"/>
        <v>02</v>
      </c>
      <c r="L260" s="68" t="str">
        <f t="shared" si="59"/>
        <v>00</v>
      </c>
      <c r="M260" s="68" t="str">
        <f t="shared" si="60"/>
        <v>00</v>
      </c>
      <c r="N260" s="68" t="str">
        <f t="shared" si="61"/>
        <v>00</v>
      </c>
      <c r="O260" s="81" t="str">
        <f t="shared" si="43"/>
        <v>Escavação, carga e transporte de solos moles - DMT de 50 a 200 m - caminho de serviço em leito natural - com caminhão basculante de 14 m³ | Insumo principal: Caminhão basculante com caçamba estanque com capacidade de 14 m³ - 210 kW</v>
      </c>
    </row>
    <row r="261" spans="1:15" ht="93.75">
      <c r="A261" s="11"/>
      <c r="B261" s="79" t="s">
        <v>302</v>
      </c>
      <c r="C261" s="78" t="s">
        <v>560</v>
      </c>
      <c r="D261" s="66" t="str">
        <f>VLOOKUP(B261,CORRESPONDENCIA!$C$4:$F$2105,2,0)</f>
        <v>2.6.9</v>
      </c>
      <c r="E261" s="69" t="s">
        <v>665</v>
      </c>
      <c r="F261" s="70" t="s">
        <v>666</v>
      </c>
      <c r="G261" s="68" t="str">
        <f t="shared" si="54"/>
        <v>2Q  66  10  02  00  00  00</v>
      </c>
      <c r="H261" s="68" t="str">
        <f t="shared" si="55"/>
        <v>2Q</v>
      </c>
      <c r="I261" s="68">
        <f t="shared" si="56"/>
        <v>66</v>
      </c>
      <c r="J261" s="68" t="str">
        <f t="shared" si="57"/>
        <v>10</v>
      </c>
      <c r="K261" s="68" t="str">
        <f t="shared" si="58"/>
        <v>02</v>
      </c>
      <c r="L261" s="68" t="str">
        <f t="shared" si="59"/>
        <v>00</v>
      </c>
      <c r="M261" s="68" t="str">
        <f t="shared" si="60"/>
        <v>00</v>
      </c>
      <c r="N261" s="68" t="str">
        <f t="shared" si="61"/>
        <v>00</v>
      </c>
      <c r="O261" s="81" t="str">
        <f t="shared" ref="O261:O277" si="62" xml:space="preserve"> C261 &amp; " | Insumo principal: " &amp; F261</f>
        <v>Escavação, carga e transporte de solos moles - DMT de 50 a 200 m - caminho de serviço em revestimento primário - com caminhão basculante de 14 m³ | Insumo principal: Caminhão basculante com caçamba estanque com capacidade de 14 m³ - 210 kW</v>
      </c>
    </row>
    <row r="262" spans="1:15" ht="93.75">
      <c r="A262" s="11"/>
      <c r="B262" s="79" t="s">
        <v>303</v>
      </c>
      <c r="C262" s="78" t="s">
        <v>561</v>
      </c>
      <c r="D262" s="66" t="str">
        <f>VLOOKUP(B262,CORRESPONDENCIA!$C$4:$F$2105,2,0)</f>
        <v>2.6.9</v>
      </c>
      <c r="E262" s="69" t="s">
        <v>665</v>
      </c>
      <c r="F262" s="70" t="s">
        <v>666</v>
      </c>
      <c r="G262" s="68" t="str">
        <f t="shared" si="54"/>
        <v>2Q  66  10  02  00  00  00</v>
      </c>
      <c r="H262" s="68" t="str">
        <f t="shared" si="55"/>
        <v>2Q</v>
      </c>
      <c r="I262" s="68">
        <f t="shared" si="56"/>
        <v>66</v>
      </c>
      <c r="J262" s="68" t="str">
        <f t="shared" si="57"/>
        <v>10</v>
      </c>
      <c r="K262" s="68" t="str">
        <f t="shared" si="58"/>
        <v>02</v>
      </c>
      <c r="L262" s="68" t="str">
        <f t="shared" si="59"/>
        <v>00</v>
      </c>
      <c r="M262" s="68" t="str">
        <f t="shared" si="60"/>
        <v>00</v>
      </c>
      <c r="N262" s="68" t="str">
        <f t="shared" si="61"/>
        <v>00</v>
      </c>
      <c r="O262" s="81" t="str">
        <f t="shared" si="62"/>
        <v>Escavação, carga e transporte de solos moles - DMT de 50 a 200 m - caminho de serviço pavimentado - com caminhão basculante de 14 m³ | Insumo principal: Caminhão basculante com caçamba estanque com capacidade de 14 m³ - 210 kW</v>
      </c>
    </row>
    <row r="263" spans="1:15" ht="93.75">
      <c r="A263" s="11"/>
      <c r="B263" s="79" t="s">
        <v>304</v>
      </c>
      <c r="C263" s="78" t="s">
        <v>562</v>
      </c>
      <c r="D263" s="66" t="str">
        <f>VLOOKUP(B263,CORRESPONDENCIA!$C$4:$F$2105,2,0)</f>
        <v>2.6.9</v>
      </c>
      <c r="E263" s="69" t="s">
        <v>665</v>
      </c>
      <c r="F263" s="70" t="s">
        <v>666</v>
      </c>
      <c r="G263" s="68" t="str">
        <f t="shared" si="54"/>
        <v>2Q  66  10  02  00  00  00</v>
      </c>
      <c r="H263" s="68" t="str">
        <f t="shared" si="55"/>
        <v>2Q</v>
      </c>
      <c r="I263" s="68">
        <f t="shared" si="56"/>
        <v>66</v>
      </c>
      <c r="J263" s="68" t="str">
        <f t="shared" si="57"/>
        <v>10</v>
      </c>
      <c r="K263" s="68" t="str">
        <f t="shared" si="58"/>
        <v>02</v>
      </c>
      <c r="L263" s="68" t="str">
        <f t="shared" si="59"/>
        <v>00</v>
      </c>
      <c r="M263" s="68" t="str">
        <f t="shared" si="60"/>
        <v>00</v>
      </c>
      <c r="N263" s="68" t="str">
        <f t="shared" si="61"/>
        <v>00</v>
      </c>
      <c r="O263" s="81" t="str">
        <f t="shared" si="62"/>
        <v>Escavação, carga e transporte de solos moles - DMT de 600 a 800 m - caminho de serviço em leito natural - com caminhão basculante de 14 m³ | Insumo principal: Caminhão basculante com caçamba estanque com capacidade de 14 m³ - 210 kW</v>
      </c>
    </row>
    <row r="264" spans="1:15" ht="93.75">
      <c r="A264" s="11"/>
      <c r="B264" s="79" t="s">
        <v>305</v>
      </c>
      <c r="C264" s="78" t="s">
        <v>563</v>
      </c>
      <c r="D264" s="66" t="str">
        <f>VLOOKUP(B264,CORRESPONDENCIA!$C$4:$F$2105,2,0)</f>
        <v>2.6.9</v>
      </c>
      <c r="E264" s="69" t="s">
        <v>665</v>
      </c>
      <c r="F264" s="70" t="s">
        <v>666</v>
      </c>
      <c r="G264" s="68" t="str">
        <f t="shared" si="54"/>
        <v>2Q  66  10  02  00  00  00</v>
      </c>
      <c r="H264" s="68" t="str">
        <f t="shared" si="55"/>
        <v>2Q</v>
      </c>
      <c r="I264" s="68">
        <f t="shared" si="56"/>
        <v>66</v>
      </c>
      <c r="J264" s="68" t="str">
        <f t="shared" si="57"/>
        <v>10</v>
      </c>
      <c r="K264" s="68" t="str">
        <f t="shared" si="58"/>
        <v>02</v>
      </c>
      <c r="L264" s="68" t="str">
        <f t="shared" si="59"/>
        <v>00</v>
      </c>
      <c r="M264" s="68" t="str">
        <f t="shared" si="60"/>
        <v>00</v>
      </c>
      <c r="N264" s="68" t="str">
        <f t="shared" si="61"/>
        <v>00</v>
      </c>
      <c r="O264" s="81" t="str">
        <f t="shared" si="62"/>
        <v>Escavação, carga e transporte de solos moles - DMT de 600 a 800 m - caminho de serviço em revestimento primário - com caminhão basculante de 14 m³ | Insumo principal: Caminhão basculante com caçamba estanque com capacidade de 14 m³ - 210 kW</v>
      </c>
    </row>
    <row r="265" spans="1:15" ht="93.75">
      <c r="A265" s="11"/>
      <c r="B265" s="79" t="s">
        <v>306</v>
      </c>
      <c r="C265" s="78" t="s">
        <v>564</v>
      </c>
      <c r="D265" s="66" t="str">
        <f>VLOOKUP(B265,CORRESPONDENCIA!$C$4:$F$2105,2,0)</f>
        <v>2.6.9</v>
      </c>
      <c r="E265" s="69" t="s">
        <v>665</v>
      </c>
      <c r="F265" s="70" t="s">
        <v>666</v>
      </c>
      <c r="G265" s="68" t="str">
        <f t="shared" si="54"/>
        <v>2Q  66  10  02  00  00  00</v>
      </c>
      <c r="H265" s="68" t="str">
        <f t="shared" si="55"/>
        <v>2Q</v>
      </c>
      <c r="I265" s="68">
        <f t="shared" si="56"/>
        <v>66</v>
      </c>
      <c r="J265" s="68" t="str">
        <f t="shared" si="57"/>
        <v>10</v>
      </c>
      <c r="K265" s="68" t="str">
        <f t="shared" si="58"/>
        <v>02</v>
      </c>
      <c r="L265" s="68" t="str">
        <f t="shared" si="59"/>
        <v>00</v>
      </c>
      <c r="M265" s="68" t="str">
        <f t="shared" si="60"/>
        <v>00</v>
      </c>
      <c r="N265" s="68" t="str">
        <f t="shared" si="61"/>
        <v>00</v>
      </c>
      <c r="O265" s="81" t="str">
        <f t="shared" si="62"/>
        <v>Escavação, carga e transporte de solos moles - DMT de 600 a 800 m - caminho de serviço pavimentado - com caminhão basculante de 14 m³ | Insumo principal: Caminhão basculante com caçamba estanque com capacidade de 14 m³ - 210 kW</v>
      </c>
    </row>
    <row r="266" spans="1:15" ht="93.75">
      <c r="A266" s="11"/>
      <c r="B266" s="79">
        <v>5502903</v>
      </c>
      <c r="C266" s="78" t="s">
        <v>565</v>
      </c>
      <c r="D266" s="66" t="e">
        <f>VLOOKUP(B266,CORRESPONDENCIA!$C$4:$F$2105,2,0)</f>
        <v>#N/A</v>
      </c>
      <c r="E266" s="69" t="s">
        <v>665</v>
      </c>
      <c r="F266" s="70" t="s">
        <v>666</v>
      </c>
      <c r="G266" s="68" t="str">
        <f t="shared" si="54"/>
        <v>2Q  66  10  02  00  00  00</v>
      </c>
      <c r="H266" s="68" t="str">
        <f t="shared" si="55"/>
        <v>2Q</v>
      </c>
      <c r="I266" s="68">
        <f t="shared" si="56"/>
        <v>66</v>
      </c>
      <c r="J266" s="68" t="str">
        <f t="shared" si="57"/>
        <v>10</v>
      </c>
      <c r="K266" s="68" t="str">
        <f t="shared" si="58"/>
        <v>02</v>
      </c>
      <c r="L266" s="68" t="str">
        <f t="shared" si="59"/>
        <v>00</v>
      </c>
      <c r="M266" s="68" t="str">
        <f t="shared" si="60"/>
        <v>00</v>
      </c>
      <c r="N266" s="68" t="str">
        <f t="shared" si="61"/>
        <v>00</v>
      </c>
      <c r="O266" s="81" t="str">
        <f t="shared" si="62"/>
        <v>Escavação, carga e transporte de solos moles - DMT de 800 a 1.000 m - caminho de serviço em leito natural - com caminhão basculante de 14 m³ | Insumo principal: Caminhão basculante com caçamba estanque com capacidade de 14 m³ - 210 kW</v>
      </c>
    </row>
    <row r="267" spans="1:15" ht="93.75">
      <c r="A267" s="11"/>
      <c r="B267" s="79" t="s">
        <v>308</v>
      </c>
      <c r="C267" s="78" t="s">
        <v>566</v>
      </c>
      <c r="D267" s="66" t="str">
        <f>VLOOKUP(B267,CORRESPONDENCIA!$C$4:$F$2105,2,0)</f>
        <v>2.6.9</v>
      </c>
      <c r="E267" s="69" t="s">
        <v>665</v>
      </c>
      <c r="F267" s="70" t="s">
        <v>666</v>
      </c>
      <c r="G267" s="68" t="str">
        <f t="shared" si="54"/>
        <v>2Q  66  10  02  00  00  00</v>
      </c>
      <c r="H267" s="68" t="str">
        <f t="shared" si="55"/>
        <v>2Q</v>
      </c>
      <c r="I267" s="68">
        <f t="shared" si="56"/>
        <v>66</v>
      </c>
      <c r="J267" s="68" t="str">
        <f t="shared" si="57"/>
        <v>10</v>
      </c>
      <c r="K267" s="68" t="str">
        <f t="shared" si="58"/>
        <v>02</v>
      </c>
      <c r="L267" s="68" t="str">
        <f t="shared" si="59"/>
        <v>00</v>
      </c>
      <c r="M267" s="68" t="str">
        <f t="shared" si="60"/>
        <v>00</v>
      </c>
      <c r="N267" s="68" t="str">
        <f t="shared" si="61"/>
        <v>00</v>
      </c>
      <c r="O267" s="81" t="str">
        <f t="shared" si="62"/>
        <v>Escavação, carga e transporte de solos moles - DMT de 800 a 1.000 m - caminho de serviço em revestimento primário - com caminhão basculante de 14 m³ | Insumo principal: Caminhão basculante com caçamba estanque com capacidade de 14 m³ - 210 kW</v>
      </c>
    </row>
    <row r="268" spans="1:15" ht="93.75">
      <c r="A268" s="11"/>
      <c r="B268" s="79" t="s">
        <v>309</v>
      </c>
      <c r="C268" s="78" t="s">
        <v>567</v>
      </c>
      <c r="D268" s="66" t="str">
        <f>VLOOKUP(B268,CORRESPONDENCIA!$C$4:$F$2105,2,0)</f>
        <v>2.6.9</v>
      </c>
      <c r="E268" s="69" t="s">
        <v>665</v>
      </c>
      <c r="F268" s="70" t="s">
        <v>666</v>
      </c>
      <c r="G268" s="68" t="str">
        <f t="shared" si="54"/>
        <v>2Q  66  10  02  00  00  00</v>
      </c>
      <c r="H268" s="68" t="str">
        <f t="shared" si="55"/>
        <v>2Q</v>
      </c>
      <c r="I268" s="68">
        <f t="shared" si="56"/>
        <v>66</v>
      </c>
      <c r="J268" s="68" t="str">
        <f t="shared" si="57"/>
        <v>10</v>
      </c>
      <c r="K268" s="68" t="str">
        <f t="shared" si="58"/>
        <v>02</v>
      </c>
      <c r="L268" s="68" t="str">
        <f t="shared" si="59"/>
        <v>00</v>
      </c>
      <c r="M268" s="68" t="str">
        <f t="shared" si="60"/>
        <v>00</v>
      </c>
      <c r="N268" s="68" t="str">
        <f t="shared" si="61"/>
        <v>00</v>
      </c>
      <c r="O268" s="81" t="str">
        <f t="shared" si="62"/>
        <v>Escavação, carga e transporte de solos moles - DMT de 800 a 1.000 m - caminho de serviço pavimentado - com caminhão basculante de 14 m³ | Insumo principal: Caminhão basculante com caçamba estanque com capacidade de 14 m³ - 210 kW</v>
      </c>
    </row>
    <row r="269" spans="1:15" ht="93.75">
      <c r="A269" s="11"/>
      <c r="B269" s="79" t="s">
        <v>310</v>
      </c>
      <c r="C269" s="78" t="s">
        <v>568</v>
      </c>
      <c r="D269" s="66" t="str">
        <f>VLOOKUP(B269,CORRESPONDENCIA!$C$4:$F$2105,2,0)</f>
        <v>2.6.9</v>
      </c>
      <c r="E269" s="69" t="s">
        <v>665</v>
      </c>
      <c r="F269" s="70" t="s">
        <v>666</v>
      </c>
      <c r="G269" s="68" t="str">
        <f t="shared" si="54"/>
        <v>2Q  66  10  02  00  00  00</v>
      </c>
      <c r="H269" s="68" t="str">
        <f t="shared" si="55"/>
        <v>2Q</v>
      </c>
      <c r="I269" s="68">
        <f t="shared" si="56"/>
        <v>66</v>
      </c>
      <c r="J269" s="68" t="str">
        <f t="shared" si="57"/>
        <v>10</v>
      </c>
      <c r="K269" s="68" t="str">
        <f t="shared" si="58"/>
        <v>02</v>
      </c>
      <c r="L269" s="68" t="str">
        <f t="shared" si="59"/>
        <v>00</v>
      </c>
      <c r="M269" s="68" t="str">
        <f t="shared" si="60"/>
        <v>00</v>
      </c>
      <c r="N269" s="68" t="str">
        <f t="shared" si="61"/>
        <v>00</v>
      </c>
      <c r="O269" s="81" t="str">
        <f t="shared" si="62"/>
        <v>Escavação, carga e transporte de solos moles na distância de 3.000 m - caminho de serviço em leito natural - com caminhão basculante de 14 m³ | Insumo principal: Caminhão basculante com caçamba estanque com capacidade de 14 m³ - 210 kW</v>
      </c>
    </row>
    <row r="270" spans="1:15" ht="93.75">
      <c r="A270" s="11"/>
      <c r="B270" s="79" t="s">
        <v>311</v>
      </c>
      <c r="C270" s="78" t="s">
        <v>569</v>
      </c>
      <c r="D270" s="66" t="str">
        <f>VLOOKUP(B270,CORRESPONDENCIA!$C$4:$F$2105,2,0)</f>
        <v>2.6.9</v>
      </c>
      <c r="E270" s="69" t="s">
        <v>665</v>
      </c>
      <c r="F270" s="70" t="s">
        <v>666</v>
      </c>
      <c r="G270" s="68" t="str">
        <f t="shared" si="54"/>
        <v>2Q  66  10  02  00  00  00</v>
      </c>
      <c r="H270" s="68" t="str">
        <f t="shared" si="55"/>
        <v>2Q</v>
      </c>
      <c r="I270" s="68">
        <f t="shared" si="56"/>
        <v>66</v>
      </c>
      <c r="J270" s="68" t="str">
        <f t="shared" si="57"/>
        <v>10</v>
      </c>
      <c r="K270" s="68" t="str">
        <f t="shared" si="58"/>
        <v>02</v>
      </c>
      <c r="L270" s="68" t="str">
        <f t="shared" si="59"/>
        <v>00</v>
      </c>
      <c r="M270" s="68" t="str">
        <f t="shared" si="60"/>
        <v>00</v>
      </c>
      <c r="N270" s="68" t="str">
        <f t="shared" si="61"/>
        <v>00</v>
      </c>
      <c r="O270" s="81" t="str">
        <f t="shared" si="62"/>
        <v>Escavação, carga e transporte de solos moles na distância de 3.000 m - caminho de serviço em revestimento primário - com caminhão basculante de 14 m³ | Insumo principal: Caminhão basculante com caçamba estanque com capacidade de 14 m³ - 210 kW</v>
      </c>
    </row>
    <row r="271" spans="1:15" ht="93.75">
      <c r="A271" s="11"/>
      <c r="B271" s="79" t="s">
        <v>312</v>
      </c>
      <c r="C271" s="78" t="s">
        <v>570</v>
      </c>
      <c r="D271" s="66" t="str">
        <f>VLOOKUP(B271,CORRESPONDENCIA!$C$4:$F$2105,2,0)</f>
        <v>2.6.9</v>
      </c>
      <c r="E271" s="69" t="s">
        <v>665</v>
      </c>
      <c r="F271" s="70" t="s">
        <v>666</v>
      </c>
      <c r="G271" s="68" t="str">
        <f t="shared" si="54"/>
        <v>2Q  66  10  02  00  00  00</v>
      </c>
      <c r="H271" s="68" t="str">
        <f t="shared" si="55"/>
        <v>2Q</v>
      </c>
      <c r="I271" s="68">
        <f t="shared" si="56"/>
        <v>66</v>
      </c>
      <c r="J271" s="68" t="str">
        <f t="shared" si="57"/>
        <v>10</v>
      </c>
      <c r="K271" s="68" t="str">
        <f t="shared" si="58"/>
        <v>02</v>
      </c>
      <c r="L271" s="68" t="str">
        <f t="shared" si="59"/>
        <v>00</v>
      </c>
      <c r="M271" s="68" t="str">
        <f t="shared" si="60"/>
        <v>00</v>
      </c>
      <c r="N271" s="68" t="str">
        <f t="shared" si="61"/>
        <v>00</v>
      </c>
      <c r="O271" s="81" t="str">
        <f t="shared" si="62"/>
        <v>Escavação, carga e transporte de solos moles na distância de 3.000 m - caminho de serviço pavimentado - com caminhão basculante de 14 m³ | Insumo principal: Caminhão basculante com caçamba estanque com capacidade de 14 m³ - 210 kW</v>
      </c>
    </row>
    <row r="272" spans="1:15" ht="56.25">
      <c r="A272" s="11"/>
      <c r="B272" s="79">
        <v>5503041</v>
      </c>
      <c r="C272" s="78" t="s">
        <v>58</v>
      </c>
      <c r="D272" s="66" t="e">
        <f>VLOOKUP(B272,CORRESPONDENCIA!$C$4:$F$2105,2,0)</f>
        <v>#N/A</v>
      </c>
      <c r="E272" s="66" t="s">
        <v>599</v>
      </c>
      <c r="F272" s="72" t="s">
        <v>600</v>
      </c>
      <c r="G272" s="68" t="str">
        <f>G273</f>
        <v>2Q  62  34  54  02  06  00</v>
      </c>
      <c r="H272" s="68" t="str">
        <f t="shared" ref="H272:N272" si="63">H273</f>
        <v>2Q</v>
      </c>
      <c r="I272" s="68">
        <f t="shared" si="63"/>
        <v>62</v>
      </c>
      <c r="J272" s="68" t="str">
        <f t="shared" si="63"/>
        <v>34</v>
      </c>
      <c r="K272" s="68" t="str">
        <f t="shared" si="63"/>
        <v>54</v>
      </c>
      <c r="L272" s="68" t="str">
        <f t="shared" si="63"/>
        <v>02</v>
      </c>
      <c r="M272" s="68" t="str">
        <f t="shared" si="63"/>
        <v>06</v>
      </c>
      <c r="N272" s="68" t="str">
        <f t="shared" si="63"/>
        <v>00</v>
      </c>
      <c r="O272" s="81" t="str">
        <f t="shared" si="62"/>
        <v>Compactação de aterros a 100% do Proctor intermediário | Insumo principal: Rolo compactador pé de carneiro vibratório autopropelido por pneus de 11,6 t - 82 kW</v>
      </c>
    </row>
    <row r="273" spans="1:15" ht="56.25">
      <c r="A273" s="11"/>
      <c r="B273" s="79">
        <v>5502978</v>
      </c>
      <c r="C273" s="78" t="s">
        <v>59</v>
      </c>
      <c r="D273" s="66" t="str">
        <f>VLOOKUP(B273,CORRESPONDENCIA!$C$4:$F$2105,2,0)</f>
        <v>2.7.1</v>
      </c>
      <c r="E273" s="66" t="s">
        <v>599</v>
      </c>
      <c r="F273" s="72" t="s">
        <v>600</v>
      </c>
      <c r="G273" s="68" t="str">
        <f>'insumos terrapl'!D43</f>
        <v>2Q  62  34  54  02  06  00</v>
      </c>
      <c r="H273" s="68" t="str">
        <f>'insumos terrapl'!E43</f>
        <v>2Q</v>
      </c>
      <c r="I273" s="68">
        <f>'insumos terrapl'!F43</f>
        <v>62</v>
      </c>
      <c r="J273" s="68" t="str">
        <f>'insumos terrapl'!G43</f>
        <v>34</v>
      </c>
      <c r="K273" s="68" t="str">
        <f>'insumos terrapl'!H43</f>
        <v>54</v>
      </c>
      <c r="L273" s="68" t="str">
        <f>'insumos terrapl'!I43</f>
        <v>02</v>
      </c>
      <c r="M273" s="68" t="str">
        <f>'insumos terrapl'!J43</f>
        <v>06</v>
      </c>
      <c r="N273" s="68" t="str">
        <f>'insumos terrapl'!K43</f>
        <v>00</v>
      </c>
      <c r="O273" s="81" t="str">
        <f t="shared" si="62"/>
        <v>Compactação de aterros a 100% do Proctor normal | Insumo principal: Rolo compactador pé de carneiro vibratório autopropelido por pneus de 11,6 t - 82 kW</v>
      </c>
    </row>
    <row r="274" spans="1:15" ht="56.25">
      <c r="A274" s="11"/>
      <c r="B274" s="79" t="s">
        <v>316</v>
      </c>
      <c r="C274" s="78" t="s">
        <v>15</v>
      </c>
      <c r="D274" s="66" t="str">
        <f>VLOOKUP(B274,CORRESPONDENCIA!$C$4:$F$2105,2,0)</f>
        <v>2.7.2</v>
      </c>
      <c r="E274" s="66" t="s">
        <v>603</v>
      </c>
      <c r="F274" s="72" t="s">
        <v>604</v>
      </c>
      <c r="G274" s="68" t="str">
        <f>'insumos terrapl'!D45</f>
        <v>2Q  62  34  54  02  02  00</v>
      </c>
      <c r="H274" s="68" t="str">
        <f>'insumos terrapl'!E45</f>
        <v>2Q</v>
      </c>
      <c r="I274" s="68">
        <f>'insumos terrapl'!F45</f>
        <v>62</v>
      </c>
      <c r="J274" s="68" t="str">
        <f>'insumos terrapl'!G45</f>
        <v>34</v>
      </c>
      <c r="K274" s="68" t="str">
        <f>'insumos terrapl'!H45</f>
        <v>54</v>
      </c>
      <c r="L274" s="68" t="str">
        <f>'insumos terrapl'!I45</f>
        <v>02</v>
      </c>
      <c r="M274" s="68" t="str">
        <f>'insumos terrapl'!J45</f>
        <v>02</v>
      </c>
      <c r="N274" s="68" t="str">
        <f>'insumos terrapl'!K45</f>
        <v>00</v>
      </c>
      <c r="O274" s="81" t="str">
        <f t="shared" si="62"/>
        <v>Compactação de camada final de aterro em rocha | Insumo principal: Rolo compactador liso vibratório autopropelido por pneus de 11 t - 97 kW</v>
      </c>
    </row>
    <row r="275" spans="1:15" ht="56.25">
      <c r="A275" s="11"/>
      <c r="B275" s="79" t="s">
        <v>317</v>
      </c>
      <c r="C275" s="78" t="s">
        <v>14</v>
      </c>
      <c r="D275" s="66" t="str">
        <f>VLOOKUP(B275,CORRESPONDENCIA!$C$4:$F$2105,2,0)</f>
        <v>2.8.1</v>
      </c>
      <c r="E275" s="69" t="s">
        <v>605</v>
      </c>
      <c r="F275" s="70" t="s">
        <v>606</v>
      </c>
      <c r="G275" s="68" t="str">
        <f>'insumos terrapl'!D3</f>
        <v>2Q  62  30  02  14  00  00</v>
      </c>
      <c r="H275" s="68" t="str">
        <f>'insumos terrapl'!E3</f>
        <v>2Q</v>
      </c>
      <c r="I275" s="68">
        <f>'insumos terrapl'!F3</f>
        <v>62</v>
      </c>
      <c r="J275" s="68">
        <f>'insumos terrapl'!G3</f>
        <v>30</v>
      </c>
      <c r="K275" s="68" t="str">
        <f>'insumos terrapl'!H3</f>
        <v>02</v>
      </c>
      <c r="L275" s="68" t="str">
        <f>'insumos terrapl'!I3</f>
        <v>14</v>
      </c>
      <c r="M275" s="68" t="str">
        <f>'insumos terrapl'!J3</f>
        <v>00</v>
      </c>
      <c r="N275" s="68" t="str">
        <f>'insumos terrapl'!K3</f>
        <v>00</v>
      </c>
      <c r="O275" s="81" t="str">
        <f t="shared" si="62"/>
        <v>Construção de corpo de aterro com materialde 3ª categoria oriundo de corte | Insumo principal: Trator sobre esteiras com lâmina - 259 kW</v>
      </c>
    </row>
    <row r="276" spans="1:15" ht="56.25">
      <c r="A276" s="11"/>
      <c r="B276" s="82" t="s">
        <v>313</v>
      </c>
      <c r="C276" s="83" t="s">
        <v>60</v>
      </c>
      <c r="D276" s="84" t="e">
        <f>VLOOKUP(B276,CORRESPONDENCIA!$C$4:$F$2105,2,0)</f>
        <v>#N/A</v>
      </c>
      <c r="E276" s="85" t="s">
        <v>586</v>
      </c>
      <c r="F276" s="86" t="s">
        <v>587</v>
      </c>
      <c r="G276" s="87" t="str">
        <f>'insumos terrapl'!D5</f>
        <v>2Q  62  30  02  14  00  00</v>
      </c>
      <c r="H276" s="87" t="str">
        <f>'insumos terrapl'!E5</f>
        <v>2Q</v>
      </c>
      <c r="I276" s="87">
        <f>'insumos terrapl'!F5</f>
        <v>62</v>
      </c>
      <c r="J276" s="87">
        <f>'insumos terrapl'!G5</f>
        <v>30</v>
      </c>
      <c r="K276" s="87" t="str">
        <f>'insumos terrapl'!H5</f>
        <v>02</v>
      </c>
      <c r="L276" s="87" t="str">
        <f>'insumos terrapl'!I5</f>
        <v>14</v>
      </c>
      <c r="M276" s="87" t="str">
        <f>'insumos terrapl'!J5</f>
        <v>00</v>
      </c>
      <c r="N276" s="87" t="str">
        <f>'insumos terrapl'!K5</f>
        <v>00</v>
      </c>
      <c r="O276" s="88" t="str">
        <f t="shared" si="62"/>
        <v>Camada drenante com conformação de trator de esteira - areia comercial  | Insumo principal: Trator sobre esteiras com lâmina - 127 kW</v>
      </c>
    </row>
    <row r="277" spans="1:15" ht="57" thickBot="1">
      <c r="A277" s="11"/>
      <c r="B277" s="80" t="s">
        <v>314</v>
      </c>
      <c r="C277" s="95" t="s">
        <v>61</v>
      </c>
      <c r="D277" s="73" t="str">
        <f>VLOOKUP(B277,CORRESPONDENCIA!$C$4:$F$2105,2,0)</f>
        <v>2.9.1</v>
      </c>
      <c r="E277" s="74" t="s">
        <v>586</v>
      </c>
      <c r="F277" s="75" t="s">
        <v>587</v>
      </c>
      <c r="G277" s="76" t="str">
        <f>G276</f>
        <v>2Q  62  30  02  14  00  00</v>
      </c>
      <c r="H277" s="76" t="str">
        <f t="shared" ref="H277:N277" si="64">H276</f>
        <v>2Q</v>
      </c>
      <c r="I277" s="76">
        <f t="shared" si="64"/>
        <v>62</v>
      </c>
      <c r="J277" s="76">
        <f t="shared" si="64"/>
        <v>30</v>
      </c>
      <c r="K277" s="76" t="str">
        <f t="shared" si="64"/>
        <v>02</v>
      </c>
      <c r="L277" s="76" t="str">
        <f t="shared" si="64"/>
        <v>14</v>
      </c>
      <c r="M277" s="76" t="str">
        <f t="shared" si="64"/>
        <v>00</v>
      </c>
      <c r="N277" s="76" t="str">
        <f t="shared" si="64"/>
        <v>00</v>
      </c>
      <c r="O277" s="77" t="str">
        <f t="shared" si="62"/>
        <v>Camada drenante com conformação de trator de esteira - areia extraída  | Insumo principal: Trator sobre esteiras com lâmina - 127 kW</v>
      </c>
    </row>
  </sheetData>
  <autoFilter ref="G2:G277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CORRESPONDENCIA</vt:lpstr>
      <vt:lpstr>insumos terrapl</vt:lpstr>
      <vt:lpstr>DATASET_NLP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2026-08-25T03:19:59Z</cp:lastPrinted>
  <dcterms:created xsi:type="dcterms:W3CDTF">2025-04-10T23:00:42Z</dcterms:created>
  <dcterms:modified xsi:type="dcterms:W3CDTF">2026-08-27T03:13:19Z</dcterms:modified>
</cp:coreProperties>
</file>